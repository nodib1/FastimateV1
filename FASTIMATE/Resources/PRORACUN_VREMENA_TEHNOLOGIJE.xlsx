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5232\.gemini\antigravity\scratch\FASTIMATE\"/>
    </mc:Choice>
  </mc:AlternateContent>
  <xr:revisionPtr revIDLastSave="0" documentId="13_ncr:1_{58D52041-C74A-486F-BEEF-45E95F003E14}" xr6:coauthVersionLast="47" xr6:coauthVersionMax="47" xr10:uidLastSave="{00000000-0000-0000-0000-000000000000}"/>
  <bookViews>
    <workbookView xWindow="2145" yWindow="1380" windowWidth="23535" windowHeight="11730" xr2:uid="{FD9E2B42-BDD1-4B1C-82C0-611DA6AE90E4}"/>
  </bookViews>
  <sheets>
    <sheet name="Tehnologija" sheetId="4" r:id="rId1"/>
    <sheet name="Primjer" sheetId="2" state="hidden" r:id="rId2"/>
  </sheets>
  <definedNames>
    <definedName name="_xlnm._FilterDatabase" localSheetId="0" hidden="1">Tehnologija!$DZ$9:$DZ$300</definedName>
    <definedName name="_xlnm.Print_Titles" localSheetId="0">Tehnologija!$A:$C,Tehnologija!$1:$9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1" i="4" l="1"/>
  <c r="CP10" i="4" l="1"/>
  <c r="CP11" i="4"/>
  <c r="CP12" i="4"/>
  <c r="CP13" i="4"/>
  <c r="CP14" i="4"/>
  <c r="CP15" i="4"/>
  <c r="CP16" i="4"/>
  <c r="CP17" i="4"/>
  <c r="CP18" i="4"/>
  <c r="CP19" i="4"/>
  <c r="CP20" i="4"/>
  <c r="CP21" i="4"/>
  <c r="CP22" i="4"/>
  <c r="CP23" i="4"/>
  <c r="CP24" i="4"/>
  <c r="CP25" i="4"/>
  <c r="CP26" i="4"/>
  <c r="CP27" i="4"/>
  <c r="CP28" i="4"/>
  <c r="CP29" i="4"/>
  <c r="CP30" i="4"/>
  <c r="CP31" i="4"/>
  <c r="CP32" i="4"/>
  <c r="CP33" i="4"/>
  <c r="CP34" i="4"/>
  <c r="CP35" i="4"/>
  <c r="CP36" i="4"/>
  <c r="CP37" i="4"/>
  <c r="CP38" i="4"/>
  <c r="CP39" i="4"/>
  <c r="CP40" i="4"/>
  <c r="CP41" i="4"/>
  <c r="CP42" i="4"/>
  <c r="CP43" i="4"/>
  <c r="CP44" i="4"/>
  <c r="CP45" i="4"/>
  <c r="CP46" i="4"/>
  <c r="CP47" i="4"/>
  <c r="CP48" i="4"/>
  <c r="CP49" i="4"/>
  <c r="CP50" i="4"/>
  <c r="CP51" i="4"/>
  <c r="CP52" i="4"/>
  <c r="CP53" i="4"/>
  <c r="CP54" i="4"/>
  <c r="CP55" i="4"/>
  <c r="CP56" i="4"/>
  <c r="CP57" i="4"/>
  <c r="CP58" i="4"/>
  <c r="CP59" i="4"/>
  <c r="CP60" i="4"/>
  <c r="CP61" i="4"/>
  <c r="CP62" i="4"/>
  <c r="CP63" i="4"/>
  <c r="CP64" i="4"/>
  <c r="CP65" i="4"/>
  <c r="CP66" i="4"/>
  <c r="CP67" i="4"/>
  <c r="CP68" i="4"/>
  <c r="CP69" i="4"/>
  <c r="CP70" i="4"/>
  <c r="CP71" i="4"/>
  <c r="CP72" i="4"/>
  <c r="CP73" i="4"/>
  <c r="CP74" i="4"/>
  <c r="CP75" i="4"/>
  <c r="CP76" i="4"/>
  <c r="CP77" i="4"/>
  <c r="CP78" i="4"/>
  <c r="CP79" i="4"/>
  <c r="CP80" i="4"/>
  <c r="CP81" i="4"/>
  <c r="CP82" i="4"/>
  <c r="CP83" i="4"/>
  <c r="CP84" i="4"/>
  <c r="CP85" i="4"/>
  <c r="CP86" i="4"/>
  <c r="CP87" i="4"/>
  <c r="CP88" i="4"/>
  <c r="CP89" i="4"/>
  <c r="CP90" i="4"/>
  <c r="CP91" i="4"/>
  <c r="CP92" i="4"/>
  <c r="CP93" i="4"/>
  <c r="CP94" i="4"/>
  <c r="CP95" i="4"/>
  <c r="CP96" i="4"/>
  <c r="CP97" i="4"/>
  <c r="CP98" i="4"/>
  <c r="CP99" i="4"/>
  <c r="CP100" i="4"/>
  <c r="CP101" i="4"/>
  <c r="CP102" i="4"/>
  <c r="CP103" i="4"/>
  <c r="CP104" i="4"/>
  <c r="CP105" i="4"/>
  <c r="CP106" i="4"/>
  <c r="CP107" i="4"/>
  <c r="CP108" i="4"/>
  <c r="CP109" i="4"/>
  <c r="CP110" i="4"/>
  <c r="CP111" i="4"/>
  <c r="CP112" i="4"/>
  <c r="CP113" i="4"/>
  <c r="CP114" i="4"/>
  <c r="CP115" i="4"/>
  <c r="CP116" i="4"/>
  <c r="CP117" i="4"/>
  <c r="CP118" i="4"/>
  <c r="CP119" i="4"/>
  <c r="CP120" i="4"/>
  <c r="CP121" i="4"/>
  <c r="CP122" i="4"/>
  <c r="CP123" i="4"/>
  <c r="CP124" i="4"/>
  <c r="CP125" i="4"/>
  <c r="CP126" i="4"/>
  <c r="CP127" i="4"/>
  <c r="CP128" i="4"/>
  <c r="CP129" i="4"/>
  <c r="CP130" i="4"/>
  <c r="CP131" i="4"/>
  <c r="CP132" i="4"/>
  <c r="CP133" i="4"/>
  <c r="CP134" i="4"/>
  <c r="CP135" i="4"/>
  <c r="CP136" i="4"/>
  <c r="CP137" i="4"/>
  <c r="CP138" i="4"/>
  <c r="CP139" i="4"/>
  <c r="CP140" i="4"/>
  <c r="CP141" i="4"/>
  <c r="CP142" i="4"/>
  <c r="CP143" i="4"/>
  <c r="CP144" i="4"/>
  <c r="CP145" i="4"/>
  <c r="CP146" i="4"/>
  <c r="CP147" i="4"/>
  <c r="CP148" i="4"/>
  <c r="CP149" i="4"/>
  <c r="CP150" i="4"/>
  <c r="CP151" i="4"/>
  <c r="CP152" i="4"/>
  <c r="CP153" i="4"/>
  <c r="CP154" i="4"/>
  <c r="CP155" i="4"/>
  <c r="CP156" i="4"/>
  <c r="CP157" i="4"/>
  <c r="CP158" i="4"/>
  <c r="CP159" i="4"/>
  <c r="CP160" i="4"/>
  <c r="CP161" i="4"/>
  <c r="CP162" i="4"/>
  <c r="CP163" i="4"/>
  <c r="CP164" i="4"/>
  <c r="CP165" i="4"/>
  <c r="CP166" i="4"/>
  <c r="CP167" i="4"/>
  <c r="CP168" i="4"/>
  <c r="CP169" i="4"/>
  <c r="CP170" i="4"/>
  <c r="CP171" i="4"/>
  <c r="CP172" i="4"/>
  <c r="CP173" i="4"/>
  <c r="CP174" i="4"/>
  <c r="CP175" i="4"/>
  <c r="CP176" i="4"/>
  <c r="CP177" i="4"/>
  <c r="CP178" i="4"/>
  <c r="CP179" i="4"/>
  <c r="CP180" i="4"/>
  <c r="CP181" i="4"/>
  <c r="CP182" i="4"/>
  <c r="CP183" i="4"/>
  <c r="CP184" i="4"/>
  <c r="CP185" i="4"/>
  <c r="CP186" i="4"/>
  <c r="CP187" i="4"/>
  <c r="CP188" i="4"/>
  <c r="CP189" i="4"/>
  <c r="CP190" i="4"/>
  <c r="CP191" i="4"/>
  <c r="CP192" i="4"/>
  <c r="CP193" i="4"/>
  <c r="CP194" i="4"/>
  <c r="CP195" i="4"/>
  <c r="CP196" i="4"/>
  <c r="CP197" i="4"/>
  <c r="CP198" i="4"/>
  <c r="CP199" i="4"/>
  <c r="CP200" i="4"/>
  <c r="CP201" i="4"/>
  <c r="CP202" i="4"/>
  <c r="CP203" i="4"/>
  <c r="CP204" i="4"/>
  <c r="CP205" i="4"/>
  <c r="CP206" i="4"/>
  <c r="CP207" i="4"/>
  <c r="CP208" i="4"/>
  <c r="CP209" i="4"/>
  <c r="CP210" i="4"/>
  <c r="CP211" i="4"/>
  <c r="CP212" i="4"/>
  <c r="CP213" i="4"/>
  <c r="CP214" i="4"/>
  <c r="CP215" i="4"/>
  <c r="CP216" i="4"/>
  <c r="CP217" i="4"/>
  <c r="CP218" i="4"/>
  <c r="CP219" i="4"/>
  <c r="CP220" i="4"/>
  <c r="CP221" i="4"/>
  <c r="CP222" i="4"/>
  <c r="CP223" i="4"/>
  <c r="CP224" i="4"/>
  <c r="CP225" i="4"/>
  <c r="CP226" i="4"/>
  <c r="CP227" i="4"/>
  <c r="CP228" i="4"/>
  <c r="CP229" i="4"/>
  <c r="CP230" i="4"/>
  <c r="CP231" i="4"/>
  <c r="CP232" i="4"/>
  <c r="CP233" i="4"/>
  <c r="CP234" i="4"/>
  <c r="CP235" i="4"/>
  <c r="CP236" i="4"/>
  <c r="CP237" i="4"/>
  <c r="CP238" i="4"/>
  <c r="CP239" i="4"/>
  <c r="CP240" i="4"/>
  <c r="CP241" i="4"/>
  <c r="CP242" i="4"/>
  <c r="CP243" i="4"/>
  <c r="CP244" i="4"/>
  <c r="CP245" i="4"/>
  <c r="CP246" i="4"/>
  <c r="CP247" i="4"/>
  <c r="CP248" i="4"/>
  <c r="CP249" i="4"/>
  <c r="CP250" i="4"/>
  <c r="CP251" i="4"/>
  <c r="CP252" i="4"/>
  <c r="CP253" i="4"/>
  <c r="CP254" i="4"/>
  <c r="CP255" i="4"/>
  <c r="CP256" i="4"/>
  <c r="CP257" i="4"/>
  <c r="CP258" i="4"/>
  <c r="CP259" i="4"/>
  <c r="CP260" i="4"/>
  <c r="CP261" i="4"/>
  <c r="CP262" i="4"/>
  <c r="CP263" i="4"/>
  <c r="CP264" i="4"/>
  <c r="CP265" i="4"/>
  <c r="CP266" i="4"/>
  <c r="CP267" i="4"/>
  <c r="CP268" i="4"/>
  <c r="CP269" i="4"/>
  <c r="CP270" i="4"/>
  <c r="CP271" i="4"/>
  <c r="CP272" i="4"/>
  <c r="CP273" i="4"/>
  <c r="CP274" i="4"/>
  <c r="CP275" i="4"/>
  <c r="CP276" i="4"/>
  <c r="CP277" i="4"/>
  <c r="CP278" i="4"/>
  <c r="CP279" i="4"/>
  <c r="CP280" i="4"/>
  <c r="CP281" i="4"/>
  <c r="CP282" i="4"/>
  <c r="CP283" i="4"/>
  <c r="CP284" i="4"/>
  <c r="CP285" i="4"/>
  <c r="CP286" i="4"/>
  <c r="CP287" i="4"/>
  <c r="CP288" i="4"/>
  <c r="CP289" i="4"/>
  <c r="CP290" i="4"/>
  <c r="CP291" i="4"/>
  <c r="CP292" i="4"/>
  <c r="CP293" i="4"/>
  <c r="CP294" i="4"/>
  <c r="CP295" i="4"/>
  <c r="CP296" i="4"/>
  <c r="CP297" i="4"/>
  <c r="CP298" i="4"/>
  <c r="CP299" i="4"/>
  <c r="CP300" i="4"/>
  <c r="CS13" i="4"/>
  <c r="CC298" i="4"/>
  <c r="CC14" i="4"/>
  <c r="CF36" i="4" l="1"/>
  <c r="CF37" i="4"/>
  <c r="CF38" i="4"/>
  <c r="CF39" i="4"/>
  <c r="CF40" i="4"/>
  <c r="CF41" i="4"/>
  <c r="CF42" i="4"/>
  <c r="CF43" i="4"/>
  <c r="CF44" i="4"/>
  <c r="CF45" i="4"/>
  <c r="CF46" i="4"/>
  <c r="CF47" i="4"/>
  <c r="CF48" i="4"/>
  <c r="CF49" i="4"/>
  <c r="CF50" i="4"/>
  <c r="CF51" i="4"/>
  <c r="CF52" i="4"/>
  <c r="CF53" i="4"/>
  <c r="CF54" i="4"/>
  <c r="CF55" i="4"/>
  <c r="CF56" i="4"/>
  <c r="CF57" i="4"/>
  <c r="CF58" i="4"/>
  <c r="CF59" i="4"/>
  <c r="CF60" i="4"/>
  <c r="CF61" i="4"/>
  <c r="CF62" i="4"/>
  <c r="CF63" i="4"/>
  <c r="CF64" i="4"/>
  <c r="CF65" i="4"/>
  <c r="CF66" i="4"/>
  <c r="CF67" i="4"/>
  <c r="CF68" i="4"/>
  <c r="CF69" i="4"/>
  <c r="CF70" i="4"/>
  <c r="CF71" i="4"/>
  <c r="CF72" i="4"/>
  <c r="CF73" i="4"/>
  <c r="CF74" i="4"/>
  <c r="CF75" i="4"/>
  <c r="CF76" i="4"/>
  <c r="CF77" i="4"/>
  <c r="CF78" i="4"/>
  <c r="CF79" i="4"/>
  <c r="CF80" i="4"/>
  <c r="CF81" i="4"/>
  <c r="CF82" i="4"/>
  <c r="CF83" i="4"/>
  <c r="CF84" i="4"/>
  <c r="CF85" i="4"/>
  <c r="CF86" i="4"/>
  <c r="CF87" i="4"/>
  <c r="CF88" i="4"/>
  <c r="CF89" i="4"/>
  <c r="CF90" i="4"/>
  <c r="CF91" i="4"/>
  <c r="CF92" i="4"/>
  <c r="CF93" i="4"/>
  <c r="CF94" i="4"/>
  <c r="CF95" i="4"/>
  <c r="CF96" i="4"/>
  <c r="CF97" i="4"/>
  <c r="CF98" i="4"/>
  <c r="CF99" i="4"/>
  <c r="CF100" i="4"/>
  <c r="CF101" i="4"/>
  <c r="CF102" i="4"/>
  <c r="CF103" i="4"/>
  <c r="CF104" i="4"/>
  <c r="CF105" i="4"/>
  <c r="CF106" i="4"/>
  <c r="CF107" i="4"/>
  <c r="CF108" i="4"/>
  <c r="CF109" i="4"/>
  <c r="CF110" i="4"/>
  <c r="CF111" i="4"/>
  <c r="CF112" i="4"/>
  <c r="CF113" i="4"/>
  <c r="CF114" i="4"/>
  <c r="CF115" i="4"/>
  <c r="CF116" i="4"/>
  <c r="CF117" i="4"/>
  <c r="CF118" i="4"/>
  <c r="CF119" i="4"/>
  <c r="CF120" i="4"/>
  <c r="CF121" i="4"/>
  <c r="CF122" i="4"/>
  <c r="CF123" i="4"/>
  <c r="CF124" i="4"/>
  <c r="CF125" i="4"/>
  <c r="CF126" i="4"/>
  <c r="CF127" i="4"/>
  <c r="CF128" i="4"/>
  <c r="CF129" i="4"/>
  <c r="CF130" i="4"/>
  <c r="CF131" i="4"/>
  <c r="CF132" i="4"/>
  <c r="CF133" i="4"/>
  <c r="CF134" i="4"/>
  <c r="CF135" i="4"/>
  <c r="CF136" i="4"/>
  <c r="CF137" i="4"/>
  <c r="CF138" i="4"/>
  <c r="CF139" i="4"/>
  <c r="CF140" i="4"/>
  <c r="CF141" i="4"/>
  <c r="CF142" i="4"/>
  <c r="CF143" i="4"/>
  <c r="CF144" i="4"/>
  <c r="CF145" i="4"/>
  <c r="CF146" i="4"/>
  <c r="CF147" i="4"/>
  <c r="CF148" i="4"/>
  <c r="CF149" i="4"/>
  <c r="CF150" i="4"/>
  <c r="CF151" i="4"/>
  <c r="CF152" i="4"/>
  <c r="CF153" i="4"/>
  <c r="CF154" i="4"/>
  <c r="CG154" i="4" s="1"/>
  <c r="CF155" i="4"/>
  <c r="CF156" i="4"/>
  <c r="CF157" i="4"/>
  <c r="CF158" i="4"/>
  <c r="CF159" i="4"/>
  <c r="CF160" i="4"/>
  <c r="CF161" i="4"/>
  <c r="CF162" i="4"/>
  <c r="CF163" i="4"/>
  <c r="CF164" i="4"/>
  <c r="CF165" i="4"/>
  <c r="CF166" i="4"/>
  <c r="CG166" i="4" s="1"/>
  <c r="CF167" i="4"/>
  <c r="CF168" i="4"/>
  <c r="CF169" i="4"/>
  <c r="CF170" i="4"/>
  <c r="CF171" i="4"/>
  <c r="CF172" i="4"/>
  <c r="CF173" i="4"/>
  <c r="CF174" i="4"/>
  <c r="CF175" i="4"/>
  <c r="CF176" i="4"/>
  <c r="CF177" i="4"/>
  <c r="CF178" i="4"/>
  <c r="CG178" i="4" s="1"/>
  <c r="CF179" i="4"/>
  <c r="CF180" i="4"/>
  <c r="CF181" i="4"/>
  <c r="CF182" i="4"/>
  <c r="CF183" i="4"/>
  <c r="CF184" i="4"/>
  <c r="CF185" i="4"/>
  <c r="CF186" i="4"/>
  <c r="CF187" i="4"/>
  <c r="CF188" i="4"/>
  <c r="CF189" i="4"/>
  <c r="CF190" i="4"/>
  <c r="CG190" i="4" s="1"/>
  <c r="CF191" i="4"/>
  <c r="CF192" i="4"/>
  <c r="CF193" i="4"/>
  <c r="CF194" i="4"/>
  <c r="CF195" i="4"/>
  <c r="CF196" i="4"/>
  <c r="CF197" i="4"/>
  <c r="CF198" i="4"/>
  <c r="CF199" i="4"/>
  <c r="CF200" i="4"/>
  <c r="CF201" i="4"/>
  <c r="CF202" i="4"/>
  <c r="CG202" i="4" s="1"/>
  <c r="CF203" i="4"/>
  <c r="CF204" i="4"/>
  <c r="CF205" i="4"/>
  <c r="CF206" i="4"/>
  <c r="CF207" i="4"/>
  <c r="CF208" i="4"/>
  <c r="CF209" i="4"/>
  <c r="CF210" i="4"/>
  <c r="CF211" i="4"/>
  <c r="CF212" i="4"/>
  <c r="CF213" i="4"/>
  <c r="CF214" i="4"/>
  <c r="CG214" i="4" s="1"/>
  <c r="CF215" i="4"/>
  <c r="CF216" i="4"/>
  <c r="CF217" i="4"/>
  <c r="CF218" i="4"/>
  <c r="CF219" i="4"/>
  <c r="CF220" i="4"/>
  <c r="CF221" i="4"/>
  <c r="CF222" i="4"/>
  <c r="CF223" i="4"/>
  <c r="CF224" i="4"/>
  <c r="CF225" i="4"/>
  <c r="CF226" i="4"/>
  <c r="CF227" i="4"/>
  <c r="CF228" i="4"/>
  <c r="CF229" i="4"/>
  <c r="CF230" i="4"/>
  <c r="CF231" i="4"/>
  <c r="CF232" i="4"/>
  <c r="CF233" i="4"/>
  <c r="CF234" i="4"/>
  <c r="CF235" i="4"/>
  <c r="CF236" i="4"/>
  <c r="CF237" i="4"/>
  <c r="CG237" i="4" s="1"/>
  <c r="CF238" i="4"/>
  <c r="CG238" i="4" s="1"/>
  <c r="CF239" i="4"/>
  <c r="CF240" i="4"/>
  <c r="CF241" i="4"/>
  <c r="CF242" i="4"/>
  <c r="CF243" i="4"/>
  <c r="CF244" i="4"/>
  <c r="CF245" i="4"/>
  <c r="CF246" i="4"/>
  <c r="CF247" i="4"/>
  <c r="CF248" i="4"/>
  <c r="CF249" i="4"/>
  <c r="CG249" i="4" s="1"/>
  <c r="CF250" i="4"/>
  <c r="CG250" i="4" s="1"/>
  <c r="CF251" i="4"/>
  <c r="CF252" i="4"/>
  <c r="CF253" i="4"/>
  <c r="CF254" i="4"/>
  <c r="CF255" i="4"/>
  <c r="CF256" i="4"/>
  <c r="CF257" i="4"/>
  <c r="CF258" i="4"/>
  <c r="CF259" i="4"/>
  <c r="CF260" i="4"/>
  <c r="CF261" i="4"/>
  <c r="CG261" i="4" s="1"/>
  <c r="CF262" i="4"/>
  <c r="CG262" i="4" s="1"/>
  <c r="CF263" i="4"/>
  <c r="CF264" i="4"/>
  <c r="CF265" i="4"/>
  <c r="CF266" i="4"/>
  <c r="CF267" i="4"/>
  <c r="CF268" i="4"/>
  <c r="CF269" i="4"/>
  <c r="CF270" i="4"/>
  <c r="CF271" i="4"/>
  <c r="CF272" i="4"/>
  <c r="CF273" i="4"/>
  <c r="CG273" i="4" s="1"/>
  <c r="CF274" i="4"/>
  <c r="CG274" i="4" s="1"/>
  <c r="CF275" i="4"/>
  <c r="CF276" i="4"/>
  <c r="CF277" i="4"/>
  <c r="CF278" i="4"/>
  <c r="CF279" i="4"/>
  <c r="CF280" i="4"/>
  <c r="CF281" i="4"/>
  <c r="CF282" i="4"/>
  <c r="CF283" i="4"/>
  <c r="CF284" i="4"/>
  <c r="CF285" i="4"/>
  <c r="CG285" i="4" s="1"/>
  <c r="CF286" i="4"/>
  <c r="CG286" i="4" s="1"/>
  <c r="CF287" i="4"/>
  <c r="CF288" i="4"/>
  <c r="CF289" i="4"/>
  <c r="CF290" i="4"/>
  <c r="CF291" i="4"/>
  <c r="CF292" i="4"/>
  <c r="CF293" i="4"/>
  <c r="CF294" i="4"/>
  <c r="CF295" i="4"/>
  <c r="CF296" i="4"/>
  <c r="CF297" i="4"/>
  <c r="CF298" i="4"/>
  <c r="CF299" i="4"/>
  <c r="CF300" i="4"/>
  <c r="CF11" i="4"/>
  <c r="BJ36" i="4"/>
  <c r="BJ37" i="4"/>
  <c r="BJ38" i="4"/>
  <c r="BJ39" i="4"/>
  <c r="BJ40" i="4"/>
  <c r="BJ41" i="4"/>
  <c r="BJ42" i="4"/>
  <c r="BJ43" i="4"/>
  <c r="BJ44" i="4"/>
  <c r="BJ45" i="4"/>
  <c r="BJ46" i="4"/>
  <c r="BJ47" i="4"/>
  <c r="BJ48" i="4"/>
  <c r="BJ49" i="4"/>
  <c r="BJ50" i="4"/>
  <c r="BJ51" i="4"/>
  <c r="BJ52" i="4"/>
  <c r="BJ53" i="4"/>
  <c r="BJ54" i="4"/>
  <c r="BJ55" i="4"/>
  <c r="BJ56" i="4"/>
  <c r="BJ57" i="4"/>
  <c r="BJ58" i="4"/>
  <c r="BJ59" i="4"/>
  <c r="BJ60" i="4"/>
  <c r="BJ61" i="4"/>
  <c r="BJ62" i="4"/>
  <c r="BJ63" i="4"/>
  <c r="BJ64" i="4"/>
  <c r="BJ65" i="4"/>
  <c r="BJ66" i="4"/>
  <c r="BJ67" i="4"/>
  <c r="BJ68" i="4"/>
  <c r="BJ69" i="4"/>
  <c r="BJ70" i="4"/>
  <c r="BJ71" i="4"/>
  <c r="BJ72" i="4"/>
  <c r="BJ73" i="4"/>
  <c r="BJ74" i="4"/>
  <c r="BJ75" i="4"/>
  <c r="BJ76" i="4"/>
  <c r="BJ77" i="4"/>
  <c r="BJ78" i="4"/>
  <c r="BJ79" i="4"/>
  <c r="BJ80" i="4"/>
  <c r="BJ81" i="4"/>
  <c r="BJ82" i="4"/>
  <c r="BJ83" i="4"/>
  <c r="BJ84" i="4"/>
  <c r="BJ85" i="4"/>
  <c r="BJ86" i="4"/>
  <c r="BJ87" i="4"/>
  <c r="BJ88" i="4"/>
  <c r="BJ89" i="4"/>
  <c r="BJ90" i="4"/>
  <c r="BJ91" i="4"/>
  <c r="BJ92" i="4"/>
  <c r="BJ93" i="4"/>
  <c r="BJ94" i="4"/>
  <c r="BJ95" i="4"/>
  <c r="BJ96" i="4"/>
  <c r="BJ97" i="4"/>
  <c r="BJ98" i="4"/>
  <c r="BJ99" i="4"/>
  <c r="BJ100" i="4"/>
  <c r="BJ101" i="4"/>
  <c r="BJ102" i="4"/>
  <c r="BJ103" i="4"/>
  <c r="BJ104" i="4"/>
  <c r="BJ105" i="4"/>
  <c r="BJ106" i="4"/>
  <c r="BJ107" i="4"/>
  <c r="BJ108" i="4"/>
  <c r="BJ109" i="4"/>
  <c r="BJ110" i="4"/>
  <c r="BJ111" i="4"/>
  <c r="BJ112" i="4"/>
  <c r="BJ113" i="4"/>
  <c r="BJ114" i="4"/>
  <c r="BJ115" i="4"/>
  <c r="BJ116" i="4"/>
  <c r="BJ117" i="4"/>
  <c r="BJ118" i="4"/>
  <c r="BJ119" i="4"/>
  <c r="BJ120" i="4"/>
  <c r="BJ121" i="4"/>
  <c r="BJ122" i="4"/>
  <c r="BJ123" i="4"/>
  <c r="BJ124" i="4"/>
  <c r="BJ125" i="4"/>
  <c r="BJ126" i="4"/>
  <c r="BJ127" i="4"/>
  <c r="BJ128" i="4"/>
  <c r="BJ129" i="4"/>
  <c r="BJ130" i="4"/>
  <c r="BJ131" i="4"/>
  <c r="BJ132" i="4"/>
  <c r="BJ133" i="4"/>
  <c r="BJ134" i="4"/>
  <c r="BJ135" i="4"/>
  <c r="BJ136" i="4"/>
  <c r="BJ137" i="4"/>
  <c r="BJ138" i="4"/>
  <c r="BJ139" i="4"/>
  <c r="BJ140" i="4"/>
  <c r="BJ141" i="4"/>
  <c r="BJ142" i="4"/>
  <c r="BJ143" i="4"/>
  <c r="BJ144" i="4"/>
  <c r="BJ145" i="4"/>
  <c r="BJ146" i="4"/>
  <c r="BJ147" i="4"/>
  <c r="BJ148" i="4"/>
  <c r="BJ149" i="4"/>
  <c r="BJ150" i="4"/>
  <c r="BJ151" i="4"/>
  <c r="BJ152" i="4"/>
  <c r="BK152" i="4" s="1"/>
  <c r="BJ153" i="4"/>
  <c r="BJ154" i="4"/>
  <c r="BJ155" i="4"/>
  <c r="BJ156" i="4"/>
  <c r="BJ157" i="4"/>
  <c r="BJ158" i="4"/>
  <c r="BJ159" i="4"/>
  <c r="BJ160" i="4"/>
  <c r="BJ161" i="4"/>
  <c r="BJ162" i="4"/>
  <c r="BJ163" i="4"/>
  <c r="BJ164" i="4"/>
  <c r="BK164" i="4" s="1"/>
  <c r="BJ165" i="4"/>
  <c r="BJ166" i="4"/>
  <c r="BJ167" i="4"/>
  <c r="BJ168" i="4"/>
  <c r="BJ169" i="4"/>
  <c r="BJ170" i="4"/>
  <c r="BJ171" i="4"/>
  <c r="BJ172" i="4"/>
  <c r="BJ173" i="4"/>
  <c r="BJ174" i="4"/>
  <c r="BJ175" i="4"/>
  <c r="BJ176" i="4"/>
  <c r="BJ177" i="4"/>
  <c r="BJ178" i="4"/>
  <c r="BJ179" i="4"/>
  <c r="BJ180" i="4"/>
  <c r="BJ181" i="4"/>
  <c r="BJ182" i="4"/>
  <c r="BJ183" i="4"/>
  <c r="BJ184" i="4"/>
  <c r="BJ185" i="4"/>
  <c r="BJ186" i="4"/>
  <c r="BJ187" i="4"/>
  <c r="BJ188" i="4"/>
  <c r="BJ189" i="4"/>
  <c r="BJ190" i="4"/>
  <c r="BJ191" i="4"/>
  <c r="BJ192" i="4"/>
  <c r="BJ193" i="4"/>
  <c r="BJ194" i="4"/>
  <c r="BJ195" i="4"/>
  <c r="BJ196" i="4"/>
  <c r="BJ197" i="4"/>
  <c r="BJ198" i="4"/>
  <c r="BJ199" i="4"/>
  <c r="BJ200" i="4"/>
  <c r="BK200" i="4" s="1"/>
  <c r="BJ201" i="4"/>
  <c r="BJ202" i="4"/>
  <c r="BJ203" i="4"/>
  <c r="BJ204" i="4"/>
  <c r="BJ205" i="4"/>
  <c r="BJ206" i="4"/>
  <c r="BJ207" i="4"/>
  <c r="BJ208" i="4"/>
  <c r="BJ209" i="4"/>
  <c r="BJ210" i="4"/>
  <c r="BJ211" i="4"/>
  <c r="BJ212" i="4"/>
  <c r="BK212" i="4" s="1"/>
  <c r="BJ213" i="4"/>
  <c r="BJ214" i="4"/>
  <c r="BJ215" i="4"/>
  <c r="BJ216" i="4"/>
  <c r="BJ217" i="4"/>
  <c r="BJ218" i="4"/>
  <c r="BJ219" i="4"/>
  <c r="BJ220" i="4"/>
  <c r="BJ221" i="4"/>
  <c r="BJ222" i="4"/>
  <c r="BJ223" i="4"/>
  <c r="BJ224" i="4"/>
  <c r="BJ225" i="4"/>
  <c r="BJ226" i="4"/>
  <c r="BJ227" i="4"/>
  <c r="BJ228" i="4"/>
  <c r="BJ229" i="4"/>
  <c r="BJ230" i="4"/>
  <c r="BJ231" i="4"/>
  <c r="BJ232" i="4"/>
  <c r="BJ233" i="4"/>
  <c r="BJ234" i="4"/>
  <c r="BJ235" i="4"/>
  <c r="BJ236" i="4"/>
  <c r="BJ237" i="4"/>
  <c r="BJ238" i="4"/>
  <c r="BJ239" i="4"/>
  <c r="BJ240" i="4"/>
  <c r="BJ241" i="4"/>
  <c r="BJ242" i="4"/>
  <c r="BJ243" i="4"/>
  <c r="BJ244" i="4"/>
  <c r="BJ245" i="4"/>
  <c r="BJ246" i="4"/>
  <c r="BJ247" i="4"/>
  <c r="BK247" i="4" s="1"/>
  <c r="BJ248" i="4"/>
  <c r="BK248" i="4" s="1"/>
  <c r="BJ249" i="4"/>
  <c r="BJ250" i="4"/>
  <c r="BJ251" i="4"/>
  <c r="BJ252" i="4"/>
  <c r="BJ253" i="4"/>
  <c r="BJ254" i="4"/>
  <c r="BJ255" i="4"/>
  <c r="BJ256" i="4"/>
  <c r="BJ257" i="4"/>
  <c r="BJ258" i="4"/>
  <c r="BJ259" i="4"/>
  <c r="BK259" i="4" s="1"/>
  <c r="BJ260" i="4"/>
  <c r="BK260" i="4" s="1"/>
  <c r="BJ261" i="4"/>
  <c r="BJ262" i="4"/>
  <c r="BJ263" i="4"/>
  <c r="BJ264" i="4"/>
  <c r="BJ265" i="4"/>
  <c r="BJ266" i="4"/>
  <c r="BJ267" i="4"/>
  <c r="BJ268" i="4"/>
  <c r="BJ269" i="4"/>
  <c r="BJ270" i="4"/>
  <c r="BJ271" i="4"/>
  <c r="BK271" i="4" s="1"/>
  <c r="BJ272" i="4"/>
  <c r="BK272" i="4" s="1"/>
  <c r="BJ273" i="4"/>
  <c r="BJ274" i="4"/>
  <c r="BJ275" i="4"/>
  <c r="BJ276" i="4"/>
  <c r="BJ277" i="4"/>
  <c r="BJ278" i="4"/>
  <c r="BJ279" i="4"/>
  <c r="BJ280" i="4"/>
  <c r="BJ281" i="4"/>
  <c r="BJ282" i="4"/>
  <c r="BJ283" i="4"/>
  <c r="BK283" i="4" s="1"/>
  <c r="BJ284" i="4"/>
  <c r="BK284" i="4" s="1"/>
  <c r="BJ285" i="4"/>
  <c r="BJ286" i="4"/>
  <c r="BJ287" i="4"/>
  <c r="BJ288" i="4"/>
  <c r="BJ289" i="4"/>
  <c r="BJ290" i="4"/>
  <c r="BJ291" i="4"/>
  <c r="BJ292" i="4"/>
  <c r="BJ293" i="4"/>
  <c r="BJ294" i="4"/>
  <c r="BJ295" i="4"/>
  <c r="BK295" i="4" s="1"/>
  <c r="BJ296" i="4"/>
  <c r="BK296" i="4" s="1"/>
  <c r="BJ297" i="4"/>
  <c r="BJ298" i="4"/>
  <c r="BJ299" i="4"/>
  <c r="BJ300" i="4"/>
  <c r="BJ11" i="4"/>
  <c r="CM11" i="4"/>
  <c r="CM12" i="4"/>
  <c r="CM13" i="4"/>
  <c r="CM14" i="4"/>
  <c r="CM15" i="4"/>
  <c r="CM16" i="4"/>
  <c r="CM17" i="4"/>
  <c r="CM18" i="4"/>
  <c r="CM19" i="4"/>
  <c r="CM20" i="4"/>
  <c r="CM21" i="4"/>
  <c r="CM22" i="4"/>
  <c r="CM23" i="4"/>
  <c r="CM24" i="4"/>
  <c r="CM25" i="4"/>
  <c r="CM26" i="4"/>
  <c r="CM27" i="4"/>
  <c r="CM28" i="4"/>
  <c r="CM29" i="4"/>
  <c r="CM30" i="4"/>
  <c r="CM31" i="4"/>
  <c r="CM32" i="4"/>
  <c r="CM33" i="4"/>
  <c r="CM34" i="4"/>
  <c r="CM35" i="4"/>
  <c r="CM36" i="4"/>
  <c r="CM37" i="4"/>
  <c r="CM38" i="4"/>
  <c r="CM39" i="4"/>
  <c r="CM40" i="4"/>
  <c r="CM41" i="4"/>
  <c r="CM42" i="4"/>
  <c r="CM43" i="4"/>
  <c r="CM44" i="4"/>
  <c r="CM45" i="4"/>
  <c r="CM46" i="4"/>
  <c r="CM47" i="4"/>
  <c r="CM48" i="4"/>
  <c r="CM49" i="4"/>
  <c r="CM50" i="4"/>
  <c r="CM51" i="4"/>
  <c r="CM52" i="4"/>
  <c r="CM53" i="4"/>
  <c r="CM54" i="4"/>
  <c r="CM55" i="4"/>
  <c r="CM56" i="4"/>
  <c r="CM57" i="4"/>
  <c r="CM58" i="4"/>
  <c r="CM59" i="4"/>
  <c r="CM60" i="4"/>
  <c r="CM61" i="4"/>
  <c r="CM62" i="4"/>
  <c r="CM63" i="4"/>
  <c r="CM64" i="4"/>
  <c r="CM65" i="4"/>
  <c r="CM66" i="4"/>
  <c r="CM67" i="4"/>
  <c r="CM68" i="4"/>
  <c r="CM69" i="4"/>
  <c r="CM70" i="4"/>
  <c r="CM71" i="4"/>
  <c r="CM72" i="4"/>
  <c r="CM73" i="4"/>
  <c r="CM74" i="4"/>
  <c r="CM75" i="4"/>
  <c r="CM76" i="4"/>
  <c r="CM77" i="4"/>
  <c r="CM78" i="4"/>
  <c r="CM79" i="4"/>
  <c r="CM80" i="4"/>
  <c r="CM81" i="4"/>
  <c r="CM82" i="4"/>
  <c r="CM83" i="4"/>
  <c r="CM84" i="4"/>
  <c r="CM85" i="4"/>
  <c r="CM86" i="4"/>
  <c r="CM87" i="4"/>
  <c r="CM88" i="4"/>
  <c r="CM89" i="4"/>
  <c r="CM90" i="4"/>
  <c r="CM91" i="4"/>
  <c r="CM92" i="4"/>
  <c r="CM93" i="4"/>
  <c r="CM94" i="4"/>
  <c r="CM95" i="4"/>
  <c r="CM96" i="4"/>
  <c r="CM97" i="4"/>
  <c r="CM98" i="4"/>
  <c r="CM99" i="4"/>
  <c r="CM100" i="4"/>
  <c r="CM101" i="4"/>
  <c r="CM102" i="4"/>
  <c r="CM103" i="4"/>
  <c r="CM104" i="4"/>
  <c r="CM105" i="4"/>
  <c r="CM106" i="4"/>
  <c r="CM107" i="4"/>
  <c r="CM108" i="4"/>
  <c r="CM109" i="4"/>
  <c r="CM110" i="4"/>
  <c r="CM111" i="4"/>
  <c r="CM112" i="4"/>
  <c r="CM113" i="4"/>
  <c r="CM114" i="4"/>
  <c r="CM115" i="4"/>
  <c r="CM116" i="4"/>
  <c r="CM117" i="4"/>
  <c r="CM118" i="4"/>
  <c r="CM119" i="4"/>
  <c r="CM120" i="4"/>
  <c r="CM121" i="4"/>
  <c r="CM122" i="4"/>
  <c r="CM123" i="4"/>
  <c r="CM124" i="4"/>
  <c r="CM125" i="4"/>
  <c r="CM126" i="4"/>
  <c r="CM127" i="4"/>
  <c r="CM128" i="4"/>
  <c r="CM129" i="4"/>
  <c r="CM130" i="4"/>
  <c r="CM131" i="4"/>
  <c r="CM132" i="4"/>
  <c r="CM133" i="4"/>
  <c r="CM134" i="4"/>
  <c r="CM135" i="4"/>
  <c r="CM136" i="4"/>
  <c r="CM137" i="4"/>
  <c r="CM138" i="4"/>
  <c r="CM139" i="4"/>
  <c r="CM140" i="4"/>
  <c r="CM141" i="4"/>
  <c r="CM142" i="4"/>
  <c r="CM143" i="4"/>
  <c r="CM144" i="4"/>
  <c r="CM145" i="4"/>
  <c r="CM146" i="4"/>
  <c r="CM147" i="4"/>
  <c r="CM148" i="4"/>
  <c r="CM149" i="4"/>
  <c r="CM150" i="4"/>
  <c r="CM151" i="4"/>
  <c r="CM152" i="4"/>
  <c r="CM153" i="4"/>
  <c r="CM154" i="4"/>
  <c r="CM155" i="4"/>
  <c r="CM156" i="4"/>
  <c r="CM157" i="4"/>
  <c r="CM158" i="4"/>
  <c r="CM159" i="4"/>
  <c r="CM160" i="4"/>
  <c r="CM161" i="4"/>
  <c r="CM162" i="4"/>
  <c r="CM163" i="4"/>
  <c r="CM164" i="4"/>
  <c r="CM165" i="4"/>
  <c r="CM166" i="4"/>
  <c r="CM167" i="4"/>
  <c r="CM168" i="4"/>
  <c r="CM169" i="4"/>
  <c r="CM170" i="4"/>
  <c r="CM171" i="4"/>
  <c r="CM172" i="4"/>
  <c r="CM173" i="4"/>
  <c r="CN173" i="4" s="1"/>
  <c r="CM174" i="4"/>
  <c r="CM175" i="4"/>
  <c r="CM176" i="4"/>
  <c r="CM177" i="4"/>
  <c r="CM178" i="4"/>
  <c r="CM179" i="4"/>
  <c r="CM180" i="4"/>
  <c r="CM181" i="4"/>
  <c r="CM182" i="4"/>
  <c r="CM183" i="4"/>
  <c r="CM184" i="4"/>
  <c r="CM185" i="4"/>
  <c r="CN185" i="4" s="1"/>
  <c r="CM186" i="4"/>
  <c r="CM187" i="4"/>
  <c r="CM188" i="4"/>
  <c r="CM189" i="4"/>
  <c r="CM190" i="4"/>
  <c r="CM191" i="4"/>
  <c r="CM192" i="4"/>
  <c r="CM193" i="4"/>
  <c r="CM194" i="4"/>
  <c r="CM195" i="4"/>
  <c r="CM196" i="4"/>
  <c r="CM197" i="4"/>
  <c r="CN197" i="4" s="1"/>
  <c r="CM198" i="4"/>
  <c r="CM199" i="4"/>
  <c r="CM200" i="4"/>
  <c r="CM201" i="4"/>
  <c r="CM202" i="4"/>
  <c r="CM203" i="4"/>
  <c r="CM204" i="4"/>
  <c r="CM205" i="4"/>
  <c r="CM206" i="4"/>
  <c r="CM207" i="4"/>
  <c r="CM208" i="4"/>
  <c r="CM209" i="4"/>
  <c r="CN209" i="4" s="1"/>
  <c r="CM210" i="4"/>
  <c r="CM211" i="4"/>
  <c r="CM212" i="4"/>
  <c r="CM213" i="4"/>
  <c r="CM214" i="4"/>
  <c r="CM215" i="4"/>
  <c r="CM216" i="4"/>
  <c r="CM217" i="4"/>
  <c r="CM218" i="4"/>
  <c r="CM219" i="4"/>
  <c r="CM220" i="4"/>
  <c r="CM221" i="4"/>
  <c r="CN221" i="4" s="1"/>
  <c r="CM222" i="4"/>
  <c r="CM223" i="4"/>
  <c r="CM224" i="4"/>
  <c r="CM225" i="4"/>
  <c r="CM226" i="4"/>
  <c r="CM227" i="4"/>
  <c r="CM228" i="4"/>
  <c r="CM229" i="4"/>
  <c r="CM230" i="4"/>
  <c r="CM231" i="4"/>
  <c r="CM232" i="4"/>
  <c r="CM233" i="4"/>
  <c r="CM234" i="4"/>
  <c r="CM235" i="4"/>
  <c r="CM236" i="4"/>
  <c r="CM237" i="4"/>
  <c r="CM238" i="4"/>
  <c r="CM239" i="4"/>
  <c r="CM240" i="4"/>
  <c r="CM241" i="4"/>
  <c r="CM242" i="4"/>
  <c r="CM243" i="4"/>
  <c r="CM244" i="4"/>
  <c r="CN244" i="4" s="1"/>
  <c r="CM245" i="4"/>
  <c r="CN245" i="4" s="1"/>
  <c r="CM246" i="4"/>
  <c r="CN246" i="4" s="1"/>
  <c r="CM247" i="4"/>
  <c r="CM248" i="4"/>
  <c r="CM249" i="4"/>
  <c r="CM250" i="4"/>
  <c r="CM251" i="4"/>
  <c r="CM252" i="4"/>
  <c r="CM253" i="4"/>
  <c r="CM254" i="4"/>
  <c r="CM255" i="4"/>
  <c r="CM256" i="4"/>
  <c r="CN256" i="4" s="1"/>
  <c r="CM257" i="4"/>
  <c r="CN257" i="4" s="1"/>
  <c r="CM258" i="4"/>
  <c r="CN258" i="4" s="1"/>
  <c r="CM259" i="4"/>
  <c r="CM260" i="4"/>
  <c r="CM261" i="4"/>
  <c r="CM262" i="4"/>
  <c r="CM263" i="4"/>
  <c r="CM264" i="4"/>
  <c r="CM265" i="4"/>
  <c r="CM266" i="4"/>
  <c r="CM267" i="4"/>
  <c r="CM268" i="4"/>
  <c r="CN268" i="4" s="1"/>
  <c r="CM269" i="4"/>
  <c r="CN269" i="4" s="1"/>
  <c r="CM270" i="4"/>
  <c r="CN270" i="4" s="1"/>
  <c r="CM271" i="4"/>
  <c r="CM272" i="4"/>
  <c r="CM273" i="4"/>
  <c r="CM274" i="4"/>
  <c r="CM275" i="4"/>
  <c r="CM276" i="4"/>
  <c r="CM277" i="4"/>
  <c r="CM278" i="4"/>
  <c r="CM279" i="4"/>
  <c r="CM280" i="4"/>
  <c r="CN280" i="4" s="1"/>
  <c r="CM281" i="4"/>
  <c r="CN281" i="4" s="1"/>
  <c r="CM282" i="4"/>
  <c r="CN282" i="4" s="1"/>
  <c r="CM283" i="4"/>
  <c r="CM284" i="4"/>
  <c r="CM285" i="4"/>
  <c r="CM286" i="4"/>
  <c r="CM287" i="4"/>
  <c r="CM288" i="4"/>
  <c r="CM289" i="4"/>
  <c r="CM290" i="4"/>
  <c r="CM291" i="4"/>
  <c r="CM292" i="4"/>
  <c r="CN292" i="4" s="1"/>
  <c r="CM293" i="4"/>
  <c r="CN293" i="4" s="1"/>
  <c r="CM294" i="4"/>
  <c r="CN294" i="4" s="1"/>
  <c r="CM295" i="4"/>
  <c r="CM296" i="4"/>
  <c r="CM297" i="4"/>
  <c r="CM298" i="4"/>
  <c r="CM299" i="4"/>
  <c r="CM300" i="4"/>
  <c r="CJ36" i="4"/>
  <c r="CJ37" i="4"/>
  <c r="CJ38" i="4"/>
  <c r="CJ39" i="4"/>
  <c r="CJ40" i="4"/>
  <c r="CJ41" i="4"/>
  <c r="CJ42" i="4"/>
  <c r="CJ43" i="4"/>
  <c r="CJ44" i="4"/>
  <c r="CJ45" i="4"/>
  <c r="CJ46" i="4"/>
  <c r="CJ47" i="4"/>
  <c r="CJ48" i="4"/>
  <c r="CJ49" i="4"/>
  <c r="CJ50" i="4"/>
  <c r="CJ51" i="4"/>
  <c r="CJ52" i="4"/>
  <c r="CJ53" i="4"/>
  <c r="CJ54" i="4"/>
  <c r="CJ55" i="4"/>
  <c r="CJ56" i="4"/>
  <c r="CJ57" i="4"/>
  <c r="CJ58" i="4"/>
  <c r="CJ59" i="4"/>
  <c r="CJ60" i="4"/>
  <c r="CJ61" i="4"/>
  <c r="CJ62" i="4"/>
  <c r="CJ63" i="4"/>
  <c r="CJ64" i="4"/>
  <c r="CJ65" i="4"/>
  <c r="CJ66" i="4"/>
  <c r="CJ67" i="4"/>
  <c r="CJ68" i="4"/>
  <c r="CJ69" i="4"/>
  <c r="CJ70" i="4"/>
  <c r="CJ71" i="4"/>
  <c r="CJ72" i="4"/>
  <c r="CJ73" i="4"/>
  <c r="CJ74" i="4"/>
  <c r="CJ75" i="4"/>
  <c r="CJ76" i="4"/>
  <c r="CJ77" i="4"/>
  <c r="CJ78" i="4"/>
  <c r="CJ79" i="4"/>
  <c r="CJ80" i="4"/>
  <c r="CJ81" i="4"/>
  <c r="CJ82" i="4"/>
  <c r="CJ83" i="4"/>
  <c r="CJ84" i="4"/>
  <c r="CJ85" i="4"/>
  <c r="CJ86" i="4"/>
  <c r="CJ87" i="4"/>
  <c r="CJ88" i="4"/>
  <c r="CJ89" i="4"/>
  <c r="CJ90" i="4"/>
  <c r="CJ91" i="4"/>
  <c r="CJ92" i="4"/>
  <c r="CJ93" i="4"/>
  <c r="CJ94" i="4"/>
  <c r="CJ95" i="4"/>
  <c r="CJ96" i="4"/>
  <c r="CJ97" i="4"/>
  <c r="CJ98" i="4"/>
  <c r="CJ99" i="4"/>
  <c r="CJ100" i="4"/>
  <c r="CJ101" i="4"/>
  <c r="CJ102" i="4"/>
  <c r="CJ103" i="4"/>
  <c r="CJ104" i="4"/>
  <c r="CJ105" i="4"/>
  <c r="CJ106" i="4"/>
  <c r="CJ107" i="4"/>
  <c r="CJ108" i="4"/>
  <c r="CJ109" i="4"/>
  <c r="CJ110" i="4"/>
  <c r="CJ111" i="4"/>
  <c r="CJ112" i="4"/>
  <c r="CJ113" i="4"/>
  <c r="CJ114" i="4"/>
  <c r="CJ115" i="4"/>
  <c r="CJ116" i="4"/>
  <c r="CJ117" i="4"/>
  <c r="CJ118" i="4"/>
  <c r="CJ119" i="4"/>
  <c r="CJ120" i="4"/>
  <c r="CJ121" i="4"/>
  <c r="CJ122" i="4"/>
  <c r="CJ123" i="4"/>
  <c r="CJ124" i="4"/>
  <c r="CJ125" i="4"/>
  <c r="CJ126" i="4"/>
  <c r="CJ127" i="4"/>
  <c r="CJ128" i="4"/>
  <c r="CJ129" i="4"/>
  <c r="CJ130" i="4"/>
  <c r="CJ131" i="4"/>
  <c r="CJ132" i="4"/>
  <c r="CJ133" i="4"/>
  <c r="CJ134" i="4"/>
  <c r="CJ135" i="4"/>
  <c r="CJ136" i="4"/>
  <c r="CJ137" i="4"/>
  <c r="CJ138" i="4"/>
  <c r="CJ139" i="4"/>
  <c r="CJ140" i="4"/>
  <c r="CJ141" i="4"/>
  <c r="CJ142" i="4"/>
  <c r="CJ143" i="4"/>
  <c r="CJ144" i="4"/>
  <c r="CJ145" i="4"/>
  <c r="CJ146" i="4"/>
  <c r="CJ147" i="4"/>
  <c r="CJ148" i="4"/>
  <c r="CJ149" i="4"/>
  <c r="CJ150" i="4"/>
  <c r="CJ151" i="4"/>
  <c r="CJ152" i="4"/>
  <c r="CJ153" i="4"/>
  <c r="CJ154" i="4"/>
  <c r="CJ155" i="4"/>
  <c r="CJ156" i="4"/>
  <c r="CJ157" i="4"/>
  <c r="CJ158" i="4"/>
  <c r="CJ159" i="4"/>
  <c r="CJ160" i="4"/>
  <c r="CJ161" i="4"/>
  <c r="CJ162" i="4"/>
  <c r="CJ163" i="4"/>
  <c r="CJ164" i="4"/>
  <c r="CJ165" i="4"/>
  <c r="CJ166" i="4"/>
  <c r="CJ167" i="4"/>
  <c r="CJ168" i="4"/>
  <c r="CJ169" i="4"/>
  <c r="CJ170" i="4"/>
  <c r="CJ171" i="4"/>
  <c r="CJ172" i="4"/>
  <c r="CK172" i="4" s="1"/>
  <c r="CJ173" i="4"/>
  <c r="CJ174" i="4"/>
  <c r="CJ175" i="4"/>
  <c r="CJ176" i="4"/>
  <c r="CJ177" i="4"/>
  <c r="CJ178" i="4"/>
  <c r="CJ179" i="4"/>
  <c r="CJ180" i="4"/>
  <c r="CJ181" i="4"/>
  <c r="CJ182" i="4"/>
  <c r="CJ183" i="4"/>
  <c r="CJ184" i="4"/>
  <c r="CK184" i="4" s="1"/>
  <c r="CJ185" i="4"/>
  <c r="CJ186" i="4"/>
  <c r="CJ187" i="4"/>
  <c r="CJ188" i="4"/>
  <c r="CJ189" i="4"/>
  <c r="CJ190" i="4"/>
  <c r="CJ191" i="4"/>
  <c r="CJ192" i="4"/>
  <c r="CJ193" i="4"/>
  <c r="CJ194" i="4"/>
  <c r="CJ195" i="4"/>
  <c r="CJ196" i="4"/>
  <c r="CK196" i="4" s="1"/>
  <c r="CJ197" i="4"/>
  <c r="CK197" i="4" s="1"/>
  <c r="CJ198" i="4"/>
  <c r="CJ199" i="4"/>
  <c r="CJ200" i="4"/>
  <c r="CJ201" i="4"/>
  <c r="CJ202" i="4"/>
  <c r="CJ203" i="4"/>
  <c r="CJ204" i="4"/>
  <c r="CJ205" i="4"/>
  <c r="CJ206" i="4"/>
  <c r="CJ207" i="4"/>
  <c r="CK207" i="4" s="1"/>
  <c r="CJ208" i="4"/>
  <c r="CK208" i="4" s="1"/>
  <c r="CJ209" i="4"/>
  <c r="CK209" i="4" s="1"/>
  <c r="CJ210" i="4"/>
  <c r="CJ211" i="4"/>
  <c r="CJ212" i="4"/>
  <c r="CJ213" i="4"/>
  <c r="CJ214" i="4"/>
  <c r="CJ215" i="4"/>
  <c r="CJ216" i="4"/>
  <c r="CJ217" i="4"/>
  <c r="CJ218" i="4"/>
  <c r="CJ219" i="4"/>
  <c r="CJ220" i="4"/>
  <c r="CK220" i="4" s="1"/>
  <c r="CJ221" i="4"/>
  <c r="CK221" i="4" s="1"/>
  <c r="CJ222" i="4"/>
  <c r="CJ223" i="4"/>
  <c r="CJ224" i="4"/>
  <c r="CJ225" i="4"/>
  <c r="CJ226" i="4"/>
  <c r="CJ227" i="4"/>
  <c r="CJ228" i="4"/>
  <c r="CJ229" i="4"/>
  <c r="CJ230" i="4"/>
  <c r="CJ231" i="4"/>
  <c r="CJ232" i="4"/>
  <c r="CJ233" i="4"/>
  <c r="CJ234" i="4"/>
  <c r="CJ235" i="4"/>
  <c r="CJ236" i="4"/>
  <c r="CJ237" i="4"/>
  <c r="CJ238" i="4"/>
  <c r="CJ239" i="4"/>
  <c r="CJ240" i="4"/>
  <c r="CJ241" i="4"/>
  <c r="CJ242" i="4"/>
  <c r="CJ243" i="4"/>
  <c r="CK243" i="4" s="1"/>
  <c r="CJ244" i="4"/>
  <c r="CK244" i="4" s="1"/>
  <c r="CJ245" i="4"/>
  <c r="CJ246" i="4"/>
  <c r="CJ247" i="4"/>
  <c r="CJ248" i="4"/>
  <c r="CJ249" i="4"/>
  <c r="CJ250" i="4"/>
  <c r="CJ251" i="4"/>
  <c r="CJ252" i="4"/>
  <c r="CJ253" i="4"/>
  <c r="CJ254" i="4"/>
  <c r="CJ255" i="4"/>
  <c r="CK255" i="4" s="1"/>
  <c r="CJ256" i="4"/>
  <c r="CK256" i="4" s="1"/>
  <c r="CJ257" i="4"/>
  <c r="CK257" i="4" s="1"/>
  <c r="CJ258" i="4"/>
  <c r="CJ259" i="4"/>
  <c r="CJ260" i="4"/>
  <c r="CJ261" i="4"/>
  <c r="CJ262" i="4"/>
  <c r="CJ263" i="4"/>
  <c r="CJ264" i="4"/>
  <c r="CJ265" i="4"/>
  <c r="CJ266" i="4"/>
  <c r="CJ267" i="4"/>
  <c r="CK267" i="4" s="1"/>
  <c r="CJ268" i="4"/>
  <c r="CK268" i="4" s="1"/>
  <c r="CJ269" i="4"/>
  <c r="CK269" i="4" s="1"/>
  <c r="CJ270" i="4"/>
  <c r="CJ271" i="4"/>
  <c r="CJ272" i="4"/>
  <c r="CJ273" i="4"/>
  <c r="CJ274" i="4"/>
  <c r="CK274" i="4" s="1"/>
  <c r="CJ275" i="4"/>
  <c r="CK275" i="4" s="1"/>
  <c r="CJ276" i="4"/>
  <c r="CK276" i="4" s="1"/>
  <c r="CJ277" i="4"/>
  <c r="CK277" i="4" s="1"/>
  <c r="CJ278" i="4"/>
  <c r="CK278" i="4" s="1"/>
  <c r="CJ279" i="4"/>
  <c r="CK279" i="4" s="1"/>
  <c r="CJ280" i="4"/>
  <c r="CK280" i="4" s="1"/>
  <c r="CJ281" i="4"/>
  <c r="CK281" i="4" s="1"/>
  <c r="CJ282" i="4"/>
  <c r="CK282" i="4" s="1"/>
  <c r="CJ283" i="4"/>
  <c r="CJ284" i="4"/>
  <c r="CJ285" i="4"/>
  <c r="CJ286" i="4"/>
  <c r="CJ287" i="4"/>
  <c r="CJ288" i="4"/>
  <c r="CK288" i="4" s="1"/>
  <c r="CJ289" i="4"/>
  <c r="CK289" i="4" s="1"/>
  <c r="CJ290" i="4"/>
  <c r="CJ291" i="4"/>
  <c r="CK291" i="4" s="1"/>
  <c r="CJ292" i="4"/>
  <c r="CK292" i="4" s="1"/>
  <c r="CJ293" i="4"/>
  <c r="CK293" i="4" s="1"/>
  <c r="CJ294" i="4"/>
  <c r="CJ295" i="4"/>
  <c r="CJ296" i="4"/>
  <c r="CJ297" i="4"/>
  <c r="CJ298" i="4"/>
  <c r="CJ299" i="4"/>
  <c r="CJ300" i="4"/>
  <c r="CJ11" i="4"/>
  <c r="H274" i="4"/>
  <c r="I274" i="4" s="1"/>
  <c r="H275" i="4"/>
  <c r="I275" i="4" s="1"/>
  <c r="H276" i="4"/>
  <c r="I276" i="4" s="1"/>
  <c r="H277" i="4"/>
  <c r="I277" i="4" s="1"/>
  <c r="H278" i="4"/>
  <c r="H279" i="4"/>
  <c r="H280" i="4"/>
  <c r="H281" i="4"/>
  <c r="H282" i="4"/>
  <c r="H283" i="4"/>
  <c r="H284" i="4"/>
  <c r="H285" i="4"/>
  <c r="I285" i="4" s="1"/>
  <c r="H286" i="4"/>
  <c r="I286" i="4" s="1"/>
  <c r="H287" i="4"/>
  <c r="I287" i="4" s="1"/>
  <c r="H288" i="4"/>
  <c r="I288" i="4" s="1"/>
  <c r="H289" i="4"/>
  <c r="I289" i="4" s="1"/>
  <c r="H290" i="4"/>
  <c r="I278" i="4"/>
  <c r="I279" i="4"/>
  <c r="I280" i="4"/>
  <c r="I281" i="4"/>
  <c r="I282" i="4"/>
  <c r="I283" i="4"/>
  <c r="I284" i="4"/>
  <c r="I290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N274" i="4"/>
  <c r="AZ274" i="4" s="1"/>
  <c r="N275" i="4"/>
  <c r="AZ275" i="4" s="1"/>
  <c r="N276" i="4"/>
  <c r="AZ276" i="4" s="1"/>
  <c r="N277" i="4"/>
  <c r="N278" i="4"/>
  <c r="N279" i="4"/>
  <c r="N280" i="4"/>
  <c r="N281" i="4"/>
  <c r="N282" i="4"/>
  <c r="N283" i="4"/>
  <c r="N284" i="4"/>
  <c r="AZ284" i="4" s="1"/>
  <c r="N285" i="4"/>
  <c r="AZ285" i="4" s="1"/>
  <c r="N286" i="4"/>
  <c r="AZ286" i="4" s="1"/>
  <c r="N287" i="4"/>
  <c r="AZ287" i="4" s="1"/>
  <c r="N288" i="4"/>
  <c r="AZ288" i="4" s="1"/>
  <c r="N289" i="4"/>
  <c r="N290" i="4"/>
  <c r="AZ277" i="4"/>
  <c r="AZ278" i="4"/>
  <c r="AZ279" i="4"/>
  <c r="AZ280" i="4"/>
  <c r="AZ281" i="4"/>
  <c r="AZ282" i="4"/>
  <c r="AZ283" i="4"/>
  <c r="AZ289" i="4"/>
  <c r="AZ290" i="4"/>
  <c r="BB274" i="4"/>
  <c r="BC274" i="4" s="1"/>
  <c r="BB275" i="4"/>
  <c r="BC275" i="4" s="1"/>
  <c r="BB276" i="4"/>
  <c r="BC276" i="4" s="1"/>
  <c r="BB277" i="4"/>
  <c r="BC277" i="4" s="1"/>
  <c r="BB278" i="4"/>
  <c r="BC278" i="4" s="1"/>
  <c r="BB279" i="4"/>
  <c r="BB280" i="4"/>
  <c r="BB281" i="4"/>
  <c r="BB282" i="4"/>
  <c r="BB283" i="4"/>
  <c r="BB284" i="4"/>
  <c r="BB285" i="4"/>
  <c r="BB286" i="4"/>
  <c r="BC286" i="4" s="1"/>
  <c r="BB287" i="4"/>
  <c r="BC287" i="4" s="1"/>
  <c r="BB288" i="4"/>
  <c r="BC288" i="4" s="1"/>
  <c r="BB289" i="4"/>
  <c r="BC289" i="4" s="1"/>
  <c r="BB290" i="4"/>
  <c r="BC290" i="4" s="1"/>
  <c r="BC279" i="4"/>
  <c r="BC280" i="4"/>
  <c r="BC281" i="4"/>
  <c r="BC282" i="4"/>
  <c r="BC283" i="4"/>
  <c r="BC284" i="4"/>
  <c r="BC285" i="4"/>
  <c r="BG274" i="4"/>
  <c r="BG275" i="4"/>
  <c r="BG276" i="4"/>
  <c r="BH276" i="4" s="1"/>
  <c r="BG277" i="4"/>
  <c r="BH277" i="4" s="1"/>
  <c r="BG278" i="4"/>
  <c r="BH278" i="4" s="1"/>
  <c r="BG279" i="4"/>
  <c r="BH279" i="4" s="1"/>
  <c r="BG280" i="4"/>
  <c r="BH280" i="4" s="1"/>
  <c r="BG281" i="4"/>
  <c r="BG282" i="4"/>
  <c r="BG283" i="4"/>
  <c r="BG284" i="4"/>
  <c r="BG285" i="4"/>
  <c r="BG286" i="4"/>
  <c r="BG287" i="4"/>
  <c r="BG288" i="4"/>
  <c r="BH288" i="4" s="1"/>
  <c r="BG289" i="4"/>
  <c r="BH289" i="4" s="1"/>
  <c r="BG290" i="4"/>
  <c r="BH290" i="4" s="1"/>
  <c r="BH274" i="4"/>
  <c r="BH275" i="4"/>
  <c r="BH281" i="4"/>
  <c r="BH282" i="4"/>
  <c r="BH283" i="4"/>
  <c r="BH284" i="4"/>
  <c r="BH285" i="4"/>
  <c r="BH286" i="4"/>
  <c r="BH287" i="4"/>
  <c r="BK274" i="4"/>
  <c r="BK275" i="4"/>
  <c r="BK276" i="4"/>
  <c r="BK277" i="4"/>
  <c r="BK278" i="4"/>
  <c r="BK279" i="4"/>
  <c r="BK280" i="4"/>
  <c r="BK281" i="4"/>
  <c r="BK282" i="4"/>
  <c r="BK285" i="4"/>
  <c r="BK286" i="4"/>
  <c r="BK287" i="4"/>
  <c r="BK288" i="4"/>
  <c r="BK289" i="4"/>
  <c r="BK290" i="4"/>
  <c r="BM274" i="4"/>
  <c r="BN274" i="4" s="1"/>
  <c r="BM275" i="4"/>
  <c r="BN275" i="4" s="1"/>
  <c r="BM276" i="4"/>
  <c r="BN276" i="4" s="1"/>
  <c r="BM277" i="4"/>
  <c r="BN277" i="4" s="1"/>
  <c r="BM278" i="4"/>
  <c r="BM279" i="4"/>
  <c r="BM280" i="4"/>
  <c r="BM281" i="4"/>
  <c r="BM282" i="4"/>
  <c r="BM283" i="4"/>
  <c r="BM284" i="4"/>
  <c r="BM285" i="4"/>
  <c r="BN285" i="4" s="1"/>
  <c r="BM286" i="4"/>
  <c r="BN286" i="4" s="1"/>
  <c r="BM287" i="4"/>
  <c r="BN287" i="4" s="1"/>
  <c r="BM288" i="4"/>
  <c r="BN288" i="4" s="1"/>
  <c r="BM289" i="4"/>
  <c r="BN289" i="4" s="1"/>
  <c r="BM290" i="4"/>
  <c r="BN278" i="4"/>
  <c r="BN279" i="4"/>
  <c r="BN280" i="4"/>
  <c r="BN281" i="4"/>
  <c r="BN282" i="4"/>
  <c r="BN283" i="4"/>
  <c r="BN284" i="4"/>
  <c r="BN290" i="4"/>
  <c r="BP274" i="4"/>
  <c r="BP275" i="4"/>
  <c r="BQ275" i="4" s="1"/>
  <c r="BP276" i="4"/>
  <c r="BQ276" i="4" s="1"/>
  <c r="BP277" i="4"/>
  <c r="BQ277" i="4" s="1"/>
  <c r="BP278" i="4"/>
  <c r="BQ278" i="4" s="1"/>
  <c r="BP279" i="4"/>
  <c r="BQ279" i="4" s="1"/>
  <c r="BP280" i="4"/>
  <c r="BP281" i="4"/>
  <c r="BP282" i="4"/>
  <c r="BP283" i="4"/>
  <c r="BP284" i="4"/>
  <c r="BP285" i="4"/>
  <c r="BP286" i="4"/>
  <c r="BP287" i="4"/>
  <c r="BQ287" i="4" s="1"/>
  <c r="BP288" i="4"/>
  <c r="BQ288" i="4" s="1"/>
  <c r="BP289" i="4"/>
  <c r="BQ289" i="4" s="1"/>
  <c r="BP290" i="4"/>
  <c r="BQ290" i="4" s="1"/>
  <c r="BQ274" i="4"/>
  <c r="BQ280" i="4"/>
  <c r="BQ281" i="4"/>
  <c r="BQ282" i="4"/>
  <c r="BQ283" i="4"/>
  <c r="BQ284" i="4"/>
  <c r="BQ285" i="4"/>
  <c r="BQ286" i="4"/>
  <c r="BS274" i="4"/>
  <c r="BS275" i="4"/>
  <c r="BS276" i="4"/>
  <c r="BS277" i="4"/>
  <c r="BT277" i="4" s="1"/>
  <c r="BS278" i="4"/>
  <c r="BT278" i="4" s="1"/>
  <c r="BS279" i="4"/>
  <c r="BT279" i="4" s="1"/>
  <c r="BS280" i="4"/>
  <c r="BT280" i="4" s="1"/>
  <c r="BS281" i="4"/>
  <c r="BT281" i="4" s="1"/>
  <c r="BS282" i="4"/>
  <c r="BS283" i="4"/>
  <c r="BS284" i="4"/>
  <c r="BS285" i="4"/>
  <c r="BS286" i="4"/>
  <c r="BS287" i="4"/>
  <c r="BS288" i="4"/>
  <c r="BS289" i="4"/>
  <c r="BT289" i="4" s="1"/>
  <c r="BS290" i="4"/>
  <c r="BT290" i="4" s="1"/>
  <c r="BT274" i="4"/>
  <c r="BT275" i="4"/>
  <c r="BT276" i="4"/>
  <c r="BT282" i="4"/>
  <c r="BT283" i="4"/>
  <c r="BT284" i="4"/>
  <c r="BT285" i="4"/>
  <c r="BT286" i="4"/>
  <c r="BT287" i="4"/>
  <c r="BT288" i="4"/>
  <c r="BW274" i="4"/>
  <c r="BW275" i="4"/>
  <c r="BW276" i="4"/>
  <c r="BW277" i="4"/>
  <c r="BW278" i="4"/>
  <c r="BW279" i="4"/>
  <c r="BX279" i="4" s="1"/>
  <c r="BW280" i="4"/>
  <c r="BX280" i="4" s="1"/>
  <c r="BW281" i="4"/>
  <c r="BX281" i="4" s="1"/>
  <c r="BW282" i="4"/>
  <c r="BX282" i="4" s="1"/>
  <c r="BW283" i="4"/>
  <c r="BX283" i="4" s="1"/>
  <c r="BW284" i="4"/>
  <c r="BW285" i="4"/>
  <c r="BW286" i="4"/>
  <c r="BW287" i="4"/>
  <c r="BW288" i="4"/>
  <c r="BW289" i="4"/>
  <c r="BW290" i="4"/>
  <c r="BX274" i="4"/>
  <c r="BX275" i="4"/>
  <c r="BX276" i="4"/>
  <c r="BX277" i="4"/>
  <c r="BX278" i="4"/>
  <c r="BX284" i="4"/>
  <c r="BX285" i="4"/>
  <c r="BX286" i="4"/>
  <c r="BX287" i="4"/>
  <c r="BX288" i="4"/>
  <c r="BX289" i="4"/>
  <c r="BX290" i="4"/>
  <c r="BZ274" i="4"/>
  <c r="BZ275" i="4"/>
  <c r="BZ276" i="4"/>
  <c r="BZ277" i="4"/>
  <c r="BZ278" i="4"/>
  <c r="BZ279" i="4"/>
  <c r="BZ280" i="4"/>
  <c r="BZ281" i="4"/>
  <c r="CA281" i="4" s="1"/>
  <c r="BZ282" i="4"/>
  <c r="CA282" i="4" s="1"/>
  <c r="BZ283" i="4"/>
  <c r="CA283" i="4" s="1"/>
  <c r="BZ284" i="4"/>
  <c r="CA284" i="4" s="1"/>
  <c r="BZ285" i="4"/>
  <c r="CA285" i="4" s="1"/>
  <c r="BZ286" i="4"/>
  <c r="BZ287" i="4"/>
  <c r="BZ288" i="4"/>
  <c r="BZ289" i="4"/>
  <c r="BZ290" i="4"/>
  <c r="CA274" i="4"/>
  <c r="CA275" i="4"/>
  <c r="CA276" i="4"/>
  <c r="CA277" i="4"/>
  <c r="CA278" i="4"/>
  <c r="CA279" i="4"/>
  <c r="CA280" i="4"/>
  <c r="CA286" i="4"/>
  <c r="CA287" i="4"/>
  <c r="CA288" i="4"/>
  <c r="CA289" i="4"/>
  <c r="CA290" i="4"/>
  <c r="CC274" i="4"/>
  <c r="CD274" i="4" s="1"/>
  <c r="CC275" i="4"/>
  <c r="CD275" i="4" s="1"/>
  <c r="CC276" i="4"/>
  <c r="CC277" i="4"/>
  <c r="CC278" i="4"/>
  <c r="CC279" i="4"/>
  <c r="CC280" i="4"/>
  <c r="CC281" i="4"/>
  <c r="CC282" i="4"/>
  <c r="CC283" i="4"/>
  <c r="CD283" i="4" s="1"/>
  <c r="CC284" i="4"/>
  <c r="CD284" i="4" s="1"/>
  <c r="CC285" i="4"/>
  <c r="CD285" i="4" s="1"/>
  <c r="CC286" i="4"/>
  <c r="CD286" i="4" s="1"/>
  <c r="CC287" i="4"/>
  <c r="CD287" i="4" s="1"/>
  <c r="CC288" i="4"/>
  <c r="CC289" i="4"/>
  <c r="CC290" i="4"/>
  <c r="CD276" i="4"/>
  <c r="CD277" i="4"/>
  <c r="CD278" i="4"/>
  <c r="CD279" i="4"/>
  <c r="CD280" i="4"/>
  <c r="CD281" i="4"/>
  <c r="CD282" i="4"/>
  <c r="CD288" i="4"/>
  <c r="CD289" i="4"/>
  <c r="CD290" i="4"/>
  <c r="CG275" i="4"/>
  <c r="CG276" i="4"/>
  <c r="CG277" i="4"/>
  <c r="CG278" i="4"/>
  <c r="CG279" i="4"/>
  <c r="CG280" i="4"/>
  <c r="CG281" i="4"/>
  <c r="CG282" i="4"/>
  <c r="CG283" i="4"/>
  <c r="CG284" i="4"/>
  <c r="CG287" i="4"/>
  <c r="CG288" i="4"/>
  <c r="CG289" i="4"/>
  <c r="CG290" i="4"/>
  <c r="CK283" i="4"/>
  <c r="CK284" i="4"/>
  <c r="CK285" i="4"/>
  <c r="CK286" i="4"/>
  <c r="CK287" i="4"/>
  <c r="CK290" i="4"/>
  <c r="CN274" i="4"/>
  <c r="CN275" i="4"/>
  <c r="CN276" i="4"/>
  <c r="CN277" i="4"/>
  <c r="CN278" i="4"/>
  <c r="CN279" i="4"/>
  <c r="CN283" i="4"/>
  <c r="CN284" i="4"/>
  <c r="CN285" i="4"/>
  <c r="CN286" i="4"/>
  <c r="CN287" i="4"/>
  <c r="CN288" i="4"/>
  <c r="CN289" i="4"/>
  <c r="CN290" i="4"/>
  <c r="CR274" i="4"/>
  <c r="CR275" i="4"/>
  <c r="CR276" i="4"/>
  <c r="CR277" i="4"/>
  <c r="CR278" i="4"/>
  <c r="CR279" i="4"/>
  <c r="CR280" i="4"/>
  <c r="CR281" i="4"/>
  <c r="CR282" i="4"/>
  <c r="CR283" i="4"/>
  <c r="CR284" i="4"/>
  <c r="CR285" i="4"/>
  <c r="CR286" i="4"/>
  <c r="CR287" i="4"/>
  <c r="CR288" i="4"/>
  <c r="CR289" i="4"/>
  <c r="CR290" i="4"/>
  <c r="CS274" i="4"/>
  <c r="CT274" i="4" s="1"/>
  <c r="CU274" i="4" s="1"/>
  <c r="CS275" i="4"/>
  <c r="CT275" i="4" s="1"/>
  <c r="CU275" i="4" s="1"/>
  <c r="CS276" i="4"/>
  <c r="CT276" i="4" s="1"/>
  <c r="CU276" i="4" s="1"/>
  <c r="CS277" i="4"/>
  <c r="CT277" i="4" s="1"/>
  <c r="CS278" i="4"/>
  <c r="CT278" i="4" s="1"/>
  <c r="CS279" i="4"/>
  <c r="CT279" i="4" s="1"/>
  <c r="CS280" i="4"/>
  <c r="CT280" i="4" s="1"/>
  <c r="CS281" i="4"/>
  <c r="CT281" i="4" s="1"/>
  <c r="CS282" i="4"/>
  <c r="CT282" i="4" s="1"/>
  <c r="CS283" i="4"/>
  <c r="CT283" i="4" s="1"/>
  <c r="CS284" i="4"/>
  <c r="CT284" i="4" s="1"/>
  <c r="CU284" i="4" s="1"/>
  <c r="CS285" i="4"/>
  <c r="CT285" i="4" s="1"/>
  <c r="CU285" i="4" s="1"/>
  <c r="CS286" i="4"/>
  <c r="CT286" i="4" s="1"/>
  <c r="CU286" i="4" s="1"/>
  <c r="CS287" i="4"/>
  <c r="CT287" i="4" s="1"/>
  <c r="CU287" i="4" s="1"/>
  <c r="CS288" i="4"/>
  <c r="CT288" i="4" s="1"/>
  <c r="CU288" i="4" s="1"/>
  <c r="CS289" i="4"/>
  <c r="CT289" i="4" s="1"/>
  <c r="CS290" i="4"/>
  <c r="CT290" i="4" s="1"/>
  <c r="CU277" i="4"/>
  <c r="CU278" i="4"/>
  <c r="CU279" i="4"/>
  <c r="CU280" i="4"/>
  <c r="CU281" i="4"/>
  <c r="CU282" i="4"/>
  <c r="CU283" i="4"/>
  <c r="CU289" i="4"/>
  <c r="CU290" i="4"/>
  <c r="CX274" i="4"/>
  <c r="CY274" i="4" s="1"/>
  <c r="CX275" i="4"/>
  <c r="CY275" i="4" s="1"/>
  <c r="CX276" i="4"/>
  <c r="CY276" i="4" s="1"/>
  <c r="CX277" i="4"/>
  <c r="CY277" i="4" s="1"/>
  <c r="CX278" i="4"/>
  <c r="CY278" i="4" s="1"/>
  <c r="CX279" i="4"/>
  <c r="CX280" i="4"/>
  <c r="CX281" i="4"/>
  <c r="CX282" i="4"/>
  <c r="CY282" i="4" s="1"/>
  <c r="CX283" i="4"/>
  <c r="CY283" i="4" s="1"/>
  <c r="CX284" i="4"/>
  <c r="CY284" i="4" s="1"/>
  <c r="CX285" i="4"/>
  <c r="CX286" i="4"/>
  <c r="CY286" i="4" s="1"/>
  <c r="CX287" i="4"/>
  <c r="CX288" i="4"/>
  <c r="CY288" i="4" s="1"/>
  <c r="CX289" i="4"/>
  <c r="CY289" i="4" s="1"/>
  <c r="CX290" i="4"/>
  <c r="CY290" i="4" s="1"/>
  <c r="CY279" i="4"/>
  <c r="CY280" i="4"/>
  <c r="CY281" i="4"/>
  <c r="CY285" i="4"/>
  <c r="CY287" i="4"/>
  <c r="CZ274" i="4"/>
  <c r="CZ275" i="4"/>
  <c r="CZ276" i="4"/>
  <c r="CZ277" i="4"/>
  <c r="CZ278" i="4"/>
  <c r="CZ279" i="4"/>
  <c r="DB279" i="4" s="1"/>
  <c r="CZ280" i="4"/>
  <c r="DB280" i="4" s="1"/>
  <c r="CZ281" i="4"/>
  <c r="DB281" i="4" s="1"/>
  <c r="CZ282" i="4"/>
  <c r="DB282" i="4" s="1"/>
  <c r="CZ283" i="4"/>
  <c r="DB283" i="4" s="1"/>
  <c r="CZ284" i="4"/>
  <c r="CZ285" i="4"/>
  <c r="CZ286" i="4"/>
  <c r="CZ287" i="4"/>
  <c r="CZ288" i="4"/>
  <c r="CZ289" i="4"/>
  <c r="CZ290" i="4"/>
  <c r="DB274" i="4"/>
  <c r="DB275" i="4"/>
  <c r="DB276" i="4"/>
  <c r="DB277" i="4"/>
  <c r="DB278" i="4"/>
  <c r="DB284" i="4"/>
  <c r="DB285" i="4"/>
  <c r="DB286" i="4"/>
  <c r="DB287" i="4"/>
  <c r="DB288" i="4"/>
  <c r="DB289" i="4"/>
  <c r="DB290" i="4"/>
  <c r="DD274" i="4"/>
  <c r="DD275" i="4"/>
  <c r="DD276" i="4"/>
  <c r="DD277" i="4"/>
  <c r="DD278" i="4"/>
  <c r="DD279" i="4"/>
  <c r="DD280" i="4"/>
  <c r="DD281" i="4"/>
  <c r="DE281" i="4" s="1"/>
  <c r="DD282" i="4"/>
  <c r="DE282" i="4" s="1"/>
  <c r="DD283" i="4"/>
  <c r="DE283" i="4" s="1"/>
  <c r="DD284" i="4"/>
  <c r="DE284" i="4" s="1"/>
  <c r="DD285" i="4"/>
  <c r="DE285" i="4" s="1"/>
  <c r="DD286" i="4"/>
  <c r="DD287" i="4"/>
  <c r="DD288" i="4"/>
  <c r="DD289" i="4"/>
  <c r="DD290" i="4"/>
  <c r="DE274" i="4"/>
  <c r="DE275" i="4"/>
  <c r="DE276" i="4"/>
  <c r="DE277" i="4"/>
  <c r="DE278" i="4"/>
  <c r="DE279" i="4"/>
  <c r="DE280" i="4"/>
  <c r="DE286" i="4"/>
  <c r="DE287" i="4"/>
  <c r="DE288" i="4"/>
  <c r="DE289" i="4"/>
  <c r="DE290" i="4"/>
  <c r="DG274" i="4"/>
  <c r="DH274" i="4" s="1"/>
  <c r="DG275" i="4"/>
  <c r="DH275" i="4" s="1"/>
  <c r="DG276" i="4"/>
  <c r="DG277" i="4"/>
  <c r="DG278" i="4"/>
  <c r="DG279" i="4"/>
  <c r="DG280" i="4"/>
  <c r="DG281" i="4"/>
  <c r="DG282" i="4"/>
  <c r="DG283" i="4"/>
  <c r="DH283" i="4" s="1"/>
  <c r="DG284" i="4"/>
  <c r="DH284" i="4" s="1"/>
  <c r="DG285" i="4"/>
  <c r="DH285" i="4" s="1"/>
  <c r="DG286" i="4"/>
  <c r="DH286" i="4" s="1"/>
  <c r="DG287" i="4"/>
  <c r="DH287" i="4" s="1"/>
  <c r="DG288" i="4"/>
  <c r="DG289" i="4"/>
  <c r="DG290" i="4"/>
  <c r="DH276" i="4"/>
  <c r="DH277" i="4"/>
  <c r="DH278" i="4"/>
  <c r="DH279" i="4"/>
  <c r="DH280" i="4"/>
  <c r="DH281" i="4"/>
  <c r="DH282" i="4"/>
  <c r="DH288" i="4"/>
  <c r="DH289" i="4"/>
  <c r="DH290" i="4"/>
  <c r="DN274" i="4"/>
  <c r="DO274" i="4" s="1"/>
  <c r="DN275" i="4"/>
  <c r="DN276" i="4"/>
  <c r="DN277" i="4"/>
  <c r="DO277" i="4" s="1"/>
  <c r="DN278" i="4"/>
  <c r="DN279" i="4"/>
  <c r="DN280" i="4"/>
  <c r="DN281" i="4"/>
  <c r="DN282" i="4"/>
  <c r="DR282" i="4" s="1"/>
  <c r="DS282" i="4" s="1"/>
  <c r="DN283" i="4"/>
  <c r="DR283" i="4" s="1"/>
  <c r="DS283" i="4" s="1"/>
  <c r="DN284" i="4"/>
  <c r="DN285" i="4"/>
  <c r="DO285" i="4" s="1"/>
  <c r="DN286" i="4"/>
  <c r="DO286" i="4" s="1"/>
  <c r="DN287" i="4"/>
  <c r="DN288" i="4"/>
  <c r="DN289" i="4"/>
  <c r="DO289" i="4" s="1"/>
  <c r="DN290" i="4"/>
  <c r="DO278" i="4"/>
  <c r="DO279" i="4"/>
  <c r="DO280" i="4"/>
  <c r="DO281" i="4"/>
  <c r="DO282" i="4"/>
  <c r="DO283" i="4"/>
  <c r="DO284" i="4"/>
  <c r="DO290" i="4"/>
  <c r="DR277" i="4"/>
  <c r="DS277" i="4" s="1"/>
  <c r="DR278" i="4"/>
  <c r="DS278" i="4" s="1"/>
  <c r="DR279" i="4"/>
  <c r="DS279" i="4" s="1"/>
  <c r="DR280" i="4"/>
  <c r="DR281" i="4"/>
  <c r="DR284" i="4"/>
  <c r="DR285" i="4"/>
  <c r="DR289" i="4"/>
  <c r="DS289" i="4" s="1"/>
  <c r="DR290" i="4"/>
  <c r="DS290" i="4" s="1"/>
  <c r="DS280" i="4"/>
  <c r="DS281" i="4"/>
  <c r="DS284" i="4"/>
  <c r="DS285" i="4"/>
  <c r="DT274" i="4"/>
  <c r="DT275" i="4"/>
  <c r="DT276" i="4"/>
  <c r="DT277" i="4"/>
  <c r="DX277" i="4" s="1"/>
  <c r="DT278" i="4"/>
  <c r="DX278" i="4" s="1"/>
  <c r="DT279" i="4"/>
  <c r="DX279" i="4" s="1"/>
  <c r="DT280" i="4"/>
  <c r="DX280" i="4" s="1"/>
  <c r="DT281" i="4"/>
  <c r="DX281" i="4" s="1"/>
  <c r="DT282" i="4"/>
  <c r="DT283" i="4"/>
  <c r="DT284" i="4"/>
  <c r="DT285" i="4"/>
  <c r="DT286" i="4"/>
  <c r="DT287" i="4"/>
  <c r="DT288" i="4"/>
  <c r="DT289" i="4"/>
  <c r="DX289" i="4" s="1"/>
  <c r="DT290" i="4"/>
  <c r="DX290" i="4" s="1"/>
  <c r="DX274" i="4"/>
  <c r="DX275" i="4"/>
  <c r="DX276" i="4"/>
  <c r="DX282" i="4"/>
  <c r="DX283" i="4"/>
  <c r="DX284" i="4"/>
  <c r="DX285" i="4"/>
  <c r="DX286" i="4"/>
  <c r="DX287" i="4"/>
  <c r="DX288" i="4"/>
  <c r="DY281" i="4"/>
  <c r="DY282" i="4"/>
  <c r="DY283" i="4"/>
  <c r="H254" i="4"/>
  <c r="I254" i="4" s="1"/>
  <c r="H255" i="4"/>
  <c r="I255" i="4" s="1"/>
  <c r="H256" i="4"/>
  <c r="I256" i="4" s="1"/>
  <c r="H257" i="4"/>
  <c r="I257" i="4" s="1"/>
  <c r="H258" i="4"/>
  <c r="I258" i="4" s="1"/>
  <c r="H259" i="4"/>
  <c r="H260" i="4"/>
  <c r="H261" i="4"/>
  <c r="H262" i="4"/>
  <c r="H263" i="4"/>
  <c r="H264" i="4"/>
  <c r="H265" i="4"/>
  <c r="I265" i="4" s="1"/>
  <c r="H266" i="4"/>
  <c r="I266" i="4" s="1"/>
  <c r="H267" i="4"/>
  <c r="I267" i="4" s="1"/>
  <c r="H268" i="4"/>
  <c r="I268" i="4" s="1"/>
  <c r="H269" i="4"/>
  <c r="I269" i="4" s="1"/>
  <c r="H270" i="4"/>
  <c r="I270" i="4" s="1"/>
  <c r="H271" i="4"/>
  <c r="I259" i="4"/>
  <c r="I260" i="4"/>
  <c r="I261" i="4"/>
  <c r="I262" i="4"/>
  <c r="I263" i="4"/>
  <c r="I264" i="4"/>
  <c r="I271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L254" i="4"/>
  <c r="L255" i="4"/>
  <c r="L256" i="4"/>
  <c r="L257" i="4"/>
  <c r="L258" i="4"/>
  <c r="L259" i="4"/>
  <c r="L260" i="4"/>
  <c r="L261" i="4"/>
  <c r="L262" i="4"/>
  <c r="L263" i="4"/>
  <c r="L264" i="4"/>
  <c r="L265" i="4"/>
  <c r="L266" i="4"/>
  <c r="L267" i="4"/>
  <c r="L268" i="4"/>
  <c r="L269" i="4"/>
  <c r="L270" i="4"/>
  <c r="L271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N254" i="4"/>
  <c r="N255" i="4"/>
  <c r="N256" i="4"/>
  <c r="N257" i="4"/>
  <c r="N258" i="4"/>
  <c r="N259" i="4"/>
  <c r="N260" i="4"/>
  <c r="AZ260" i="4" s="1"/>
  <c r="N261" i="4"/>
  <c r="AZ261" i="4" s="1"/>
  <c r="N262" i="4"/>
  <c r="AZ262" i="4" s="1"/>
  <c r="N263" i="4"/>
  <c r="AZ263" i="4" s="1"/>
  <c r="N264" i="4"/>
  <c r="AZ264" i="4" s="1"/>
  <c r="N265" i="4"/>
  <c r="N266" i="4"/>
  <c r="N267" i="4"/>
  <c r="N268" i="4"/>
  <c r="N269" i="4"/>
  <c r="N270" i="4"/>
  <c r="N271" i="4"/>
  <c r="AZ254" i="4"/>
  <c r="AZ255" i="4"/>
  <c r="AZ256" i="4"/>
  <c r="AZ257" i="4"/>
  <c r="AZ258" i="4"/>
  <c r="AZ259" i="4"/>
  <c r="AZ265" i="4"/>
  <c r="AZ266" i="4"/>
  <c r="AZ267" i="4"/>
  <c r="AZ268" i="4"/>
  <c r="AZ269" i="4"/>
  <c r="AZ270" i="4"/>
  <c r="AZ271" i="4"/>
  <c r="BB254" i="4"/>
  <c r="BB255" i="4"/>
  <c r="BB256" i="4"/>
  <c r="BB257" i="4"/>
  <c r="BB258" i="4"/>
  <c r="BB259" i="4"/>
  <c r="BB260" i="4"/>
  <c r="BC260" i="4" s="1"/>
  <c r="BB261" i="4"/>
  <c r="BC261" i="4" s="1"/>
  <c r="BB262" i="4"/>
  <c r="BC262" i="4" s="1"/>
  <c r="BB263" i="4"/>
  <c r="BC263" i="4" s="1"/>
  <c r="BB264" i="4"/>
  <c r="BC264" i="4" s="1"/>
  <c r="BB265" i="4"/>
  <c r="BB266" i="4"/>
  <c r="BB267" i="4"/>
  <c r="BB268" i="4"/>
  <c r="BB269" i="4"/>
  <c r="BB270" i="4"/>
  <c r="BB271" i="4"/>
  <c r="BC254" i="4"/>
  <c r="BC255" i="4"/>
  <c r="BC256" i="4"/>
  <c r="BC257" i="4"/>
  <c r="BC258" i="4"/>
  <c r="BC259" i="4"/>
  <c r="BC265" i="4"/>
  <c r="BC266" i="4"/>
  <c r="BC267" i="4"/>
  <c r="BC268" i="4"/>
  <c r="BC269" i="4"/>
  <c r="BC270" i="4"/>
  <c r="BC271" i="4"/>
  <c r="BG254" i="4"/>
  <c r="BG255" i="4"/>
  <c r="BG256" i="4"/>
  <c r="BG257" i="4"/>
  <c r="BG258" i="4"/>
  <c r="BG259" i="4"/>
  <c r="BG260" i="4"/>
  <c r="BH260" i="4" s="1"/>
  <c r="BG261" i="4"/>
  <c r="BH261" i="4" s="1"/>
  <c r="BG262" i="4"/>
  <c r="BH262" i="4" s="1"/>
  <c r="BG263" i="4"/>
  <c r="BH263" i="4" s="1"/>
  <c r="BG264" i="4"/>
  <c r="BH264" i="4" s="1"/>
  <c r="BG265" i="4"/>
  <c r="BG266" i="4"/>
  <c r="BG267" i="4"/>
  <c r="BG268" i="4"/>
  <c r="BG269" i="4"/>
  <c r="BG270" i="4"/>
  <c r="BG271" i="4"/>
  <c r="BH254" i="4"/>
  <c r="BH255" i="4"/>
  <c r="BH256" i="4"/>
  <c r="BH257" i="4"/>
  <c r="BH258" i="4"/>
  <c r="BH259" i="4"/>
  <c r="BH265" i="4"/>
  <c r="BH266" i="4"/>
  <c r="BH267" i="4"/>
  <c r="BH268" i="4"/>
  <c r="BH269" i="4"/>
  <c r="BH270" i="4"/>
  <c r="BH271" i="4"/>
  <c r="BK254" i="4"/>
  <c r="BK255" i="4"/>
  <c r="BK256" i="4"/>
  <c r="BK257" i="4"/>
  <c r="BK258" i="4"/>
  <c r="BK261" i="4"/>
  <c r="BK262" i="4"/>
  <c r="BK263" i="4"/>
  <c r="BK264" i="4"/>
  <c r="BK265" i="4"/>
  <c r="BK266" i="4"/>
  <c r="BK267" i="4"/>
  <c r="BK268" i="4"/>
  <c r="BK269" i="4"/>
  <c r="BK270" i="4"/>
  <c r="BM254" i="4"/>
  <c r="BN254" i="4" s="1"/>
  <c r="BM255" i="4"/>
  <c r="BN255" i="4" s="1"/>
  <c r="BM256" i="4"/>
  <c r="BN256" i="4" s="1"/>
  <c r="BM257" i="4"/>
  <c r="BN257" i="4" s="1"/>
  <c r="BM258" i="4"/>
  <c r="BN258" i="4" s="1"/>
  <c r="BM259" i="4"/>
  <c r="BM260" i="4"/>
  <c r="BM261" i="4"/>
  <c r="BM262" i="4"/>
  <c r="BM263" i="4"/>
  <c r="BM264" i="4"/>
  <c r="BM265" i="4"/>
  <c r="BM266" i="4"/>
  <c r="BN266" i="4" s="1"/>
  <c r="BM267" i="4"/>
  <c r="BN267" i="4" s="1"/>
  <c r="BM268" i="4"/>
  <c r="BN268" i="4" s="1"/>
  <c r="BM269" i="4"/>
  <c r="BN269" i="4" s="1"/>
  <c r="BM270" i="4"/>
  <c r="BN270" i="4" s="1"/>
  <c r="BM271" i="4"/>
  <c r="BN259" i="4"/>
  <c r="BN260" i="4"/>
  <c r="BN261" i="4"/>
  <c r="BN262" i="4"/>
  <c r="BN263" i="4"/>
  <c r="BN264" i="4"/>
  <c r="BN265" i="4"/>
  <c r="BN271" i="4"/>
  <c r="BP254" i="4"/>
  <c r="BQ254" i="4" s="1"/>
  <c r="BP255" i="4"/>
  <c r="BQ255" i="4" s="1"/>
  <c r="BP256" i="4"/>
  <c r="BQ256" i="4" s="1"/>
  <c r="BP257" i="4"/>
  <c r="BQ257" i="4" s="1"/>
  <c r="BP258" i="4"/>
  <c r="BQ258" i="4" s="1"/>
  <c r="BP259" i="4"/>
  <c r="BP260" i="4"/>
  <c r="BP261" i="4"/>
  <c r="BP262" i="4"/>
  <c r="BP263" i="4"/>
  <c r="BP264" i="4"/>
  <c r="BP265" i="4"/>
  <c r="BQ265" i="4" s="1"/>
  <c r="BP266" i="4"/>
  <c r="BQ266" i="4" s="1"/>
  <c r="BP267" i="4"/>
  <c r="BQ267" i="4" s="1"/>
  <c r="BP268" i="4"/>
  <c r="BQ268" i="4" s="1"/>
  <c r="BP269" i="4"/>
  <c r="BQ269" i="4" s="1"/>
  <c r="BP270" i="4"/>
  <c r="BQ270" i="4" s="1"/>
  <c r="BP271" i="4"/>
  <c r="BQ259" i="4"/>
  <c r="BQ260" i="4"/>
  <c r="BQ261" i="4"/>
  <c r="BQ262" i="4"/>
  <c r="BQ263" i="4"/>
  <c r="BQ264" i="4"/>
  <c r="BQ271" i="4"/>
  <c r="BS254" i="4"/>
  <c r="BT254" i="4" s="1"/>
  <c r="BS255" i="4"/>
  <c r="BT255" i="4" s="1"/>
  <c r="BS256" i="4"/>
  <c r="BT256" i="4" s="1"/>
  <c r="BS257" i="4"/>
  <c r="BT257" i="4" s="1"/>
  <c r="BS258" i="4"/>
  <c r="BT258" i="4" s="1"/>
  <c r="BS259" i="4"/>
  <c r="BS260" i="4"/>
  <c r="BS261" i="4"/>
  <c r="BS262" i="4"/>
  <c r="BS263" i="4"/>
  <c r="BS264" i="4"/>
  <c r="BS265" i="4"/>
  <c r="BT265" i="4" s="1"/>
  <c r="BS266" i="4"/>
  <c r="BT266" i="4" s="1"/>
  <c r="BS267" i="4"/>
  <c r="BT267" i="4" s="1"/>
  <c r="BS268" i="4"/>
  <c r="BT268" i="4" s="1"/>
  <c r="BS269" i="4"/>
  <c r="BT269" i="4" s="1"/>
  <c r="BS270" i="4"/>
  <c r="BT270" i="4" s="1"/>
  <c r="BS271" i="4"/>
  <c r="BT259" i="4"/>
  <c r="BT260" i="4"/>
  <c r="BT261" i="4"/>
  <c r="BT262" i="4"/>
  <c r="BT263" i="4"/>
  <c r="BT264" i="4"/>
  <c r="BT271" i="4"/>
  <c r="BW254" i="4"/>
  <c r="BX254" i="4" s="1"/>
  <c r="BW255" i="4"/>
  <c r="BX255" i="4" s="1"/>
  <c r="BW256" i="4"/>
  <c r="BX256" i="4" s="1"/>
  <c r="BW257" i="4"/>
  <c r="BX257" i="4" s="1"/>
  <c r="BW258" i="4"/>
  <c r="BX258" i="4" s="1"/>
  <c r="BW259" i="4"/>
  <c r="BW260" i="4"/>
  <c r="BW261" i="4"/>
  <c r="BW262" i="4"/>
  <c r="BW263" i="4"/>
  <c r="BW264" i="4"/>
  <c r="BW265" i="4"/>
  <c r="BX265" i="4" s="1"/>
  <c r="BW266" i="4"/>
  <c r="BX266" i="4" s="1"/>
  <c r="BW267" i="4"/>
  <c r="BX267" i="4" s="1"/>
  <c r="BW268" i="4"/>
  <c r="BX268" i="4" s="1"/>
  <c r="BW269" i="4"/>
  <c r="BX269" i="4" s="1"/>
  <c r="BW270" i="4"/>
  <c r="BX270" i="4" s="1"/>
  <c r="BW271" i="4"/>
  <c r="BX259" i="4"/>
  <c r="BX260" i="4"/>
  <c r="BX261" i="4"/>
  <c r="BX262" i="4"/>
  <c r="BX263" i="4"/>
  <c r="BX264" i="4"/>
  <c r="BX271" i="4"/>
  <c r="BZ254" i="4"/>
  <c r="CA254" i="4" s="1"/>
  <c r="BZ255" i="4"/>
  <c r="CA255" i="4" s="1"/>
  <c r="BZ256" i="4"/>
  <c r="CA256" i="4" s="1"/>
  <c r="BZ257" i="4"/>
  <c r="CA257" i="4" s="1"/>
  <c r="BZ258" i="4"/>
  <c r="CA258" i="4" s="1"/>
  <c r="BZ259" i="4"/>
  <c r="BZ260" i="4"/>
  <c r="BZ261" i="4"/>
  <c r="BZ262" i="4"/>
  <c r="BZ263" i="4"/>
  <c r="BZ264" i="4"/>
  <c r="BZ265" i="4"/>
  <c r="CA265" i="4" s="1"/>
  <c r="BZ266" i="4"/>
  <c r="CA266" i="4" s="1"/>
  <c r="BZ267" i="4"/>
  <c r="CA267" i="4" s="1"/>
  <c r="BZ268" i="4"/>
  <c r="CA268" i="4" s="1"/>
  <c r="BZ269" i="4"/>
  <c r="CA269" i="4" s="1"/>
  <c r="BZ270" i="4"/>
  <c r="CA270" i="4" s="1"/>
  <c r="BZ271" i="4"/>
  <c r="CA259" i="4"/>
  <c r="CA260" i="4"/>
  <c r="CA261" i="4"/>
  <c r="CA262" i="4"/>
  <c r="CA263" i="4"/>
  <c r="CA264" i="4"/>
  <c r="CA271" i="4"/>
  <c r="CC254" i="4"/>
  <c r="CD254" i="4" s="1"/>
  <c r="CC255" i="4"/>
  <c r="CD255" i="4" s="1"/>
  <c r="CC256" i="4"/>
  <c r="CD256" i="4" s="1"/>
  <c r="CC257" i="4"/>
  <c r="CD257" i="4" s="1"/>
  <c r="CC258" i="4"/>
  <c r="CD258" i="4" s="1"/>
  <c r="CC259" i="4"/>
  <c r="CC260" i="4"/>
  <c r="CC261" i="4"/>
  <c r="CC262" i="4"/>
  <c r="CC263" i="4"/>
  <c r="CC264" i="4"/>
  <c r="CC265" i="4"/>
  <c r="CD265" i="4" s="1"/>
  <c r="CC266" i="4"/>
  <c r="CD266" i="4" s="1"/>
  <c r="CC267" i="4"/>
  <c r="CD267" i="4" s="1"/>
  <c r="CC268" i="4"/>
  <c r="CD268" i="4" s="1"/>
  <c r="CC269" i="4"/>
  <c r="CD269" i="4" s="1"/>
  <c r="CC270" i="4"/>
  <c r="CD270" i="4" s="1"/>
  <c r="CC271" i="4"/>
  <c r="CD259" i="4"/>
  <c r="CD260" i="4"/>
  <c r="CD261" i="4"/>
  <c r="CD262" i="4"/>
  <c r="CD263" i="4"/>
  <c r="CD264" i="4"/>
  <c r="CD271" i="4"/>
  <c r="CG254" i="4"/>
  <c r="CG255" i="4"/>
  <c r="CG256" i="4"/>
  <c r="CG257" i="4"/>
  <c r="CG258" i="4"/>
  <c r="CG259" i="4"/>
  <c r="CG260" i="4"/>
  <c r="CG263" i="4"/>
  <c r="CG264" i="4"/>
  <c r="CG265" i="4"/>
  <c r="CG266" i="4"/>
  <c r="CG267" i="4"/>
  <c r="CG268" i="4"/>
  <c r="CG269" i="4"/>
  <c r="CG270" i="4"/>
  <c r="CG271" i="4"/>
  <c r="CK254" i="4"/>
  <c r="CK258" i="4"/>
  <c r="CK259" i="4"/>
  <c r="CK260" i="4"/>
  <c r="CK261" i="4"/>
  <c r="CK262" i="4"/>
  <c r="CK263" i="4"/>
  <c r="CK264" i="4"/>
  <c r="CK265" i="4"/>
  <c r="CK266" i="4"/>
  <c r="CK270" i="4"/>
  <c r="CK271" i="4"/>
  <c r="CN254" i="4"/>
  <c r="CN255" i="4"/>
  <c r="CN259" i="4"/>
  <c r="CN260" i="4"/>
  <c r="CN261" i="4"/>
  <c r="CN262" i="4"/>
  <c r="CN263" i="4"/>
  <c r="CN264" i="4"/>
  <c r="CN265" i="4"/>
  <c r="CN266" i="4"/>
  <c r="CN267" i="4"/>
  <c r="CN271" i="4"/>
  <c r="CR254" i="4"/>
  <c r="CR255" i="4"/>
  <c r="CR256" i="4"/>
  <c r="CR257" i="4"/>
  <c r="CR258" i="4"/>
  <c r="CR259" i="4"/>
  <c r="CR260" i="4"/>
  <c r="CR261" i="4"/>
  <c r="CR262" i="4"/>
  <c r="CR263" i="4"/>
  <c r="CR264" i="4"/>
  <c r="CR265" i="4"/>
  <c r="CR266" i="4"/>
  <c r="CR267" i="4"/>
  <c r="CR268" i="4"/>
  <c r="CR269" i="4"/>
  <c r="CR270" i="4"/>
  <c r="CR271" i="4"/>
  <c r="CS254" i="4"/>
  <c r="CT254" i="4" s="1"/>
  <c r="CS255" i="4"/>
  <c r="CT255" i="4" s="1"/>
  <c r="CS256" i="4"/>
  <c r="CT256" i="4" s="1"/>
  <c r="CS257" i="4"/>
  <c r="CT257" i="4" s="1"/>
  <c r="CU257" i="4" s="1"/>
  <c r="CS258" i="4"/>
  <c r="CT258" i="4" s="1"/>
  <c r="CU258" i="4" s="1"/>
  <c r="CS259" i="4"/>
  <c r="CT259" i="4" s="1"/>
  <c r="CU259" i="4" s="1"/>
  <c r="CS260" i="4"/>
  <c r="CT260" i="4" s="1"/>
  <c r="CU260" i="4" s="1"/>
  <c r="CS261" i="4"/>
  <c r="CT261" i="4" s="1"/>
  <c r="CU261" i="4" s="1"/>
  <c r="CS262" i="4"/>
  <c r="CT262" i="4" s="1"/>
  <c r="CS263" i="4"/>
  <c r="CT263" i="4" s="1"/>
  <c r="CS264" i="4"/>
  <c r="CT264" i="4" s="1"/>
  <c r="CS265" i="4"/>
  <c r="CT265" i="4" s="1"/>
  <c r="CS266" i="4"/>
  <c r="CT266" i="4" s="1"/>
  <c r="CS267" i="4"/>
  <c r="CT267" i="4" s="1"/>
  <c r="CS268" i="4"/>
  <c r="CT268" i="4" s="1"/>
  <c r="CS269" i="4"/>
  <c r="CT269" i="4" s="1"/>
  <c r="CU269" i="4" s="1"/>
  <c r="CS270" i="4"/>
  <c r="CT270" i="4" s="1"/>
  <c r="CU270" i="4" s="1"/>
  <c r="CS271" i="4"/>
  <c r="CT271" i="4" s="1"/>
  <c r="CU271" i="4" s="1"/>
  <c r="CU254" i="4"/>
  <c r="CU255" i="4"/>
  <c r="CU256" i="4"/>
  <c r="CU262" i="4"/>
  <c r="CU263" i="4"/>
  <c r="CU264" i="4"/>
  <c r="CU265" i="4"/>
  <c r="CU266" i="4"/>
  <c r="CU267" i="4"/>
  <c r="CU268" i="4"/>
  <c r="CX254" i="4"/>
  <c r="CX255" i="4"/>
  <c r="CY255" i="4" s="1"/>
  <c r="CX256" i="4"/>
  <c r="CY256" i="4" s="1"/>
  <c r="CX257" i="4"/>
  <c r="CX258" i="4"/>
  <c r="CX259" i="4"/>
  <c r="CY259" i="4" s="1"/>
  <c r="CX260" i="4"/>
  <c r="CY260" i="4" s="1"/>
  <c r="CX261" i="4"/>
  <c r="CY261" i="4" s="1"/>
  <c r="CX262" i="4"/>
  <c r="CY262" i="4" s="1"/>
  <c r="CX263" i="4"/>
  <c r="CY263" i="4" s="1"/>
  <c r="CX264" i="4"/>
  <c r="CY264" i="4" s="1"/>
  <c r="CX265" i="4"/>
  <c r="CX266" i="4"/>
  <c r="CX267" i="4"/>
  <c r="CY267" i="4" s="1"/>
  <c r="CX268" i="4"/>
  <c r="CY268" i="4" s="1"/>
  <c r="CX269" i="4"/>
  <c r="CX270" i="4"/>
  <c r="CY270" i="4" s="1"/>
  <c r="CX271" i="4"/>
  <c r="CY271" i="4" s="1"/>
  <c r="CY254" i="4"/>
  <c r="CY257" i="4"/>
  <c r="CY258" i="4"/>
  <c r="CY265" i="4"/>
  <c r="CY266" i="4"/>
  <c r="CY269" i="4"/>
  <c r="CZ254" i="4"/>
  <c r="DB254" i="4" s="1"/>
  <c r="CZ255" i="4"/>
  <c r="DB255" i="4" s="1"/>
  <c r="CZ256" i="4"/>
  <c r="DB256" i="4" s="1"/>
  <c r="CZ257" i="4"/>
  <c r="DB257" i="4" s="1"/>
  <c r="CZ258" i="4"/>
  <c r="DB258" i="4" s="1"/>
  <c r="CZ259" i="4"/>
  <c r="CZ260" i="4"/>
  <c r="CZ261" i="4"/>
  <c r="CZ262" i="4"/>
  <c r="CZ263" i="4"/>
  <c r="CZ264" i="4"/>
  <c r="DB264" i="4" s="1"/>
  <c r="CZ265" i="4"/>
  <c r="DB265" i="4" s="1"/>
  <c r="CZ266" i="4"/>
  <c r="DB266" i="4" s="1"/>
  <c r="CZ267" i="4"/>
  <c r="DB267" i="4" s="1"/>
  <c r="CZ268" i="4"/>
  <c r="DB268" i="4" s="1"/>
  <c r="CZ269" i="4"/>
  <c r="DB269" i="4" s="1"/>
  <c r="CZ270" i="4"/>
  <c r="DB270" i="4" s="1"/>
  <c r="CZ271" i="4"/>
  <c r="DB259" i="4"/>
  <c r="DB260" i="4"/>
  <c r="DB261" i="4"/>
  <c r="DB262" i="4"/>
  <c r="DB263" i="4"/>
  <c r="DB271" i="4"/>
  <c r="DD254" i="4"/>
  <c r="DE254" i="4" s="1"/>
  <c r="DD255" i="4"/>
  <c r="DE255" i="4" s="1"/>
  <c r="DD256" i="4"/>
  <c r="DE256" i="4" s="1"/>
  <c r="DD257" i="4"/>
  <c r="DE257" i="4" s="1"/>
  <c r="DD258" i="4"/>
  <c r="DE258" i="4" s="1"/>
  <c r="DD259" i="4"/>
  <c r="DD260" i="4"/>
  <c r="DD261" i="4"/>
  <c r="DD262" i="4"/>
  <c r="DD263" i="4"/>
  <c r="DD264" i="4"/>
  <c r="DD265" i="4"/>
  <c r="DE265" i="4" s="1"/>
  <c r="DD266" i="4"/>
  <c r="DE266" i="4" s="1"/>
  <c r="DD267" i="4"/>
  <c r="DE267" i="4" s="1"/>
  <c r="DD268" i="4"/>
  <c r="DE268" i="4" s="1"/>
  <c r="DD269" i="4"/>
  <c r="DE269" i="4" s="1"/>
  <c r="DD270" i="4"/>
  <c r="DD271" i="4"/>
  <c r="DE259" i="4"/>
  <c r="DE260" i="4"/>
  <c r="DE261" i="4"/>
  <c r="DE262" i="4"/>
  <c r="DE263" i="4"/>
  <c r="DE264" i="4"/>
  <c r="DE270" i="4"/>
  <c r="DE271" i="4"/>
  <c r="DG254" i="4"/>
  <c r="DH254" i="4" s="1"/>
  <c r="DG255" i="4"/>
  <c r="DH255" i="4" s="1"/>
  <c r="DG256" i="4"/>
  <c r="DH256" i="4" s="1"/>
  <c r="DG257" i="4"/>
  <c r="DH257" i="4" s="1"/>
  <c r="DG258" i="4"/>
  <c r="DH258" i="4" s="1"/>
  <c r="DG259" i="4"/>
  <c r="DG260" i="4"/>
  <c r="DG261" i="4"/>
  <c r="DG262" i="4"/>
  <c r="DG263" i="4"/>
  <c r="DG264" i="4"/>
  <c r="DH264" i="4" s="1"/>
  <c r="DG265" i="4"/>
  <c r="DH265" i="4" s="1"/>
  <c r="DG266" i="4"/>
  <c r="DH266" i="4" s="1"/>
  <c r="DG267" i="4"/>
  <c r="DH267" i="4" s="1"/>
  <c r="DG268" i="4"/>
  <c r="DH268" i="4" s="1"/>
  <c r="DG269" i="4"/>
  <c r="DG270" i="4"/>
  <c r="DH270" i="4" s="1"/>
  <c r="DG271" i="4"/>
  <c r="DH259" i="4"/>
  <c r="DH260" i="4"/>
  <c r="DH261" i="4"/>
  <c r="DH262" i="4"/>
  <c r="DH263" i="4"/>
  <c r="DH269" i="4"/>
  <c r="DH271" i="4"/>
  <c r="DN254" i="4"/>
  <c r="DO254" i="4" s="1"/>
  <c r="DN255" i="4"/>
  <c r="DO255" i="4" s="1"/>
  <c r="DN256" i="4"/>
  <c r="DO256" i="4" s="1"/>
  <c r="DN257" i="4"/>
  <c r="DR257" i="4" s="1"/>
  <c r="DS257" i="4" s="1"/>
  <c r="DN258" i="4"/>
  <c r="DN259" i="4"/>
  <c r="DN260" i="4"/>
  <c r="DN261" i="4"/>
  <c r="DN262" i="4"/>
  <c r="DN263" i="4"/>
  <c r="DO263" i="4" s="1"/>
  <c r="DN264" i="4"/>
  <c r="DN265" i="4"/>
  <c r="DO265" i="4" s="1"/>
  <c r="DN266" i="4"/>
  <c r="DO266" i="4" s="1"/>
  <c r="DN267" i="4"/>
  <c r="DO267" i="4" s="1"/>
  <c r="DN268" i="4"/>
  <c r="DO268" i="4" s="1"/>
  <c r="DN269" i="4"/>
  <c r="DO269" i="4" s="1"/>
  <c r="DN270" i="4"/>
  <c r="DO270" i="4" s="1"/>
  <c r="DN271" i="4"/>
  <c r="DO257" i="4"/>
  <c r="DO258" i="4"/>
  <c r="DO259" i="4"/>
  <c r="DO260" i="4"/>
  <c r="DO261" i="4"/>
  <c r="DO262" i="4"/>
  <c r="DO264" i="4"/>
  <c r="DO271" i="4"/>
  <c r="DR254" i="4"/>
  <c r="DS254" i="4" s="1"/>
  <c r="DR255" i="4"/>
  <c r="DS255" i="4" s="1"/>
  <c r="DR256" i="4"/>
  <c r="DS256" i="4" s="1"/>
  <c r="DR258" i="4"/>
  <c r="DS258" i="4" s="1"/>
  <c r="DR259" i="4"/>
  <c r="DR260" i="4"/>
  <c r="DR261" i="4"/>
  <c r="DR262" i="4"/>
  <c r="DR264" i="4"/>
  <c r="DR265" i="4"/>
  <c r="DS265" i="4" s="1"/>
  <c r="DR266" i="4"/>
  <c r="DS266" i="4" s="1"/>
  <c r="DR267" i="4"/>
  <c r="DS267" i="4" s="1"/>
  <c r="DR268" i="4"/>
  <c r="DS268" i="4" s="1"/>
  <c r="DR270" i="4"/>
  <c r="DS270" i="4" s="1"/>
  <c r="DR271" i="4"/>
  <c r="DS259" i="4"/>
  <c r="DS260" i="4"/>
  <c r="DS261" i="4"/>
  <c r="DS262" i="4"/>
  <c r="DS264" i="4"/>
  <c r="DS271" i="4"/>
  <c r="DT254" i="4"/>
  <c r="DX254" i="4" s="1"/>
  <c r="DT255" i="4"/>
  <c r="DX255" i="4" s="1"/>
  <c r="DT256" i="4"/>
  <c r="DX256" i="4" s="1"/>
  <c r="DT257" i="4"/>
  <c r="DX257" i="4" s="1"/>
  <c r="DT258" i="4"/>
  <c r="DT259" i="4"/>
  <c r="DT260" i="4"/>
  <c r="DT261" i="4"/>
  <c r="DT262" i="4"/>
  <c r="DT263" i="4"/>
  <c r="DX263" i="4" s="1"/>
  <c r="DT264" i="4"/>
  <c r="DT265" i="4"/>
  <c r="DX265" i="4" s="1"/>
  <c r="DT266" i="4"/>
  <c r="DX266" i="4" s="1"/>
  <c r="DT267" i="4"/>
  <c r="DX267" i="4" s="1"/>
  <c r="DT268" i="4"/>
  <c r="DX268" i="4" s="1"/>
  <c r="DT269" i="4"/>
  <c r="DX269" i="4" s="1"/>
  <c r="DT270" i="4"/>
  <c r="DT271" i="4"/>
  <c r="DX258" i="4"/>
  <c r="DX259" i="4"/>
  <c r="DX260" i="4"/>
  <c r="DX261" i="4"/>
  <c r="DX262" i="4"/>
  <c r="DX264" i="4"/>
  <c r="DY264" i="4" s="1"/>
  <c r="DX270" i="4"/>
  <c r="DX271" i="4"/>
  <c r="DY255" i="4"/>
  <c r="DY256" i="4"/>
  <c r="DY258" i="4"/>
  <c r="DY263" i="4"/>
  <c r="DY267" i="4"/>
  <c r="H238" i="4"/>
  <c r="H239" i="4"/>
  <c r="H240" i="4"/>
  <c r="H241" i="4"/>
  <c r="H242" i="4"/>
  <c r="H243" i="4"/>
  <c r="H244" i="4"/>
  <c r="I244" i="4" s="1"/>
  <c r="H245" i="4"/>
  <c r="I245" i="4" s="1"/>
  <c r="H246" i="4"/>
  <c r="I246" i="4" s="1"/>
  <c r="H247" i="4"/>
  <c r="I247" i="4" s="1"/>
  <c r="H248" i="4"/>
  <c r="I248" i="4" s="1"/>
  <c r="H249" i="4"/>
  <c r="H250" i="4"/>
  <c r="H251" i="4"/>
  <c r="H252" i="4"/>
  <c r="H253" i="4"/>
  <c r="I253" i="4" s="1"/>
  <c r="H272" i="4"/>
  <c r="I238" i="4"/>
  <c r="I239" i="4"/>
  <c r="I240" i="4"/>
  <c r="I241" i="4"/>
  <c r="I242" i="4"/>
  <c r="I243" i="4"/>
  <c r="I249" i="4"/>
  <c r="I250" i="4"/>
  <c r="I251" i="4"/>
  <c r="I252" i="4"/>
  <c r="I272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72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51" i="4"/>
  <c r="L252" i="4"/>
  <c r="L253" i="4"/>
  <c r="L272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72" i="4"/>
  <c r="N238" i="4"/>
  <c r="N239" i="4"/>
  <c r="N240" i="4"/>
  <c r="AZ240" i="4" s="1"/>
  <c r="N241" i="4"/>
  <c r="N242" i="4"/>
  <c r="N243" i="4"/>
  <c r="AZ243" i="4" s="1"/>
  <c r="N244" i="4"/>
  <c r="AZ244" i="4" s="1"/>
  <c r="N245" i="4"/>
  <c r="AZ245" i="4" s="1"/>
  <c r="N246" i="4"/>
  <c r="AZ246" i="4" s="1"/>
  <c r="N247" i="4"/>
  <c r="AZ247" i="4" s="1"/>
  <c r="N248" i="4"/>
  <c r="N249" i="4"/>
  <c r="N250" i="4"/>
  <c r="N251" i="4"/>
  <c r="N252" i="4"/>
  <c r="N253" i="4"/>
  <c r="AZ253" i="4" s="1"/>
  <c r="N272" i="4"/>
  <c r="AZ238" i="4"/>
  <c r="AZ239" i="4"/>
  <c r="AZ241" i="4"/>
  <c r="AZ242" i="4"/>
  <c r="AZ248" i="4"/>
  <c r="AZ249" i="4"/>
  <c r="AZ250" i="4"/>
  <c r="AZ251" i="4"/>
  <c r="AZ252" i="4"/>
  <c r="AZ272" i="4"/>
  <c r="BB238" i="4"/>
  <c r="BB239" i="4"/>
  <c r="BB240" i="4"/>
  <c r="BB241" i="4"/>
  <c r="BB242" i="4"/>
  <c r="BB243" i="4"/>
  <c r="BC243" i="4" s="1"/>
  <c r="BB244" i="4"/>
  <c r="BB245" i="4"/>
  <c r="BC245" i="4" s="1"/>
  <c r="BB246" i="4"/>
  <c r="BC246" i="4" s="1"/>
  <c r="BB247" i="4"/>
  <c r="BC247" i="4" s="1"/>
  <c r="BB248" i="4"/>
  <c r="BC248" i="4" s="1"/>
  <c r="BB249" i="4"/>
  <c r="BB250" i="4"/>
  <c r="BB251" i="4"/>
  <c r="BB252" i="4"/>
  <c r="BB253" i="4"/>
  <c r="BB272" i="4"/>
  <c r="BC238" i="4"/>
  <c r="BC239" i="4"/>
  <c r="BC240" i="4"/>
  <c r="BC241" i="4"/>
  <c r="BC242" i="4"/>
  <c r="BC244" i="4"/>
  <c r="BC249" i="4"/>
  <c r="BC250" i="4"/>
  <c r="BC251" i="4"/>
  <c r="BC252" i="4"/>
  <c r="BC253" i="4"/>
  <c r="BC272" i="4"/>
  <c r="BG238" i="4"/>
  <c r="BH238" i="4" s="1"/>
  <c r="BG239" i="4"/>
  <c r="BG240" i="4"/>
  <c r="BG241" i="4"/>
  <c r="BG242" i="4"/>
  <c r="BG243" i="4"/>
  <c r="BG244" i="4"/>
  <c r="BH244" i="4" s="1"/>
  <c r="BG245" i="4"/>
  <c r="BG246" i="4"/>
  <c r="BG247" i="4"/>
  <c r="BH247" i="4" s="1"/>
  <c r="BG248" i="4"/>
  <c r="BH248" i="4" s="1"/>
  <c r="BG249" i="4"/>
  <c r="BH249" i="4" s="1"/>
  <c r="BG250" i="4"/>
  <c r="BH250" i="4" s="1"/>
  <c r="BG251" i="4"/>
  <c r="BG252" i="4"/>
  <c r="BG253" i="4"/>
  <c r="BG272" i="4"/>
  <c r="BH239" i="4"/>
  <c r="BH240" i="4"/>
  <c r="BH241" i="4"/>
  <c r="BH242" i="4"/>
  <c r="BH243" i="4"/>
  <c r="BH245" i="4"/>
  <c r="BH246" i="4"/>
  <c r="BH251" i="4"/>
  <c r="BH252" i="4"/>
  <c r="BH253" i="4"/>
  <c r="BH272" i="4"/>
  <c r="BK238" i="4"/>
  <c r="BK239" i="4"/>
  <c r="BK240" i="4"/>
  <c r="BK241" i="4"/>
  <c r="BK242" i="4"/>
  <c r="BK243" i="4"/>
  <c r="BK244" i="4"/>
  <c r="BK245" i="4"/>
  <c r="BK246" i="4"/>
  <c r="BK249" i="4"/>
  <c r="BK250" i="4"/>
  <c r="BK251" i="4"/>
  <c r="BK252" i="4"/>
  <c r="BK253" i="4"/>
  <c r="BM238" i="4"/>
  <c r="BM239" i="4"/>
  <c r="BM240" i="4"/>
  <c r="BM241" i="4"/>
  <c r="BN241" i="4" s="1"/>
  <c r="BM242" i="4"/>
  <c r="BM243" i="4"/>
  <c r="BM244" i="4"/>
  <c r="BN244" i="4" s="1"/>
  <c r="BM245" i="4"/>
  <c r="BN245" i="4" s="1"/>
  <c r="BM246" i="4"/>
  <c r="BN246" i="4" s="1"/>
  <c r="BM247" i="4"/>
  <c r="BN247" i="4" s="1"/>
  <c r="BM248" i="4"/>
  <c r="BN248" i="4" s="1"/>
  <c r="BM249" i="4"/>
  <c r="BM250" i="4"/>
  <c r="BM251" i="4"/>
  <c r="BM252" i="4"/>
  <c r="BM253" i="4"/>
  <c r="BN253" i="4" s="1"/>
  <c r="BM272" i="4"/>
  <c r="BN238" i="4"/>
  <c r="BN239" i="4"/>
  <c r="BN240" i="4"/>
  <c r="BN242" i="4"/>
  <c r="BN243" i="4"/>
  <c r="BN249" i="4"/>
  <c r="BN250" i="4"/>
  <c r="BN251" i="4"/>
  <c r="BN252" i="4"/>
  <c r="BN272" i="4"/>
  <c r="BP238" i="4"/>
  <c r="BQ238" i="4" s="1"/>
  <c r="BP239" i="4"/>
  <c r="BP240" i="4"/>
  <c r="BP241" i="4"/>
  <c r="BP242" i="4"/>
  <c r="BP243" i="4"/>
  <c r="BQ243" i="4" s="1"/>
  <c r="BP244" i="4"/>
  <c r="BQ244" i="4" s="1"/>
  <c r="BP245" i="4"/>
  <c r="BP246" i="4"/>
  <c r="BQ246" i="4" s="1"/>
  <c r="BP247" i="4"/>
  <c r="BQ247" i="4" s="1"/>
  <c r="BP248" i="4"/>
  <c r="BQ248" i="4" s="1"/>
  <c r="BP249" i="4"/>
  <c r="BQ249" i="4" s="1"/>
  <c r="BP250" i="4"/>
  <c r="BP251" i="4"/>
  <c r="BP252" i="4"/>
  <c r="BP253" i="4"/>
  <c r="BP272" i="4"/>
  <c r="BQ239" i="4"/>
  <c r="BQ240" i="4"/>
  <c r="BQ241" i="4"/>
  <c r="BQ242" i="4"/>
  <c r="BQ245" i="4"/>
  <c r="BQ250" i="4"/>
  <c r="BQ251" i="4"/>
  <c r="BQ252" i="4"/>
  <c r="BQ253" i="4"/>
  <c r="BQ272" i="4"/>
  <c r="BS238" i="4"/>
  <c r="BT238" i="4" s="1"/>
  <c r="BS239" i="4"/>
  <c r="BT239" i="4" s="1"/>
  <c r="BS240" i="4"/>
  <c r="BS241" i="4"/>
  <c r="BS242" i="4"/>
  <c r="BS243" i="4"/>
  <c r="BS244" i="4"/>
  <c r="BS245" i="4"/>
  <c r="BS246" i="4"/>
  <c r="BS247" i="4"/>
  <c r="BS248" i="4"/>
  <c r="BT248" i="4" s="1"/>
  <c r="BS249" i="4"/>
  <c r="BT249" i="4" s="1"/>
  <c r="BS250" i="4"/>
  <c r="BT250" i="4" s="1"/>
  <c r="BS251" i="4"/>
  <c r="BT251" i="4" s="1"/>
  <c r="BS252" i="4"/>
  <c r="BS253" i="4"/>
  <c r="BS272" i="4"/>
  <c r="BT240" i="4"/>
  <c r="BT241" i="4"/>
  <c r="BT242" i="4"/>
  <c r="BT243" i="4"/>
  <c r="BT244" i="4"/>
  <c r="BT245" i="4"/>
  <c r="BT246" i="4"/>
  <c r="BT247" i="4"/>
  <c r="BT252" i="4"/>
  <c r="BT253" i="4"/>
  <c r="BT272" i="4"/>
  <c r="BW238" i="4"/>
  <c r="BX238" i="4" s="1"/>
  <c r="BW239" i="4"/>
  <c r="BX239" i="4" s="1"/>
  <c r="BW240" i="4"/>
  <c r="BX240" i="4" s="1"/>
  <c r="BW241" i="4"/>
  <c r="BX241" i="4" s="1"/>
  <c r="BW242" i="4"/>
  <c r="BW243" i="4"/>
  <c r="BW244" i="4"/>
  <c r="BW245" i="4"/>
  <c r="BW246" i="4"/>
  <c r="BW247" i="4"/>
  <c r="BX247" i="4" s="1"/>
  <c r="BW248" i="4"/>
  <c r="BW249" i="4"/>
  <c r="BW250" i="4"/>
  <c r="BX250" i="4" s="1"/>
  <c r="BW251" i="4"/>
  <c r="BX251" i="4" s="1"/>
  <c r="BW252" i="4"/>
  <c r="BX252" i="4" s="1"/>
  <c r="BW253" i="4"/>
  <c r="BX253" i="4" s="1"/>
  <c r="BW272" i="4"/>
  <c r="BX242" i="4"/>
  <c r="BX243" i="4"/>
  <c r="BX244" i="4"/>
  <c r="BX245" i="4"/>
  <c r="BX246" i="4"/>
  <c r="BX248" i="4"/>
  <c r="BX249" i="4"/>
  <c r="BX272" i="4"/>
  <c r="BZ238" i="4"/>
  <c r="CA238" i="4" s="1"/>
  <c r="BZ239" i="4"/>
  <c r="BZ240" i="4"/>
  <c r="CA240" i="4" s="1"/>
  <c r="BZ241" i="4"/>
  <c r="CA241" i="4" s="1"/>
  <c r="BZ242" i="4"/>
  <c r="CA242" i="4" s="1"/>
  <c r="BZ243" i="4"/>
  <c r="CA243" i="4" s="1"/>
  <c r="BZ244" i="4"/>
  <c r="BZ245" i="4"/>
  <c r="BZ246" i="4"/>
  <c r="BZ247" i="4"/>
  <c r="BZ248" i="4"/>
  <c r="BZ249" i="4"/>
  <c r="BZ250" i="4"/>
  <c r="BZ251" i="4"/>
  <c r="BZ252" i="4"/>
  <c r="CA252" i="4" s="1"/>
  <c r="BZ253" i="4"/>
  <c r="CA253" i="4" s="1"/>
  <c r="BZ272" i="4"/>
  <c r="CA272" i="4" s="1"/>
  <c r="CA239" i="4"/>
  <c r="CA244" i="4"/>
  <c r="CA245" i="4"/>
  <c r="CA246" i="4"/>
  <c r="CA247" i="4"/>
  <c r="CA248" i="4"/>
  <c r="CA249" i="4"/>
  <c r="CA250" i="4"/>
  <c r="CA251" i="4"/>
  <c r="CC238" i="4"/>
  <c r="CC239" i="4"/>
  <c r="CD239" i="4" s="1"/>
  <c r="CC240" i="4"/>
  <c r="CD240" i="4" s="1"/>
  <c r="CC241" i="4"/>
  <c r="CC242" i="4"/>
  <c r="CD242" i="4" s="1"/>
  <c r="CC243" i="4"/>
  <c r="CD243" i="4" s="1"/>
  <c r="CC244" i="4"/>
  <c r="CD244" i="4" s="1"/>
  <c r="CC245" i="4"/>
  <c r="CD245" i="4" s="1"/>
  <c r="CC246" i="4"/>
  <c r="CC247" i="4"/>
  <c r="CC248" i="4"/>
  <c r="CC249" i="4"/>
  <c r="CC250" i="4"/>
  <c r="CC251" i="4"/>
  <c r="CD251" i="4" s="1"/>
  <c r="CC252" i="4"/>
  <c r="CC253" i="4"/>
  <c r="CC272" i="4"/>
  <c r="CD272" i="4" s="1"/>
  <c r="CD238" i="4"/>
  <c r="CD241" i="4"/>
  <c r="CD246" i="4"/>
  <c r="CD247" i="4"/>
  <c r="CD248" i="4"/>
  <c r="CD249" i="4"/>
  <c r="CD250" i="4"/>
  <c r="CD252" i="4"/>
  <c r="CD253" i="4"/>
  <c r="CG239" i="4"/>
  <c r="CG240" i="4"/>
  <c r="CG241" i="4"/>
  <c r="CG242" i="4"/>
  <c r="CG243" i="4"/>
  <c r="CG244" i="4"/>
  <c r="CG245" i="4"/>
  <c r="CG246" i="4"/>
  <c r="CG247" i="4"/>
  <c r="CG248" i="4"/>
  <c r="CG251" i="4"/>
  <c r="CG252" i="4"/>
  <c r="CG253" i="4"/>
  <c r="CG272" i="4"/>
  <c r="CK238" i="4"/>
  <c r="CK239" i="4"/>
  <c r="CK240" i="4"/>
  <c r="CK241" i="4"/>
  <c r="CK242" i="4"/>
  <c r="CK245" i="4"/>
  <c r="CK246" i="4"/>
  <c r="CK247" i="4"/>
  <c r="CK248" i="4"/>
  <c r="CK249" i="4"/>
  <c r="CK250" i="4"/>
  <c r="CK251" i="4"/>
  <c r="CK252" i="4"/>
  <c r="CK253" i="4"/>
  <c r="CK272" i="4"/>
  <c r="CN238" i="4"/>
  <c r="CN239" i="4"/>
  <c r="CN240" i="4"/>
  <c r="CN241" i="4"/>
  <c r="CN242" i="4"/>
  <c r="CN243" i="4"/>
  <c r="CN247" i="4"/>
  <c r="CN248" i="4"/>
  <c r="CN249" i="4"/>
  <c r="CN250" i="4"/>
  <c r="CN251" i="4"/>
  <c r="CN252" i="4"/>
  <c r="CN253" i="4"/>
  <c r="CN272" i="4"/>
  <c r="CR238" i="4"/>
  <c r="CR239" i="4"/>
  <c r="CR240" i="4"/>
  <c r="CR241" i="4"/>
  <c r="CR242" i="4"/>
  <c r="CR243" i="4"/>
  <c r="CR244" i="4"/>
  <c r="CR245" i="4"/>
  <c r="CR246" i="4"/>
  <c r="CR247" i="4"/>
  <c r="CR248" i="4"/>
  <c r="CR249" i="4"/>
  <c r="CR250" i="4"/>
  <c r="CR251" i="4"/>
  <c r="CR252" i="4"/>
  <c r="CR253" i="4"/>
  <c r="CR272" i="4"/>
  <c r="CS238" i="4"/>
  <c r="CT238" i="4" s="1"/>
  <c r="CU238" i="4" s="1"/>
  <c r="CS239" i="4"/>
  <c r="CT239" i="4" s="1"/>
  <c r="CU239" i="4" s="1"/>
  <c r="CS240" i="4"/>
  <c r="CT240" i="4" s="1"/>
  <c r="CU240" i="4" s="1"/>
  <c r="CS241" i="4"/>
  <c r="CT241" i="4" s="1"/>
  <c r="CS242" i="4"/>
  <c r="CT242" i="4" s="1"/>
  <c r="CS243" i="4"/>
  <c r="CT243" i="4" s="1"/>
  <c r="CS244" i="4"/>
  <c r="CT244" i="4" s="1"/>
  <c r="CS245" i="4"/>
  <c r="CT245" i="4" s="1"/>
  <c r="CS246" i="4"/>
  <c r="CT246" i="4" s="1"/>
  <c r="CU246" i="4" s="1"/>
  <c r="CS247" i="4"/>
  <c r="CT247" i="4" s="1"/>
  <c r="CU247" i="4" s="1"/>
  <c r="CS248" i="4"/>
  <c r="CT248" i="4" s="1"/>
  <c r="CS249" i="4"/>
  <c r="CT249" i="4" s="1"/>
  <c r="CU249" i="4" s="1"/>
  <c r="CS250" i="4"/>
  <c r="CT250" i="4" s="1"/>
  <c r="CU250" i="4" s="1"/>
  <c r="CS251" i="4"/>
  <c r="CT251" i="4" s="1"/>
  <c r="CU251" i="4" s="1"/>
  <c r="CS252" i="4"/>
  <c r="CT252" i="4" s="1"/>
  <c r="CS253" i="4"/>
  <c r="CT253" i="4" s="1"/>
  <c r="CS272" i="4"/>
  <c r="CT272" i="4" s="1"/>
  <c r="CU241" i="4"/>
  <c r="CU242" i="4"/>
  <c r="CU243" i="4"/>
  <c r="CU244" i="4"/>
  <c r="CU245" i="4"/>
  <c r="CU248" i="4"/>
  <c r="CU252" i="4"/>
  <c r="CU253" i="4"/>
  <c r="CU272" i="4"/>
  <c r="CX238" i="4"/>
  <c r="CX239" i="4"/>
  <c r="CY239" i="4" s="1"/>
  <c r="CX240" i="4"/>
  <c r="CX241" i="4"/>
  <c r="CY241" i="4" s="1"/>
  <c r="CX242" i="4"/>
  <c r="CY242" i="4" s="1"/>
  <c r="CX243" i="4"/>
  <c r="CY243" i="4" s="1"/>
  <c r="CX244" i="4"/>
  <c r="CY244" i="4" s="1"/>
  <c r="CX245" i="4"/>
  <c r="CX246" i="4"/>
  <c r="CX247" i="4"/>
  <c r="CX248" i="4"/>
  <c r="CY248" i="4" s="1"/>
  <c r="CX249" i="4"/>
  <c r="CY249" i="4" s="1"/>
  <c r="CX250" i="4"/>
  <c r="CX251" i="4"/>
  <c r="CY251" i="4" s="1"/>
  <c r="CX252" i="4"/>
  <c r="CY252" i="4" s="1"/>
  <c r="CX253" i="4"/>
  <c r="CY253" i="4" s="1"/>
  <c r="CX272" i="4"/>
  <c r="CY272" i="4" s="1"/>
  <c r="CY238" i="4"/>
  <c r="CY240" i="4"/>
  <c r="CY245" i="4"/>
  <c r="CY246" i="4"/>
  <c r="CY247" i="4"/>
  <c r="CY250" i="4"/>
  <c r="CZ238" i="4"/>
  <c r="DB238" i="4" s="1"/>
  <c r="CZ239" i="4"/>
  <c r="CZ240" i="4"/>
  <c r="CZ241" i="4"/>
  <c r="CZ242" i="4"/>
  <c r="CZ243" i="4"/>
  <c r="DB243" i="4" s="1"/>
  <c r="CZ244" i="4"/>
  <c r="CZ245" i="4"/>
  <c r="CZ246" i="4"/>
  <c r="DB246" i="4" s="1"/>
  <c r="CZ247" i="4"/>
  <c r="DB247" i="4" s="1"/>
  <c r="CZ248" i="4"/>
  <c r="CZ249" i="4"/>
  <c r="DB249" i="4" s="1"/>
  <c r="CZ250" i="4"/>
  <c r="DB250" i="4" s="1"/>
  <c r="CZ251" i="4"/>
  <c r="CZ252" i="4"/>
  <c r="CZ253" i="4"/>
  <c r="DB253" i="4" s="1"/>
  <c r="CZ272" i="4"/>
  <c r="DB239" i="4"/>
  <c r="DB240" i="4"/>
  <c r="DB241" i="4"/>
  <c r="DB242" i="4"/>
  <c r="DB244" i="4"/>
  <c r="DB245" i="4"/>
  <c r="DB248" i="4"/>
  <c r="DB251" i="4"/>
  <c r="DB252" i="4"/>
  <c r="DB272" i="4"/>
  <c r="DD238" i="4"/>
  <c r="DE238" i="4" s="1"/>
  <c r="DD239" i="4"/>
  <c r="DD240" i="4"/>
  <c r="DE240" i="4" s="1"/>
  <c r="DD241" i="4"/>
  <c r="DE241" i="4" s="1"/>
  <c r="DD242" i="4"/>
  <c r="DD243" i="4"/>
  <c r="DE243" i="4" s="1"/>
  <c r="DD244" i="4"/>
  <c r="DD245" i="4"/>
  <c r="DD246" i="4"/>
  <c r="DE246" i="4" s="1"/>
  <c r="DD247" i="4"/>
  <c r="DD248" i="4"/>
  <c r="DD249" i="4"/>
  <c r="DE249" i="4" s="1"/>
  <c r="DD250" i="4"/>
  <c r="DE250" i="4" s="1"/>
  <c r="DD251" i="4"/>
  <c r="DD252" i="4"/>
  <c r="DE252" i="4" s="1"/>
  <c r="DD253" i="4"/>
  <c r="DE253" i="4" s="1"/>
  <c r="DD272" i="4"/>
  <c r="DE239" i="4"/>
  <c r="DE242" i="4"/>
  <c r="DE244" i="4"/>
  <c r="DE245" i="4"/>
  <c r="DE247" i="4"/>
  <c r="DE248" i="4"/>
  <c r="DE251" i="4"/>
  <c r="DE272" i="4"/>
  <c r="DG238" i="4"/>
  <c r="DG239" i="4"/>
  <c r="DG240" i="4"/>
  <c r="DH240" i="4" s="1"/>
  <c r="DG241" i="4"/>
  <c r="DH241" i="4" s="1"/>
  <c r="DG242" i="4"/>
  <c r="DG243" i="4"/>
  <c r="DH243" i="4" s="1"/>
  <c r="DG244" i="4"/>
  <c r="DH244" i="4" s="1"/>
  <c r="DG245" i="4"/>
  <c r="DG246" i="4"/>
  <c r="DH246" i="4" s="1"/>
  <c r="DG247" i="4"/>
  <c r="DG248" i="4"/>
  <c r="DG249" i="4"/>
  <c r="DH249" i="4" s="1"/>
  <c r="DG250" i="4"/>
  <c r="DG251" i="4"/>
  <c r="DG252" i="4"/>
  <c r="DH252" i="4" s="1"/>
  <c r="DG253" i="4"/>
  <c r="DH253" i="4" s="1"/>
  <c r="DG272" i="4"/>
  <c r="DH238" i="4"/>
  <c r="DH239" i="4"/>
  <c r="DH242" i="4"/>
  <c r="DH245" i="4"/>
  <c r="DH247" i="4"/>
  <c r="DH248" i="4"/>
  <c r="DH250" i="4"/>
  <c r="DH251" i="4"/>
  <c r="DH272" i="4"/>
  <c r="DN238" i="4"/>
  <c r="DR238" i="4" s="1"/>
  <c r="DS238" i="4" s="1"/>
  <c r="DN239" i="4"/>
  <c r="DO239" i="4" s="1"/>
  <c r="DN240" i="4"/>
  <c r="DN241" i="4"/>
  <c r="DN242" i="4"/>
  <c r="DR242" i="4" s="1"/>
  <c r="DS242" i="4" s="1"/>
  <c r="DN243" i="4"/>
  <c r="DO243" i="4" s="1"/>
  <c r="DN244" i="4"/>
  <c r="DN245" i="4"/>
  <c r="DN246" i="4"/>
  <c r="DN247" i="4"/>
  <c r="DN248" i="4"/>
  <c r="DO248" i="4" s="1"/>
  <c r="DN249" i="4"/>
  <c r="DR249" i="4" s="1"/>
  <c r="DS249" i="4" s="1"/>
  <c r="DN250" i="4"/>
  <c r="DR250" i="4" s="1"/>
  <c r="DS250" i="4" s="1"/>
  <c r="DN251" i="4"/>
  <c r="DO251" i="4" s="1"/>
  <c r="DN252" i="4"/>
  <c r="DN253" i="4"/>
  <c r="DN272" i="4"/>
  <c r="DR272" i="4" s="1"/>
  <c r="DS272" i="4" s="1"/>
  <c r="DO238" i="4"/>
  <c r="DO240" i="4"/>
  <c r="DO241" i="4"/>
  <c r="DO244" i="4"/>
  <c r="DO247" i="4"/>
  <c r="DO249" i="4"/>
  <c r="DO250" i="4"/>
  <c r="DO252" i="4"/>
  <c r="DO253" i="4"/>
  <c r="DR239" i="4"/>
  <c r="DR240" i="4"/>
  <c r="DR241" i="4"/>
  <c r="DS241" i="4" s="1"/>
  <c r="DR244" i="4"/>
  <c r="DS244" i="4" s="1"/>
  <c r="DR247" i="4"/>
  <c r="DS247" i="4" s="1"/>
  <c r="DR248" i="4"/>
  <c r="DS248" i="4" s="1"/>
  <c r="DR251" i="4"/>
  <c r="DR252" i="4"/>
  <c r="DR253" i="4"/>
  <c r="DS253" i="4" s="1"/>
  <c r="DS239" i="4"/>
  <c r="DS240" i="4"/>
  <c r="DS251" i="4"/>
  <c r="DS252" i="4"/>
  <c r="DT238" i="4"/>
  <c r="DX238" i="4" s="1"/>
  <c r="DT239" i="4"/>
  <c r="DT240" i="4"/>
  <c r="DX240" i="4" s="1"/>
  <c r="DT241" i="4"/>
  <c r="DT242" i="4"/>
  <c r="DX242" i="4" s="1"/>
  <c r="DT243" i="4"/>
  <c r="DX243" i="4" s="1"/>
  <c r="DT244" i="4"/>
  <c r="DT245" i="4"/>
  <c r="DT246" i="4"/>
  <c r="DX246" i="4" s="1"/>
  <c r="DT247" i="4"/>
  <c r="DX247" i="4" s="1"/>
  <c r="DT248" i="4"/>
  <c r="DT249" i="4"/>
  <c r="DX249" i="4" s="1"/>
  <c r="DT250" i="4"/>
  <c r="DX250" i="4" s="1"/>
  <c r="DT251" i="4"/>
  <c r="DT252" i="4"/>
  <c r="DX252" i="4" s="1"/>
  <c r="DT253" i="4"/>
  <c r="DT272" i="4"/>
  <c r="DX272" i="4" s="1"/>
  <c r="DX239" i="4"/>
  <c r="DX241" i="4"/>
  <c r="DY241" i="4" s="1"/>
  <c r="DX244" i="4"/>
  <c r="DX245" i="4"/>
  <c r="DX248" i="4"/>
  <c r="DX251" i="4"/>
  <c r="DX253" i="4"/>
  <c r="DY253" i="4" s="1"/>
  <c r="DY239" i="4"/>
  <c r="DY248" i="4"/>
  <c r="DY251" i="4"/>
  <c r="DY252" i="4"/>
  <c r="H237" i="4"/>
  <c r="H273" i="4"/>
  <c r="I273" i="4" s="1"/>
  <c r="H291" i="4"/>
  <c r="I291" i="4" s="1"/>
  <c r="H292" i="4"/>
  <c r="H293" i="4"/>
  <c r="H294" i="4"/>
  <c r="I294" i="4" s="1"/>
  <c r="H295" i="4"/>
  <c r="H296" i="4"/>
  <c r="I296" i="4" s="1"/>
  <c r="H297" i="4"/>
  <c r="I297" i="4" s="1"/>
  <c r="I237" i="4"/>
  <c r="I292" i="4"/>
  <c r="I293" i="4"/>
  <c r="I295" i="4"/>
  <c r="K237" i="4"/>
  <c r="K273" i="4"/>
  <c r="K291" i="4"/>
  <c r="K292" i="4"/>
  <c r="K293" i="4"/>
  <c r="K294" i="4"/>
  <c r="K295" i="4"/>
  <c r="K296" i="4"/>
  <c r="K297" i="4"/>
  <c r="L237" i="4"/>
  <c r="L273" i="4"/>
  <c r="L291" i="4"/>
  <c r="L292" i="4"/>
  <c r="L293" i="4"/>
  <c r="L294" i="4"/>
  <c r="L295" i="4"/>
  <c r="L296" i="4"/>
  <c r="L297" i="4"/>
  <c r="M237" i="4"/>
  <c r="M273" i="4"/>
  <c r="M291" i="4"/>
  <c r="M292" i="4"/>
  <c r="M293" i="4"/>
  <c r="M294" i="4"/>
  <c r="M295" i="4"/>
  <c r="M296" i="4"/>
  <c r="M297" i="4"/>
  <c r="N237" i="4"/>
  <c r="AZ237" i="4" s="1"/>
  <c r="N273" i="4"/>
  <c r="N291" i="4"/>
  <c r="N292" i="4"/>
  <c r="N293" i="4"/>
  <c r="AZ293" i="4" s="1"/>
  <c r="N294" i="4"/>
  <c r="AZ294" i="4" s="1"/>
  <c r="N295" i="4"/>
  <c r="N296" i="4"/>
  <c r="N297" i="4"/>
  <c r="AZ297" i="4" s="1"/>
  <c r="AZ273" i="4"/>
  <c r="AZ291" i="4"/>
  <c r="AZ292" i="4"/>
  <c r="AZ295" i="4"/>
  <c r="AZ296" i="4"/>
  <c r="BB237" i="4"/>
  <c r="BB273" i="4"/>
  <c r="BB291" i="4"/>
  <c r="BC291" i="4" s="1"/>
  <c r="BB292" i="4"/>
  <c r="BB293" i="4"/>
  <c r="BC293" i="4" s="1"/>
  <c r="BB294" i="4"/>
  <c r="BC294" i="4" s="1"/>
  <c r="BB295" i="4"/>
  <c r="BC295" i="4" s="1"/>
  <c r="BB296" i="4"/>
  <c r="BB297" i="4"/>
  <c r="BC237" i="4"/>
  <c r="BC273" i="4"/>
  <c r="BC292" i="4"/>
  <c r="BC296" i="4"/>
  <c r="BC297" i="4"/>
  <c r="BG237" i="4"/>
  <c r="BH237" i="4" s="1"/>
  <c r="BG273" i="4"/>
  <c r="BG291" i="4"/>
  <c r="BG292" i="4"/>
  <c r="BG293" i="4"/>
  <c r="BH293" i="4" s="1"/>
  <c r="BG294" i="4"/>
  <c r="BH294" i="4" s="1"/>
  <c r="BG295" i="4"/>
  <c r="BG296" i="4"/>
  <c r="BG297" i="4"/>
  <c r="BH297" i="4" s="1"/>
  <c r="BH273" i="4"/>
  <c r="BH291" i="4"/>
  <c r="BH292" i="4"/>
  <c r="BH295" i="4"/>
  <c r="BH296" i="4"/>
  <c r="BK237" i="4"/>
  <c r="BK273" i="4"/>
  <c r="BK291" i="4"/>
  <c r="BK292" i="4"/>
  <c r="BK293" i="4"/>
  <c r="BK294" i="4"/>
  <c r="BK297" i="4"/>
  <c r="BM237" i="4"/>
  <c r="BM273" i="4"/>
  <c r="BN273" i="4" s="1"/>
  <c r="BM291" i="4"/>
  <c r="BN291" i="4" s="1"/>
  <c r="BM292" i="4"/>
  <c r="BM293" i="4"/>
  <c r="BM294" i="4"/>
  <c r="BN294" i="4" s="1"/>
  <c r="BM295" i="4"/>
  <c r="BM296" i="4"/>
  <c r="BN296" i="4" s="1"/>
  <c r="BM297" i="4"/>
  <c r="BN297" i="4" s="1"/>
  <c r="BN237" i="4"/>
  <c r="BN292" i="4"/>
  <c r="BN293" i="4"/>
  <c r="BN295" i="4"/>
  <c r="BP237" i="4"/>
  <c r="BP273" i="4"/>
  <c r="BQ273" i="4" s="1"/>
  <c r="BP291" i="4"/>
  <c r="BQ291" i="4" s="1"/>
  <c r="BP292" i="4"/>
  <c r="BQ292" i="4" s="1"/>
  <c r="BP293" i="4"/>
  <c r="BP294" i="4"/>
  <c r="BP295" i="4"/>
  <c r="BP296" i="4"/>
  <c r="BQ296" i="4" s="1"/>
  <c r="BP297" i="4"/>
  <c r="BQ297" i="4" s="1"/>
  <c r="BQ237" i="4"/>
  <c r="BQ293" i="4"/>
  <c r="BQ294" i="4"/>
  <c r="BQ295" i="4"/>
  <c r="BS237" i="4"/>
  <c r="BS273" i="4"/>
  <c r="BT273" i="4" s="1"/>
  <c r="BS291" i="4"/>
  <c r="BT291" i="4" s="1"/>
  <c r="BS292" i="4"/>
  <c r="BS293" i="4"/>
  <c r="BS294" i="4"/>
  <c r="BT294" i="4" s="1"/>
  <c r="BS295" i="4"/>
  <c r="BS296" i="4"/>
  <c r="BT296" i="4" s="1"/>
  <c r="BS297" i="4"/>
  <c r="BT297" i="4" s="1"/>
  <c r="BT237" i="4"/>
  <c r="BT292" i="4"/>
  <c r="BT293" i="4"/>
  <c r="BT295" i="4"/>
  <c r="BW237" i="4"/>
  <c r="BW273" i="4"/>
  <c r="BX273" i="4" s="1"/>
  <c r="BW291" i="4"/>
  <c r="BX291" i="4" s="1"/>
  <c r="BW292" i="4"/>
  <c r="BX292" i="4" s="1"/>
  <c r="BW293" i="4"/>
  <c r="BW294" i="4"/>
  <c r="BW295" i="4"/>
  <c r="BW296" i="4"/>
  <c r="BX296" i="4" s="1"/>
  <c r="BW297" i="4"/>
  <c r="BX297" i="4" s="1"/>
  <c r="BX237" i="4"/>
  <c r="BX293" i="4"/>
  <c r="BX294" i="4"/>
  <c r="BX295" i="4"/>
  <c r="BZ237" i="4"/>
  <c r="BZ273" i="4"/>
  <c r="CA273" i="4" s="1"/>
  <c r="BZ291" i="4"/>
  <c r="CA291" i="4" s="1"/>
  <c r="BZ292" i="4"/>
  <c r="BZ293" i="4"/>
  <c r="BZ294" i="4"/>
  <c r="CA294" i="4" s="1"/>
  <c r="BZ295" i="4"/>
  <c r="BZ296" i="4"/>
  <c r="CA296" i="4" s="1"/>
  <c r="BZ297" i="4"/>
  <c r="CA297" i="4" s="1"/>
  <c r="CA237" i="4"/>
  <c r="CA292" i="4"/>
  <c r="CA293" i="4"/>
  <c r="CA295" i="4"/>
  <c r="CC237" i="4"/>
  <c r="CC273" i="4"/>
  <c r="CD273" i="4" s="1"/>
  <c r="CC291" i="4"/>
  <c r="CD291" i="4" s="1"/>
  <c r="CC292" i="4"/>
  <c r="CD292" i="4" s="1"/>
  <c r="CC293" i="4"/>
  <c r="CC294" i="4"/>
  <c r="CC295" i="4"/>
  <c r="CC296" i="4"/>
  <c r="CD296" i="4" s="1"/>
  <c r="CC297" i="4"/>
  <c r="CD297" i="4" s="1"/>
  <c r="CD237" i="4"/>
  <c r="CD293" i="4"/>
  <c r="CD294" i="4"/>
  <c r="CD295" i="4"/>
  <c r="CG291" i="4"/>
  <c r="CG292" i="4"/>
  <c r="CG293" i="4"/>
  <c r="CG294" i="4"/>
  <c r="CG295" i="4"/>
  <c r="CG296" i="4"/>
  <c r="CG297" i="4"/>
  <c r="CK237" i="4"/>
  <c r="CK273" i="4"/>
  <c r="CK294" i="4"/>
  <c r="CK295" i="4"/>
  <c r="CK296" i="4"/>
  <c r="CK297" i="4"/>
  <c r="CN237" i="4"/>
  <c r="CN273" i="4"/>
  <c r="CN291" i="4"/>
  <c r="CN295" i="4"/>
  <c r="CN296" i="4"/>
  <c r="CN297" i="4"/>
  <c r="CR237" i="4"/>
  <c r="CR273" i="4"/>
  <c r="CR291" i="4"/>
  <c r="CR292" i="4"/>
  <c r="CR293" i="4"/>
  <c r="CR294" i="4"/>
  <c r="CR295" i="4"/>
  <c r="CR296" i="4"/>
  <c r="CR297" i="4"/>
  <c r="CS237" i="4"/>
  <c r="CT237" i="4" s="1"/>
  <c r="CS273" i="4"/>
  <c r="CT273" i="4" s="1"/>
  <c r="CS291" i="4"/>
  <c r="CT291" i="4" s="1"/>
  <c r="CS292" i="4"/>
  <c r="CT292" i="4" s="1"/>
  <c r="CU292" i="4" s="1"/>
  <c r="CS293" i="4"/>
  <c r="CT293" i="4" s="1"/>
  <c r="CU293" i="4" s="1"/>
  <c r="CS294" i="4"/>
  <c r="CT294" i="4" s="1"/>
  <c r="CS295" i="4"/>
  <c r="CT295" i="4" s="1"/>
  <c r="CS296" i="4"/>
  <c r="CT296" i="4" s="1"/>
  <c r="CU296" i="4" s="1"/>
  <c r="CS297" i="4"/>
  <c r="CT297" i="4" s="1"/>
  <c r="CU237" i="4"/>
  <c r="CU273" i="4"/>
  <c r="CU291" i="4"/>
  <c r="CU294" i="4"/>
  <c r="CU295" i="4"/>
  <c r="CU297" i="4"/>
  <c r="CX237" i="4"/>
  <c r="CX273" i="4"/>
  <c r="CY273" i="4" s="1"/>
  <c r="CX291" i="4"/>
  <c r="CX292" i="4"/>
  <c r="CY292" i="4" s="1"/>
  <c r="CX293" i="4"/>
  <c r="CY293" i="4" s="1"/>
  <c r="CX294" i="4"/>
  <c r="CY294" i="4" s="1"/>
  <c r="CX295" i="4"/>
  <c r="CY295" i="4" s="1"/>
  <c r="CX296" i="4"/>
  <c r="CY296" i="4" s="1"/>
  <c r="CX297" i="4"/>
  <c r="CY237" i="4"/>
  <c r="CY291" i="4"/>
  <c r="CY297" i="4"/>
  <c r="CZ237" i="4"/>
  <c r="CZ273" i="4"/>
  <c r="DB273" i="4" s="1"/>
  <c r="CZ291" i="4"/>
  <c r="DB291" i="4" s="1"/>
  <c r="CZ292" i="4"/>
  <c r="DB292" i="4" s="1"/>
  <c r="CZ293" i="4"/>
  <c r="CZ294" i="4"/>
  <c r="CZ295" i="4"/>
  <c r="CZ296" i="4"/>
  <c r="DB296" i="4" s="1"/>
  <c r="CZ297" i="4"/>
  <c r="DB297" i="4" s="1"/>
  <c r="DB237" i="4"/>
  <c r="DB293" i="4"/>
  <c r="DB294" i="4"/>
  <c r="DB295" i="4"/>
  <c r="DD237" i="4"/>
  <c r="DD273" i="4"/>
  <c r="DE273" i="4" s="1"/>
  <c r="DD291" i="4"/>
  <c r="DE291" i="4" s="1"/>
  <c r="DD292" i="4"/>
  <c r="DD293" i="4"/>
  <c r="DD294" i="4"/>
  <c r="DE294" i="4" s="1"/>
  <c r="DD295" i="4"/>
  <c r="DD296" i="4"/>
  <c r="DE296" i="4" s="1"/>
  <c r="DD297" i="4"/>
  <c r="DE297" i="4" s="1"/>
  <c r="DE237" i="4"/>
  <c r="DE292" i="4"/>
  <c r="DE293" i="4"/>
  <c r="DE295" i="4"/>
  <c r="DG237" i="4"/>
  <c r="DG273" i="4"/>
  <c r="DH273" i="4" s="1"/>
  <c r="DG291" i="4"/>
  <c r="DH291" i="4" s="1"/>
  <c r="DG292" i="4"/>
  <c r="DH292" i="4" s="1"/>
  <c r="DG293" i="4"/>
  <c r="DG294" i="4"/>
  <c r="DG295" i="4"/>
  <c r="DG296" i="4"/>
  <c r="DH296" i="4" s="1"/>
  <c r="DG297" i="4"/>
  <c r="DH297" i="4" s="1"/>
  <c r="DH237" i="4"/>
  <c r="DH293" i="4"/>
  <c r="DH294" i="4"/>
  <c r="DH295" i="4"/>
  <c r="DN237" i="4"/>
  <c r="DR237" i="4" s="1"/>
  <c r="DS237" i="4" s="1"/>
  <c r="DN273" i="4"/>
  <c r="DR273" i="4" s="1"/>
  <c r="DS273" i="4" s="1"/>
  <c r="DN291" i="4"/>
  <c r="DO291" i="4" s="1"/>
  <c r="DN292" i="4"/>
  <c r="DN293" i="4"/>
  <c r="DN294" i="4"/>
  <c r="DR294" i="4" s="1"/>
  <c r="DS294" i="4" s="1"/>
  <c r="DN295" i="4"/>
  <c r="DN296" i="4"/>
  <c r="DO296" i="4" s="1"/>
  <c r="DN297" i="4"/>
  <c r="DO237" i="4"/>
  <c r="DO292" i="4"/>
  <c r="DO293" i="4"/>
  <c r="DO295" i="4"/>
  <c r="DR291" i="4"/>
  <c r="DS291" i="4" s="1"/>
  <c r="DR292" i="4"/>
  <c r="DS292" i="4" s="1"/>
  <c r="DR293" i="4"/>
  <c r="DR295" i="4"/>
  <c r="DR296" i="4"/>
  <c r="DS296" i="4" s="1"/>
  <c r="DS293" i="4"/>
  <c r="DS295" i="4"/>
  <c r="DT237" i="4"/>
  <c r="DT273" i="4"/>
  <c r="DX273" i="4" s="1"/>
  <c r="DT291" i="4"/>
  <c r="DX291" i="4" s="1"/>
  <c r="DT292" i="4"/>
  <c r="DT293" i="4"/>
  <c r="DT294" i="4"/>
  <c r="DX294" i="4" s="1"/>
  <c r="DT295" i="4"/>
  <c r="DT296" i="4"/>
  <c r="DX296" i="4" s="1"/>
  <c r="DT297" i="4"/>
  <c r="DX297" i="4" s="1"/>
  <c r="DX237" i="4"/>
  <c r="DX292" i="4"/>
  <c r="DX293" i="4"/>
  <c r="DY293" i="4" s="1"/>
  <c r="DX295" i="4"/>
  <c r="DY292" i="4"/>
  <c r="DY295" i="4"/>
  <c r="H190" i="4"/>
  <c r="I190" i="4" s="1"/>
  <c r="H191" i="4"/>
  <c r="H192" i="4"/>
  <c r="H193" i="4"/>
  <c r="I193" i="4" s="1"/>
  <c r="H194" i="4"/>
  <c r="H195" i="4"/>
  <c r="I195" i="4" s="1"/>
  <c r="H196" i="4"/>
  <c r="I196" i="4" s="1"/>
  <c r="H197" i="4"/>
  <c r="H198" i="4"/>
  <c r="H199" i="4"/>
  <c r="I199" i="4" s="1"/>
  <c r="H200" i="4"/>
  <c r="H201" i="4"/>
  <c r="I201" i="4" s="1"/>
  <c r="H202" i="4"/>
  <c r="I202" i="4" s="1"/>
  <c r="H203" i="4"/>
  <c r="H204" i="4"/>
  <c r="H205" i="4"/>
  <c r="I205" i="4" s="1"/>
  <c r="H206" i="4"/>
  <c r="H207" i="4"/>
  <c r="I207" i="4" s="1"/>
  <c r="H208" i="4"/>
  <c r="I208" i="4" s="1"/>
  <c r="H209" i="4"/>
  <c r="H210" i="4"/>
  <c r="H211" i="4"/>
  <c r="I211" i="4" s="1"/>
  <c r="H212" i="4"/>
  <c r="H213" i="4"/>
  <c r="I213" i="4" s="1"/>
  <c r="H214" i="4"/>
  <c r="I214" i="4" s="1"/>
  <c r="H215" i="4"/>
  <c r="H216" i="4"/>
  <c r="H217" i="4"/>
  <c r="I217" i="4" s="1"/>
  <c r="I191" i="4"/>
  <c r="I192" i="4"/>
  <c r="I194" i="4"/>
  <c r="I197" i="4"/>
  <c r="I198" i="4"/>
  <c r="I200" i="4"/>
  <c r="I203" i="4"/>
  <c r="I204" i="4"/>
  <c r="I206" i="4"/>
  <c r="I209" i="4"/>
  <c r="I210" i="4"/>
  <c r="I212" i="4"/>
  <c r="I215" i="4"/>
  <c r="I216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N190" i="4"/>
  <c r="N191" i="4"/>
  <c r="AZ191" i="4" s="1"/>
  <c r="N192" i="4"/>
  <c r="N193" i="4"/>
  <c r="AZ193" i="4" s="1"/>
  <c r="N194" i="4"/>
  <c r="AZ194" i="4" s="1"/>
  <c r="N195" i="4"/>
  <c r="N196" i="4"/>
  <c r="N197" i="4"/>
  <c r="AZ197" i="4" s="1"/>
  <c r="N198" i="4"/>
  <c r="N199" i="4"/>
  <c r="AZ199" i="4" s="1"/>
  <c r="N200" i="4"/>
  <c r="AZ200" i="4" s="1"/>
  <c r="N201" i="4"/>
  <c r="N202" i="4"/>
  <c r="N203" i="4"/>
  <c r="AZ203" i="4" s="1"/>
  <c r="N204" i="4"/>
  <c r="N205" i="4"/>
  <c r="AZ205" i="4" s="1"/>
  <c r="N206" i="4"/>
  <c r="AZ206" i="4" s="1"/>
  <c r="N207" i="4"/>
  <c r="N208" i="4"/>
  <c r="N209" i="4"/>
  <c r="AZ209" i="4" s="1"/>
  <c r="N210" i="4"/>
  <c r="N211" i="4"/>
  <c r="AZ211" i="4" s="1"/>
  <c r="N212" i="4"/>
  <c r="AZ212" i="4" s="1"/>
  <c r="N213" i="4"/>
  <c r="N214" i="4"/>
  <c r="N215" i="4"/>
  <c r="AZ215" i="4" s="1"/>
  <c r="N216" i="4"/>
  <c r="N217" i="4"/>
  <c r="AZ217" i="4" s="1"/>
  <c r="AZ190" i="4"/>
  <c r="AZ192" i="4"/>
  <c r="AZ195" i="4"/>
  <c r="AZ196" i="4"/>
  <c r="AZ198" i="4"/>
  <c r="AZ201" i="4"/>
  <c r="AZ202" i="4"/>
  <c r="AZ204" i="4"/>
  <c r="AZ207" i="4"/>
  <c r="AZ208" i="4"/>
  <c r="AZ210" i="4"/>
  <c r="AZ213" i="4"/>
  <c r="AZ214" i="4"/>
  <c r="AZ216" i="4"/>
  <c r="BB190" i="4"/>
  <c r="BB191" i="4"/>
  <c r="BC191" i="4" s="1"/>
  <c r="BB192" i="4"/>
  <c r="BC192" i="4" s="1"/>
  <c r="BB193" i="4"/>
  <c r="BB194" i="4"/>
  <c r="BB195" i="4"/>
  <c r="BC195" i="4" s="1"/>
  <c r="BB196" i="4"/>
  <c r="BB197" i="4"/>
  <c r="BC197" i="4" s="1"/>
  <c r="BB198" i="4"/>
  <c r="BC198" i="4" s="1"/>
  <c r="BB199" i="4"/>
  <c r="BB200" i="4"/>
  <c r="BB201" i="4"/>
  <c r="BC201" i="4" s="1"/>
  <c r="BB202" i="4"/>
  <c r="BB203" i="4"/>
  <c r="BC203" i="4" s="1"/>
  <c r="BB204" i="4"/>
  <c r="BC204" i="4" s="1"/>
  <c r="BB205" i="4"/>
  <c r="BB206" i="4"/>
  <c r="BB207" i="4"/>
  <c r="BC207" i="4" s="1"/>
  <c r="BB208" i="4"/>
  <c r="BB209" i="4"/>
  <c r="BC209" i="4" s="1"/>
  <c r="BB210" i="4"/>
  <c r="BC210" i="4" s="1"/>
  <c r="BB211" i="4"/>
  <c r="BB212" i="4"/>
  <c r="BB213" i="4"/>
  <c r="BC213" i="4" s="1"/>
  <c r="BB214" i="4"/>
  <c r="BB215" i="4"/>
  <c r="BC215" i="4" s="1"/>
  <c r="BB216" i="4"/>
  <c r="BC216" i="4" s="1"/>
  <c r="BB217" i="4"/>
  <c r="BC190" i="4"/>
  <c r="BC193" i="4"/>
  <c r="BC194" i="4"/>
  <c r="BC196" i="4"/>
  <c r="BC199" i="4"/>
  <c r="BC200" i="4"/>
  <c r="BC202" i="4"/>
  <c r="BC205" i="4"/>
  <c r="BC206" i="4"/>
  <c r="BC208" i="4"/>
  <c r="BC211" i="4"/>
  <c r="BC212" i="4"/>
  <c r="BC214" i="4"/>
  <c r="BC217" i="4"/>
  <c r="BG190" i="4"/>
  <c r="BH190" i="4" s="1"/>
  <c r="BG191" i="4"/>
  <c r="BG192" i="4"/>
  <c r="BG193" i="4"/>
  <c r="BH193" i="4" s="1"/>
  <c r="BG194" i="4"/>
  <c r="BG195" i="4"/>
  <c r="BH195" i="4" s="1"/>
  <c r="BG196" i="4"/>
  <c r="BH196" i="4" s="1"/>
  <c r="BG197" i="4"/>
  <c r="BG198" i="4"/>
  <c r="BG199" i="4"/>
  <c r="BH199" i="4" s="1"/>
  <c r="BG200" i="4"/>
  <c r="BG201" i="4"/>
  <c r="BH201" i="4" s="1"/>
  <c r="BG202" i="4"/>
  <c r="BH202" i="4" s="1"/>
  <c r="BG203" i="4"/>
  <c r="BG204" i="4"/>
  <c r="BG205" i="4"/>
  <c r="BH205" i="4" s="1"/>
  <c r="BG206" i="4"/>
  <c r="BG207" i="4"/>
  <c r="BH207" i="4" s="1"/>
  <c r="BG208" i="4"/>
  <c r="BH208" i="4" s="1"/>
  <c r="BG209" i="4"/>
  <c r="BG210" i="4"/>
  <c r="BG211" i="4"/>
  <c r="BH211" i="4" s="1"/>
  <c r="BG212" i="4"/>
  <c r="BG213" i="4"/>
  <c r="BH213" i="4" s="1"/>
  <c r="BG214" i="4"/>
  <c r="BH214" i="4" s="1"/>
  <c r="BG215" i="4"/>
  <c r="BG216" i="4"/>
  <c r="BG217" i="4"/>
  <c r="BH217" i="4" s="1"/>
  <c r="BH191" i="4"/>
  <c r="BH192" i="4"/>
  <c r="BH194" i="4"/>
  <c r="BH197" i="4"/>
  <c r="BH198" i="4"/>
  <c r="BH200" i="4"/>
  <c r="BH203" i="4"/>
  <c r="BH204" i="4"/>
  <c r="BH206" i="4"/>
  <c r="BH209" i="4"/>
  <c r="BH210" i="4"/>
  <c r="BH212" i="4"/>
  <c r="BH215" i="4"/>
  <c r="BH216" i="4"/>
  <c r="BK190" i="4"/>
  <c r="BK191" i="4"/>
  <c r="BK192" i="4"/>
  <c r="BK193" i="4"/>
  <c r="BK194" i="4"/>
  <c r="BK195" i="4"/>
  <c r="BK196" i="4"/>
  <c r="BK197" i="4"/>
  <c r="BK198" i="4"/>
  <c r="BK199" i="4"/>
  <c r="BK201" i="4"/>
  <c r="BK202" i="4"/>
  <c r="BK203" i="4"/>
  <c r="BK204" i="4"/>
  <c r="BK205" i="4"/>
  <c r="BK206" i="4"/>
  <c r="BK207" i="4"/>
  <c r="BK208" i="4"/>
  <c r="BK209" i="4"/>
  <c r="BK210" i="4"/>
  <c r="BK211" i="4"/>
  <c r="BK213" i="4"/>
  <c r="BK214" i="4"/>
  <c r="BK215" i="4"/>
  <c r="BK216" i="4"/>
  <c r="BK217" i="4"/>
  <c r="BM190" i="4"/>
  <c r="BN190" i="4" s="1"/>
  <c r="BM191" i="4"/>
  <c r="BM192" i="4"/>
  <c r="BM193" i="4"/>
  <c r="BN193" i="4" s="1"/>
  <c r="BM194" i="4"/>
  <c r="BM195" i="4"/>
  <c r="BN195" i="4" s="1"/>
  <c r="BM196" i="4"/>
  <c r="BN196" i="4" s="1"/>
  <c r="BM197" i="4"/>
  <c r="BM198" i="4"/>
  <c r="BM199" i="4"/>
  <c r="BN199" i="4" s="1"/>
  <c r="BM200" i="4"/>
  <c r="BM201" i="4"/>
  <c r="BN201" i="4" s="1"/>
  <c r="BM202" i="4"/>
  <c r="BN202" i="4" s="1"/>
  <c r="BM203" i="4"/>
  <c r="BM204" i="4"/>
  <c r="BM205" i="4"/>
  <c r="BN205" i="4" s="1"/>
  <c r="BM206" i="4"/>
  <c r="BM207" i="4"/>
  <c r="BN207" i="4" s="1"/>
  <c r="BM208" i="4"/>
  <c r="BN208" i="4" s="1"/>
  <c r="BM209" i="4"/>
  <c r="BM210" i="4"/>
  <c r="BM211" i="4"/>
  <c r="BN211" i="4" s="1"/>
  <c r="BM212" i="4"/>
  <c r="BM213" i="4"/>
  <c r="BN213" i="4" s="1"/>
  <c r="BM214" i="4"/>
  <c r="BN214" i="4" s="1"/>
  <c r="BM215" i="4"/>
  <c r="BM216" i="4"/>
  <c r="BM217" i="4"/>
  <c r="BN217" i="4" s="1"/>
  <c r="BN191" i="4"/>
  <c r="BN192" i="4"/>
  <c r="BN194" i="4"/>
  <c r="BN197" i="4"/>
  <c r="BN198" i="4"/>
  <c r="BN200" i="4"/>
  <c r="BN203" i="4"/>
  <c r="BN204" i="4"/>
  <c r="BN206" i="4"/>
  <c r="BN209" i="4"/>
  <c r="BN210" i="4"/>
  <c r="BN212" i="4"/>
  <c r="BN215" i="4"/>
  <c r="BN216" i="4"/>
  <c r="BP190" i="4"/>
  <c r="BP191" i="4"/>
  <c r="BQ191" i="4" s="1"/>
  <c r="BP192" i="4"/>
  <c r="BP193" i="4"/>
  <c r="BQ193" i="4" s="1"/>
  <c r="BP194" i="4"/>
  <c r="BQ194" i="4" s="1"/>
  <c r="BP195" i="4"/>
  <c r="BP196" i="4"/>
  <c r="BQ196" i="4" s="1"/>
  <c r="BP197" i="4"/>
  <c r="BQ197" i="4" s="1"/>
  <c r="BP198" i="4"/>
  <c r="BP199" i="4"/>
  <c r="BP200" i="4"/>
  <c r="BQ200" i="4" s="1"/>
  <c r="BP201" i="4"/>
  <c r="BP202" i="4"/>
  <c r="BP203" i="4"/>
  <c r="BQ203" i="4" s="1"/>
  <c r="BP204" i="4"/>
  <c r="BP205" i="4"/>
  <c r="BQ205" i="4" s="1"/>
  <c r="BP206" i="4"/>
  <c r="BQ206" i="4" s="1"/>
  <c r="BP207" i="4"/>
  <c r="BP208" i="4"/>
  <c r="BP209" i="4"/>
  <c r="BQ209" i="4" s="1"/>
  <c r="BP210" i="4"/>
  <c r="BP211" i="4"/>
  <c r="BP212" i="4"/>
  <c r="BQ212" i="4" s="1"/>
  <c r="BP213" i="4"/>
  <c r="BP214" i="4"/>
  <c r="BP215" i="4"/>
  <c r="BQ215" i="4" s="1"/>
  <c r="BP216" i="4"/>
  <c r="BP217" i="4"/>
  <c r="BQ217" i="4" s="1"/>
  <c r="BQ190" i="4"/>
  <c r="BQ192" i="4"/>
  <c r="BQ195" i="4"/>
  <c r="BQ198" i="4"/>
  <c r="BQ199" i="4"/>
  <c r="BQ201" i="4"/>
  <c r="BQ202" i="4"/>
  <c r="BQ204" i="4"/>
  <c r="BQ207" i="4"/>
  <c r="BQ208" i="4"/>
  <c r="BQ210" i="4"/>
  <c r="BQ211" i="4"/>
  <c r="BQ213" i="4"/>
  <c r="BQ214" i="4"/>
  <c r="BQ216" i="4"/>
  <c r="BS190" i="4"/>
  <c r="BS191" i="4"/>
  <c r="BS192" i="4"/>
  <c r="BT192" i="4" s="1"/>
  <c r="BS193" i="4"/>
  <c r="BS194" i="4"/>
  <c r="BS195" i="4"/>
  <c r="BT195" i="4" s="1"/>
  <c r="BS196" i="4"/>
  <c r="BS197" i="4"/>
  <c r="BT197" i="4" s="1"/>
  <c r="BS198" i="4"/>
  <c r="BT198" i="4" s="1"/>
  <c r="BS199" i="4"/>
  <c r="BS200" i="4"/>
  <c r="BS201" i="4"/>
  <c r="BT201" i="4" s="1"/>
  <c r="BS202" i="4"/>
  <c r="BS203" i="4"/>
  <c r="BS204" i="4"/>
  <c r="BT204" i="4" s="1"/>
  <c r="BS205" i="4"/>
  <c r="BS206" i="4"/>
  <c r="BS207" i="4"/>
  <c r="BT207" i="4" s="1"/>
  <c r="BS208" i="4"/>
  <c r="BS209" i="4"/>
  <c r="BT209" i="4" s="1"/>
  <c r="BS210" i="4"/>
  <c r="BT210" i="4" s="1"/>
  <c r="BS211" i="4"/>
  <c r="BS212" i="4"/>
  <c r="BS213" i="4"/>
  <c r="BT213" i="4" s="1"/>
  <c r="BS214" i="4"/>
  <c r="BS215" i="4"/>
  <c r="BS216" i="4"/>
  <c r="BT216" i="4" s="1"/>
  <c r="BS217" i="4"/>
  <c r="BT190" i="4"/>
  <c r="BT191" i="4"/>
  <c r="BT193" i="4"/>
  <c r="BT194" i="4"/>
  <c r="BT196" i="4"/>
  <c r="BT199" i="4"/>
  <c r="BT200" i="4"/>
  <c r="BT202" i="4"/>
  <c r="BT203" i="4"/>
  <c r="BT205" i="4"/>
  <c r="BT206" i="4"/>
  <c r="BT208" i="4"/>
  <c r="BT211" i="4"/>
  <c r="BT212" i="4"/>
  <c r="BT214" i="4"/>
  <c r="BT215" i="4"/>
  <c r="BT217" i="4"/>
  <c r="BW190" i="4"/>
  <c r="BX190" i="4" s="1"/>
  <c r="BW191" i="4"/>
  <c r="BW192" i="4"/>
  <c r="BW193" i="4"/>
  <c r="BX193" i="4" s="1"/>
  <c r="BW194" i="4"/>
  <c r="BW195" i="4"/>
  <c r="BW196" i="4"/>
  <c r="BX196" i="4" s="1"/>
  <c r="BW197" i="4"/>
  <c r="BW198" i="4"/>
  <c r="BW199" i="4"/>
  <c r="BX199" i="4" s="1"/>
  <c r="BW200" i="4"/>
  <c r="BW201" i="4"/>
  <c r="BX201" i="4" s="1"/>
  <c r="BW202" i="4"/>
  <c r="BX202" i="4" s="1"/>
  <c r="BW203" i="4"/>
  <c r="BW204" i="4"/>
  <c r="BW205" i="4"/>
  <c r="BX205" i="4" s="1"/>
  <c r="BW206" i="4"/>
  <c r="BW207" i="4"/>
  <c r="BX207" i="4" s="1"/>
  <c r="BW208" i="4"/>
  <c r="BX208" i="4" s="1"/>
  <c r="BW209" i="4"/>
  <c r="BW210" i="4"/>
  <c r="BW211" i="4"/>
  <c r="BX211" i="4" s="1"/>
  <c r="BW212" i="4"/>
  <c r="BW213" i="4"/>
  <c r="BX213" i="4" s="1"/>
  <c r="BW214" i="4"/>
  <c r="BX214" i="4" s="1"/>
  <c r="BW215" i="4"/>
  <c r="BW216" i="4"/>
  <c r="BW217" i="4"/>
  <c r="BX217" i="4" s="1"/>
  <c r="BX191" i="4"/>
  <c r="BX192" i="4"/>
  <c r="BX194" i="4"/>
  <c r="BX195" i="4"/>
  <c r="BX197" i="4"/>
  <c r="BX198" i="4"/>
  <c r="BX200" i="4"/>
  <c r="BX203" i="4"/>
  <c r="BX204" i="4"/>
  <c r="BX206" i="4"/>
  <c r="BX209" i="4"/>
  <c r="BX210" i="4"/>
  <c r="BX212" i="4"/>
  <c r="BX215" i="4"/>
  <c r="BX216" i="4"/>
  <c r="BZ190" i="4"/>
  <c r="BZ191" i="4"/>
  <c r="CA191" i="4" s="1"/>
  <c r="BZ192" i="4"/>
  <c r="BZ193" i="4"/>
  <c r="CA193" i="4" s="1"/>
  <c r="BZ194" i="4"/>
  <c r="CA194" i="4" s="1"/>
  <c r="BZ195" i="4"/>
  <c r="BZ196" i="4"/>
  <c r="BZ197" i="4"/>
  <c r="CA197" i="4" s="1"/>
  <c r="BZ198" i="4"/>
  <c r="BZ199" i="4"/>
  <c r="BZ200" i="4"/>
  <c r="CA200" i="4" s="1"/>
  <c r="BZ201" i="4"/>
  <c r="BZ202" i="4"/>
  <c r="BZ203" i="4"/>
  <c r="CA203" i="4" s="1"/>
  <c r="BZ204" i="4"/>
  <c r="BZ205" i="4"/>
  <c r="CA205" i="4" s="1"/>
  <c r="BZ206" i="4"/>
  <c r="CA206" i="4" s="1"/>
  <c r="BZ207" i="4"/>
  <c r="BZ208" i="4"/>
  <c r="BZ209" i="4"/>
  <c r="CA209" i="4" s="1"/>
  <c r="BZ210" i="4"/>
  <c r="BZ211" i="4"/>
  <c r="CA211" i="4" s="1"/>
  <c r="BZ212" i="4"/>
  <c r="CA212" i="4" s="1"/>
  <c r="BZ213" i="4"/>
  <c r="BZ214" i="4"/>
  <c r="BZ215" i="4"/>
  <c r="CA215" i="4" s="1"/>
  <c r="BZ216" i="4"/>
  <c r="BZ217" i="4"/>
  <c r="CA217" i="4" s="1"/>
  <c r="CA190" i="4"/>
  <c r="CA192" i="4"/>
  <c r="CA195" i="4"/>
  <c r="CA196" i="4"/>
  <c r="CA198" i="4"/>
  <c r="CA199" i="4"/>
  <c r="CA201" i="4"/>
  <c r="CA202" i="4"/>
  <c r="CA204" i="4"/>
  <c r="CA207" i="4"/>
  <c r="CA208" i="4"/>
  <c r="CA210" i="4"/>
  <c r="CA213" i="4"/>
  <c r="CA214" i="4"/>
  <c r="CA216" i="4"/>
  <c r="CC190" i="4"/>
  <c r="CC191" i="4"/>
  <c r="CC192" i="4"/>
  <c r="CD192" i="4" s="1"/>
  <c r="CC193" i="4"/>
  <c r="CC194" i="4"/>
  <c r="CC195" i="4"/>
  <c r="CD195" i="4" s="1"/>
  <c r="CC196" i="4"/>
  <c r="CC197" i="4"/>
  <c r="CD197" i="4" s="1"/>
  <c r="CC198" i="4"/>
  <c r="CD198" i="4" s="1"/>
  <c r="CC199" i="4"/>
  <c r="CC200" i="4"/>
  <c r="CC201" i="4"/>
  <c r="CD201" i="4" s="1"/>
  <c r="CC202" i="4"/>
  <c r="CC203" i="4"/>
  <c r="CC204" i="4"/>
  <c r="CC205" i="4"/>
  <c r="CC206" i="4"/>
  <c r="CC207" i="4"/>
  <c r="CD207" i="4" s="1"/>
  <c r="CC208" i="4"/>
  <c r="CC209" i="4"/>
  <c r="CD209" i="4" s="1"/>
  <c r="CC210" i="4"/>
  <c r="CD210" i="4" s="1"/>
  <c r="CC211" i="4"/>
  <c r="CC212" i="4"/>
  <c r="CC213" i="4"/>
  <c r="CD213" i="4" s="1"/>
  <c r="CC214" i="4"/>
  <c r="CC215" i="4"/>
  <c r="CD215" i="4" s="1"/>
  <c r="CC216" i="4"/>
  <c r="CD216" i="4" s="1"/>
  <c r="CC217" i="4"/>
  <c r="CD190" i="4"/>
  <c r="CD191" i="4"/>
  <c r="CD193" i="4"/>
  <c r="CD194" i="4"/>
  <c r="CD196" i="4"/>
  <c r="CD199" i="4"/>
  <c r="CD200" i="4"/>
  <c r="CD202" i="4"/>
  <c r="CD203" i="4"/>
  <c r="CD204" i="4"/>
  <c r="CD205" i="4"/>
  <c r="CD206" i="4"/>
  <c r="CD208" i="4"/>
  <c r="CD211" i="4"/>
  <c r="CD212" i="4"/>
  <c r="CD214" i="4"/>
  <c r="CD217" i="4"/>
  <c r="CG191" i="4"/>
  <c r="CG192" i="4"/>
  <c r="CG193" i="4"/>
  <c r="CG194" i="4"/>
  <c r="CG195" i="4"/>
  <c r="CG196" i="4"/>
  <c r="CG197" i="4"/>
  <c r="CG198" i="4"/>
  <c r="CG199" i="4"/>
  <c r="CG200" i="4"/>
  <c r="CG201" i="4"/>
  <c r="CG203" i="4"/>
  <c r="CG204" i="4"/>
  <c r="CG205" i="4"/>
  <c r="CG206" i="4"/>
  <c r="CG207" i="4"/>
  <c r="CG208" i="4"/>
  <c r="CG209" i="4"/>
  <c r="CG210" i="4"/>
  <c r="CG211" i="4"/>
  <c r="CG212" i="4"/>
  <c r="CG213" i="4"/>
  <c r="CG215" i="4"/>
  <c r="CG216" i="4"/>
  <c r="CG217" i="4"/>
  <c r="CK190" i="4"/>
  <c r="CK191" i="4"/>
  <c r="CK192" i="4"/>
  <c r="CK193" i="4"/>
  <c r="CK194" i="4"/>
  <c r="CK195" i="4"/>
  <c r="CK198" i="4"/>
  <c r="CK199" i="4"/>
  <c r="CK200" i="4"/>
  <c r="CK201" i="4"/>
  <c r="CK202" i="4"/>
  <c r="CK203" i="4"/>
  <c r="CK204" i="4"/>
  <c r="CK205" i="4"/>
  <c r="CK206" i="4"/>
  <c r="CK210" i="4"/>
  <c r="CK211" i="4"/>
  <c r="CK212" i="4"/>
  <c r="CK213" i="4"/>
  <c r="CK214" i="4"/>
  <c r="CK215" i="4"/>
  <c r="CK216" i="4"/>
  <c r="CK217" i="4"/>
  <c r="CN190" i="4"/>
  <c r="CN191" i="4"/>
  <c r="CN192" i="4"/>
  <c r="CN193" i="4"/>
  <c r="CN194" i="4"/>
  <c r="CN195" i="4"/>
  <c r="CN196" i="4"/>
  <c r="CN198" i="4"/>
  <c r="CN199" i="4"/>
  <c r="CN200" i="4"/>
  <c r="CN201" i="4"/>
  <c r="CN202" i="4"/>
  <c r="CN203" i="4"/>
  <c r="CN204" i="4"/>
  <c r="CN205" i="4"/>
  <c r="CN206" i="4"/>
  <c r="CN207" i="4"/>
  <c r="CN208" i="4"/>
  <c r="CN210" i="4"/>
  <c r="CN211" i="4"/>
  <c r="CN212" i="4"/>
  <c r="CN213" i="4"/>
  <c r="CN214" i="4"/>
  <c r="CN215" i="4"/>
  <c r="CN216" i="4"/>
  <c r="CN217" i="4"/>
  <c r="CR190" i="4"/>
  <c r="CR191" i="4"/>
  <c r="CR192" i="4"/>
  <c r="CR193" i="4"/>
  <c r="CR194" i="4"/>
  <c r="CR195" i="4"/>
  <c r="CR196" i="4"/>
  <c r="CR197" i="4"/>
  <c r="CR198" i="4"/>
  <c r="CR199" i="4"/>
  <c r="CR200" i="4"/>
  <c r="CR201" i="4"/>
  <c r="CR202" i="4"/>
  <c r="CR203" i="4"/>
  <c r="CR204" i="4"/>
  <c r="CR205" i="4"/>
  <c r="CR206" i="4"/>
  <c r="CR207" i="4"/>
  <c r="CR208" i="4"/>
  <c r="CR209" i="4"/>
  <c r="CR210" i="4"/>
  <c r="CR211" i="4"/>
  <c r="CR212" i="4"/>
  <c r="CR213" i="4"/>
  <c r="CR214" i="4"/>
  <c r="CR215" i="4"/>
  <c r="CR216" i="4"/>
  <c r="CR217" i="4"/>
  <c r="CS190" i="4"/>
  <c r="CT190" i="4" s="1"/>
  <c r="CS191" i="4"/>
  <c r="CT191" i="4" s="1"/>
  <c r="CU191" i="4" s="1"/>
  <c r="CS192" i="4"/>
  <c r="CT192" i="4" s="1"/>
  <c r="CS193" i="4"/>
  <c r="CT193" i="4" s="1"/>
  <c r="CU193" i="4" s="1"/>
  <c r="CS194" i="4"/>
  <c r="CT194" i="4" s="1"/>
  <c r="CU194" i="4" s="1"/>
  <c r="CS195" i="4"/>
  <c r="CT195" i="4" s="1"/>
  <c r="CS196" i="4"/>
  <c r="CT196" i="4" s="1"/>
  <c r="CS197" i="4"/>
  <c r="CT197" i="4" s="1"/>
  <c r="CU197" i="4" s="1"/>
  <c r="CS198" i="4"/>
  <c r="CT198" i="4" s="1"/>
  <c r="CU198" i="4" s="1"/>
  <c r="CS199" i="4"/>
  <c r="CT199" i="4" s="1"/>
  <c r="CU199" i="4" s="1"/>
  <c r="CS200" i="4"/>
  <c r="CT200" i="4" s="1"/>
  <c r="CU200" i="4" s="1"/>
  <c r="CS201" i="4"/>
  <c r="CT201" i="4" s="1"/>
  <c r="CS202" i="4"/>
  <c r="CT202" i="4" s="1"/>
  <c r="CS203" i="4"/>
  <c r="CT203" i="4" s="1"/>
  <c r="CU203" i="4" s="1"/>
  <c r="CS204" i="4"/>
  <c r="CT204" i="4" s="1"/>
  <c r="CS205" i="4"/>
  <c r="CT205" i="4" s="1"/>
  <c r="CS206" i="4"/>
  <c r="CT206" i="4" s="1"/>
  <c r="CU206" i="4" s="1"/>
  <c r="CS207" i="4"/>
  <c r="CT207" i="4" s="1"/>
  <c r="CS208" i="4"/>
  <c r="CT208" i="4" s="1"/>
  <c r="CS209" i="4"/>
  <c r="CT209" i="4" s="1"/>
  <c r="CU209" i="4" s="1"/>
  <c r="CS210" i="4"/>
  <c r="CT210" i="4" s="1"/>
  <c r="CS211" i="4"/>
  <c r="CT211" i="4" s="1"/>
  <c r="CS212" i="4"/>
  <c r="CT212" i="4" s="1"/>
  <c r="CS213" i="4"/>
  <c r="CT213" i="4" s="1"/>
  <c r="CS214" i="4"/>
  <c r="CT214" i="4" s="1"/>
  <c r="CS215" i="4"/>
  <c r="CT215" i="4" s="1"/>
  <c r="CU215" i="4" s="1"/>
  <c r="CS216" i="4"/>
  <c r="CT216" i="4" s="1"/>
  <c r="CS217" i="4"/>
  <c r="CT217" i="4" s="1"/>
  <c r="CU217" i="4" s="1"/>
  <c r="CU190" i="4"/>
  <c r="CU192" i="4"/>
  <c r="CU195" i="4"/>
  <c r="CU196" i="4"/>
  <c r="CU201" i="4"/>
  <c r="CU202" i="4"/>
  <c r="CU204" i="4"/>
  <c r="CU205" i="4"/>
  <c r="CU207" i="4"/>
  <c r="CU208" i="4"/>
  <c r="CU210" i="4"/>
  <c r="CU211" i="4"/>
  <c r="CU212" i="4"/>
  <c r="CU213" i="4"/>
  <c r="CU214" i="4"/>
  <c r="CU216" i="4"/>
  <c r="CX190" i="4"/>
  <c r="CY190" i="4" s="1"/>
  <c r="CX191" i="4"/>
  <c r="CY191" i="4" s="1"/>
  <c r="CX192" i="4"/>
  <c r="CY192" i="4" s="1"/>
  <c r="CX193" i="4"/>
  <c r="CX194" i="4"/>
  <c r="CY194" i="4" s="1"/>
  <c r="CX195" i="4"/>
  <c r="CY195" i="4" s="1"/>
  <c r="CX196" i="4"/>
  <c r="CY196" i="4" s="1"/>
  <c r="CX197" i="4"/>
  <c r="CY197" i="4" s="1"/>
  <c r="CX198" i="4"/>
  <c r="CY198" i="4" s="1"/>
  <c r="CX199" i="4"/>
  <c r="CX200" i="4"/>
  <c r="CX201" i="4"/>
  <c r="CX202" i="4"/>
  <c r="CX203" i="4"/>
  <c r="CX204" i="4"/>
  <c r="CY204" i="4" s="1"/>
  <c r="CX205" i="4"/>
  <c r="CY205" i="4" s="1"/>
  <c r="CX206" i="4"/>
  <c r="CY206" i="4" s="1"/>
  <c r="CX207" i="4"/>
  <c r="CX208" i="4"/>
  <c r="CY208" i="4" s="1"/>
  <c r="CX209" i="4"/>
  <c r="CY209" i="4" s="1"/>
  <c r="CX210" i="4"/>
  <c r="CY210" i="4" s="1"/>
  <c r="CX211" i="4"/>
  <c r="CX212" i="4"/>
  <c r="CY212" i="4" s="1"/>
  <c r="CX213" i="4"/>
  <c r="CX214" i="4"/>
  <c r="CY214" i="4" s="1"/>
  <c r="CX215" i="4"/>
  <c r="CY215" i="4" s="1"/>
  <c r="CX216" i="4"/>
  <c r="CY216" i="4" s="1"/>
  <c r="CX217" i="4"/>
  <c r="CY217" i="4" s="1"/>
  <c r="CY193" i="4"/>
  <c r="CY199" i="4"/>
  <c r="CY200" i="4"/>
  <c r="CY201" i="4"/>
  <c r="CY202" i="4"/>
  <c r="CY203" i="4"/>
  <c r="CY207" i="4"/>
  <c r="CY211" i="4"/>
  <c r="CY213" i="4"/>
  <c r="CZ190" i="4"/>
  <c r="CZ191" i="4"/>
  <c r="CZ192" i="4"/>
  <c r="DB192" i="4" s="1"/>
  <c r="CZ193" i="4"/>
  <c r="CZ194" i="4"/>
  <c r="DB194" i="4" s="1"/>
  <c r="CZ195" i="4"/>
  <c r="DB195" i="4" s="1"/>
  <c r="CZ196" i="4"/>
  <c r="CZ197" i="4"/>
  <c r="DB197" i="4" s="1"/>
  <c r="CZ198" i="4"/>
  <c r="DB198" i="4" s="1"/>
  <c r="CZ199" i="4"/>
  <c r="CZ200" i="4"/>
  <c r="CZ201" i="4"/>
  <c r="DB201" i="4" s="1"/>
  <c r="CZ202" i="4"/>
  <c r="CZ203" i="4"/>
  <c r="CZ204" i="4"/>
  <c r="CZ205" i="4"/>
  <c r="CZ206" i="4"/>
  <c r="DB206" i="4" s="1"/>
  <c r="CZ207" i="4"/>
  <c r="DB207" i="4" s="1"/>
  <c r="CZ208" i="4"/>
  <c r="CZ209" i="4"/>
  <c r="DB209" i="4" s="1"/>
  <c r="CZ210" i="4"/>
  <c r="CZ211" i="4"/>
  <c r="CZ212" i="4"/>
  <c r="DB212" i="4" s="1"/>
  <c r="CZ213" i="4"/>
  <c r="DB213" i="4" s="1"/>
  <c r="CZ214" i="4"/>
  <c r="CZ215" i="4"/>
  <c r="CZ216" i="4"/>
  <c r="CZ217" i="4"/>
  <c r="DB190" i="4"/>
  <c r="DB191" i="4"/>
  <c r="DB193" i="4"/>
  <c r="DB196" i="4"/>
  <c r="DB199" i="4"/>
  <c r="DB200" i="4"/>
  <c r="DB202" i="4"/>
  <c r="DB203" i="4"/>
  <c r="DB204" i="4"/>
  <c r="DB205" i="4"/>
  <c r="DB208" i="4"/>
  <c r="DB210" i="4"/>
  <c r="DB211" i="4"/>
  <c r="DB214" i="4"/>
  <c r="DB215" i="4"/>
  <c r="DB216" i="4"/>
  <c r="DB217" i="4"/>
  <c r="DD190" i="4"/>
  <c r="DE190" i="4" s="1"/>
  <c r="DD191" i="4"/>
  <c r="DD192" i="4"/>
  <c r="DD193" i="4"/>
  <c r="DE193" i="4" s="1"/>
  <c r="DD194" i="4"/>
  <c r="DE194" i="4" s="1"/>
  <c r="DD195" i="4"/>
  <c r="DE195" i="4" s="1"/>
  <c r="DD196" i="4"/>
  <c r="DD197" i="4"/>
  <c r="DD198" i="4"/>
  <c r="DD199" i="4"/>
  <c r="DE199" i="4" s="1"/>
  <c r="DD200" i="4"/>
  <c r="DD201" i="4"/>
  <c r="DD202" i="4"/>
  <c r="DE202" i="4" s="1"/>
  <c r="DD203" i="4"/>
  <c r="DD204" i="4"/>
  <c r="DD205" i="4"/>
  <c r="DE205" i="4" s="1"/>
  <c r="DD206" i="4"/>
  <c r="DD207" i="4"/>
  <c r="DE207" i="4" s="1"/>
  <c r="DD208" i="4"/>
  <c r="DE208" i="4" s="1"/>
  <c r="DD209" i="4"/>
  <c r="DD210" i="4"/>
  <c r="DD211" i="4"/>
  <c r="DE211" i="4" s="1"/>
  <c r="DD212" i="4"/>
  <c r="DD213" i="4"/>
  <c r="DD214" i="4"/>
  <c r="DE214" i="4" s="1"/>
  <c r="DD215" i="4"/>
  <c r="DD216" i="4"/>
  <c r="DD217" i="4"/>
  <c r="DE217" i="4" s="1"/>
  <c r="DE191" i="4"/>
  <c r="DE192" i="4"/>
  <c r="DE196" i="4"/>
  <c r="DE197" i="4"/>
  <c r="DE198" i="4"/>
  <c r="DE200" i="4"/>
  <c r="DE201" i="4"/>
  <c r="DE203" i="4"/>
  <c r="DE204" i="4"/>
  <c r="DE206" i="4"/>
  <c r="DE209" i="4"/>
  <c r="DE210" i="4"/>
  <c r="DE212" i="4"/>
  <c r="DE213" i="4"/>
  <c r="DE215" i="4"/>
  <c r="DE216" i="4"/>
  <c r="DG190" i="4"/>
  <c r="DH190" i="4" s="1"/>
  <c r="DG191" i="4"/>
  <c r="DH191" i="4" s="1"/>
  <c r="DG192" i="4"/>
  <c r="DH192" i="4" s="1"/>
  <c r="DG193" i="4"/>
  <c r="DG194" i="4"/>
  <c r="DG195" i="4"/>
  <c r="DG196" i="4"/>
  <c r="DG197" i="4"/>
  <c r="DH197" i="4" s="1"/>
  <c r="DG198" i="4"/>
  <c r="DG199" i="4"/>
  <c r="DH199" i="4" s="1"/>
  <c r="DG200" i="4"/>
  <c r="DH200" i="4" s="1"/>
  <c r="DG201" i="4"/>
  <c r="DG202" i="4"/>
  <c r="DG203" i="4"/>
  <c r="DH203" i="4" s="1"/>
  <c r="DG204" i="4"/>
  <c r="DH204" i="4" s="1"/>
  <c r="DG205" i="4"/>
  <c r="DH205" i="4" s="1"/>
  <c r="DG206" i="4"/>
  <c r="DH206" i="4" s="1"/>
  <c r="DG207" i="4"/>
  <c r="DG208" i="4"/>
  <c r="DH208" i="4" s="1"/>
  <c r="DG209" i="4"/>
  <c r="DH209" i="4" s="1"/>
  <c r="DG210" i="4"/>
  <c r="DG211" i="4"/>
  <c r="DG212" i="4"/>
  <c r="DG213" i="4"/>
  <c r="DG214" i="4"/>
  <c r="DG215" i="4"/>
  <c r="DH215" i="4" s="1"/>
  <c r="DG216" i="4"/>
  <c r="DH216" i="4" s="1"/>
  <c r="DG217" i="4"/>
  <c r="DH193" i="4"/>
  <c r="DH194" i="4"/>
  <c r="DH195" i="4"/>
  <c r="DH196" i="4"/>
  <c r="DH198" i="4"/>
  <c r="DH201" i="4"/>
  <c r="DH202" i="4"/>
  <c r="DH207" i="4"/>
  <c r="DH210" i="4"/>
  <c r="DH211" i="4"/>
  <c r="DH212" i="4"/>
  <c r="DH213" i="4"/>
  <c r="DH214" i="4"/>
  <c r="DH217" i="4"/>
  <c r="DN190" i="4"/>
  <c r="DN191" i="4"/>
  <c r="DR191" i="4" s="1"/>
  <c r="DN192" i="4"/>
  <c r="DN193" i="4"/>
  <c r="DN194" i="4"/>
  <c r="DO194" i="4" s="1"/>
  <c r="DN195" i="4"/>
  <c r="DO195" i="4" s="1"/>
  <c r="DN196" i="4"/>
  <c r="DN197" i="4"/>
  <c r="DN198" i="4"/>
  <c r="DN199" i="4"/>
  <c r="DN200" i="4"/>
  <c r="DO200" i="4" s="1"/>
  <c r="DN201" i="4"/>
  <c r="DO201" i="4" s="1"/>
  <c r="DN202" i="4"/>
  <c r="DO202" i="4" s="1"/>
  <c r="DN203" i="4"/>
  <c r="DR203" i="4" s="1"/>
  <c r="DS203" i="4" s="1"/>
  <c r="DN204" i="4"/>
  <c r="DN205" i="4"/>
  <c r="DN206" i="4"/>
  <c r="DN207" i="4"/>
  <c r="DO207" i="4" s="1"/>
  <c r="DN208" i="4"/>
  <c r="DR208" i="4" s="1"/>
  <c r="DS208" i="4" s="1"/>
  <c r="DN209" i="4"/>
  <c r="DN210" i="4"/>
  <c r="DN211" i="4"/>
  <c r="DN212" i="4"/>
  <c r="DN213" i="4"/>
  <c r="DO213" i="4" s="1"/>
  <c r="DN214" i="4"/>
  <c r="DN215" i="4"/>
  <c r="DR215" i="4" s="1"/>
  <c r="DN216" i="4"/>
  <c r="DN217" i="4"/>
  <c r="DO190" i="4"/>
  <c r="DO191" i="4"/>
  <c r="DO192" i="4"/>
  <c r="DO193" i="4"/>
  <c r="DO198" i="4"/>
  <c r="DO199" i="4"/>
  <c r="DO203" i="4"/>
  <c r="DO204" i="4"/>
  <c r="DO205" i="4"/>
  <c r="DO206" i="4"/>
  <c r="DO210" i="4"/>
  <c r="DO211" i="4"/>
  <c r="DO212" i="4"/>
  <c r="DO214" i="4"/>
  <c r="DO215" i="4"/>
  <c r="DO216" i="4"/>
  <c r="DO217" i="4"/>
  <c r="DR190" i="4"/>
  <c r="DR192" i="4"/>
  <c r="DR193" i="4"/>
  <c r="DS193" i="4" s="1"/>
  <c r="DR194" i="4"/>
  <c r="DR198" i="4"/>
  <c r="DR199" i="4"/>
  <c r="DS199" i="4" s="1"/>
  <c r="DR200" i="4"/>
  <c r="DR204" i="4"/>
  <c r="DR205" i="4"/>
  <c r="DS205" i="4" s="1"/>
  <c r="DR206" i="4"/>
  <c r="DS206" i="4" s="1"/>
  <c r="DR207" i="4"/>
  <c r="DS207" i="4" s="1"/>
  <c r="DR210" i="4"/>
  <c r="DR211" i="4"/>
  <c r="DS211" i="4" s="1"/>
  <c r="DR212" i="4"/>
  <c r="DR213" i="4"/>
  <c r="DS213" i="4" s="1"/>
  <c r="DR214" i="4"/>
  <c r="DR216" i="4"/>
  <c r="DR217" i="4"/>
  <c r="DS217" i="4" s="1"/>
  <c r="DS190" i="4"/>
  <c r="DS191" i="4"/>
  <c r="DS192" i="4"/>
  <c r="DS194" i="4"/>
  <c r="DS198" i="4"/>
  <c r="DS200" i="4"/>
  <c r="DS204" i="4"/>
  <c r="DS210" i="4"/>
  <c r="DS212" i="4"/>
  <c r="DS214" i="4"/>
  <c r="DS215" i="4"/>
  <c r="DS216" i="4"/>
  <c r="DT190" i="4"/>
  <c r="DT191" i="4"/>
  <c r="DT192" i="4"/>
  <c r="DX192" i="4" s="1"/>
  <c r="DT193" i="4"/>
  <c r="DX193" i="4" s="1"/>
  <c r="DT194" i="4"/>
  <c r="DX194" i="4" s="1"/>
  <c r="DT195" i="4"/>
  <c r="DX195" i="4" s="1"/>
  <c r="DT196" i="4"/>
  <c r="DT197" i="4"/>
  <c r="DX197" i="4" s="1"/>
  <c r="DT198" i="4"/>
  <c r="DX198" i="4" s="1"/>
  <c r="DT199" i="4"/>
  <c r="DX199" i="4" s="1"/>
  <c r="DT200" i="4"/>
  <c r="DT201" i="4"/>
  <c r="DT202" i="4"/>
  <c r="DT203" i="4"/>
  <c r="DT204" i="4"/>
  <c r="DX204" i="4" s="1"/>
  <c r="DT205" i="4"/>
  <c r="DX205" i="4" s="1"/>
  <c r="DT206" i="4"/>
  <c r="DX206" i="4" s="1"/>
  <c r="DT207" i="4"/>
  <c r="DX207" i="4" s="1"/>
  <c r="DT208" i="4"/>
  <c r="DT209" i="4"/>
  <c r="DX209" i="4" s="1"/>
  <c r="DT210" i="4"/>
  <c r="DX210" i="4" s="1"/>
  <c r="DT211" i="4"/>
  <c r="DX211" i="4" s="1"/>
  <c r="DT212" i="4"/>
  <c r="DT213" i="4"/>
  <c r="DT214" i="4"/>
  <c r="DT215" i="4"/>
  <c r="DT216" i="4"/>
  <c r="DX216" i="4" s="1"/>
  <c r="DT217" i="4"/>
  <c r="DX217" i="4" s="1"/>
  <c r="DX190" i="4"/>
  <c r="DX191" i="4"/>
  <c r="DX196" i="4"/>
  <c r="DX200" i="4"/>
  <c r="DX201" i="4"/>
  <c r="DX202" i="4"/>
  <c r="DX203" i="4"/>
  <c r="DX208" i="4"/>
  <c r="DX212" i="4"/>
  <c r="DX213" i="4"/>
  <c r="DX214" i="4"/>
  <c r="DX215" i="4"/>
  <c r="DY196" i="4"/>
  <c r="DY198" i="4"/>
  <c r="DY208" i="4"/>
  <c r="DY210" i="4"/>
  <c r="DY211" i="4"/>
  <c r="H172" i="4"/>
  <c r="H173" i="4"/>
  <c r="I173" i="4" s="1"/>
  <c r="H174" i="4"/>
  <c r="H175" i="4"/>
  <c r="I175" i="4" s="1"/>
  <c r="H176" i="4"/>
  <c r="I176" i="4" s="1"/>
  <c r="H177" i="4"/>
  <c r="H178" i="4"/>
  <c r="H179" i="4"/>
  <c r="I179" i="4" s="1"/>
  <c r="H180" i="4"/>
  <c r="H181" i="4"/>
  <c r="I181" i="4" s="1"/>
  <c r="H182" i="4"/>
  <c r="H183" i="4"/>
  <c r="H184" i="4"/>
  <c r="H185" i="4"/>
  <c r="I185" i="4" s="1"/>
  <c r="H186" i="4"/>
  <c r="H187" i="4"/>
  <c r="I187" i="4" s="1"/>
  <c r="H188" i="4"/>
  <c r="I188" i="4" s="1"/>
  <c r="H189" i="4"/>
  <c r="I189" i="4" s="1"/>
  <c r="H218" i="4"/>
  <c r="H219" i="4"/>
  <c r="I219" i="4" s="1"/>
  <c r="H220" i="4"/>
  <c r="H221" i="4"/>
  <c r="I221" i="4" s="1"/>
  <c r="H222" i="4"/>
  <c r="I172" i="4"/>
  <c r="I174" i="4"/>
  <c r="I177" i="4"/>
  <c r="I178" i="4"/>
  <c r="I180" i="4"/>
  <c r="I182" i="4"/>
  <c r="I183" i="4"/>
  <c r="I184" i="4"/>
  <c r="I186" i="4"/>
  <c r="I218" i="4"/>
  <c r="I220" i="4"/>
  <c r="I222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218" i="4"/>
  <c r="K219" i="4"/>
  <c r="K220" i="4"/>
  <c r="K221" i="4"/>
  <c r="K222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218" i="4"/>
  <c r="L219" i="4"/>
  <c r="L220" i="4"/>
  <c r="L221" i="4"/>
  <c r="L222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218" i="4"/>
  <c r="M219" i="4"/>
  <c r="M220" i="4"/>
  <c r="M221" i="4"/>
  <c r="M222" i="4"/>
  <c r="N172" i="4"/>
  <c r="AZ172" i="4" s="1"/>
  <c r="N173" i="4"/>
  <c r="N174" i="4"/>
  <c r="AZ174" i="4" s="1"/>
  <c r="N175" i="4"/>
  <c r="N176" i="4"/>
  <c r="N177" i="4"/>
  <c r="N178" i="4"/>
  <c r="AZ178" i="4" s="1"/>
  <c r="N179" i="4"/>
  <c r="N180" i="4"/>
  <c r="AZ180" i="4" s="1"/>
  <c r="N181" i="4"/>
  <c r="AZ181" i="4" s="1"/>
  <c r="N182" i="4"/>
  <c r="N183" i="4"/>
  <c r="N184" i="4"/>
  <c r="AZ184" i="4" s="1"/>
  <c r="N185" i="4"/>
  <c r="N186" i="4"/>
  <c r="AZ186" i="4" s="1"/>
  <c r="N187" i="4"/>
  <c r="N188" i="4"/>
  <c r="N189" i="4"/>
  <c r="N218" i="4"/>
  <c r="AZ218" i="4" s="1"/>
  <c r="N219" i="4"/>
  <c r="N220" i="4"/>
  <c r="AZ220" i="4" s="1"/>
  <c r="N221" i="4"/>
  <c r="AZ221" i="4" s="1"/>
  <c r="N222" i="4"/>
  <c r="AZ222" i="4" s="1"/>
  <c r="AZ173" i="4"/>
  <c r="AZ175" i="4"/>
  <c r="AZ176" i="4"/>
  <c r="AZ177" i="4"/>
  <c r="AZ179" i="4"/>
  <c r="AZ182" i="4"/>
  <c r="AZ183" i="4"/>
  <c r="AZ185" i="4"/>
  <c r="AZ187" i="4"/>
  <c r="AZ188" i="4"/>
  <c r="AZ189" i="4"/>
  <c r="AZ219" i="4"/>
  <c r="BB172" i="4"/>
  <c r="BB173" i="4"/>
  <c r="BB174" i="4"/>
  <c r="BC174" i="4" s="1"/>
  <c r="BB175" i="4"/>
  <c r="BB176" i="4"/>
  <c r="BC176" i="4" s="1"/>
  <c r="BB177" i="4"/>
  <c r="BB178" i="4"/>
  <c r="BB179" i="4"/>
  <c r="BB180" i="4"/>
  <c r="BC180" i="4" s="1"/>
  <c r="BB181" i="4"/>
  <c r="BB182" i="4"/>
  <c r="BC182" i="4" s="1"/>
  <c r="BB183" i="4"/>
  <c r="BC183" i="4" s="1"/>
  <c r="BB184" i="4"/>
  <c r="BB185" i="4"/>
  <c r="BB186" i="4"/>
  <c r="BC186" i="4" s="1"/>
  <c r="BB187" i="4"/>
  <c r="BB188" i="4"/>
  <c r="BC188" i="4" s="1"/>
  <c r="BB189" i="4"/>
  <c r="BB218" i="4"/>
  <c r="BB219" i="4"/>
  <c r="BB220" i="4"/>
  <c r="BC220" i="4" s="1"/>
  <c r="BB221" i="4"/>
  <c r="BB222" i="4"/>
  <c r="BC222" i="4" s="1"/>
  <c r="BC172" i="4"/>
  <c r="BC173" i="4"/>
  <c r="BC175" i="4"/>
  <c r="BC177" i="4"/>
  <c r="BC178" i="4"/>
  <c r="BC179" i="4"/>
  <c r="BC181" i="4"/>
  <c r="BC184" i="4"/>
  <c r="BC185" i="4"/>
  <c r="BC187" i="4"/>
  <c r="BC189" i="4"/>
  <c r="BC218" i="4"/>
  <c r="BC219" i="4"/>
  <c r="BC221" i="4"/>
  <c r="BG172" i="4"/>
  <c r="BH172" i="4" s="1"/>
  <c r="BG173" i="4"/>
  <c r="BH173" i="4" s="1"/>
  <c r="BG174" i="4"/>
  <c r="BH174" i="4" s="1"/>
  <c r="BG175" i="4"/>
  <c r="BG176" i="4"/>
  <c r="BH176" i="4" s="1"/>
  <c r="BG177" i="4"/>
  <c r="BG178" i="4"/>
  <c r="BH178" i="4" s="1"/>
  <c r="BG179" i="4"/>
  <c r="BG180" i="4"/>
  <c r="BG181" i="4"/>
  <c r="BG182" i="4"/>
  <c r="BH182" i="4" s="1"/>
  <c r="BG183" i="4"/>
  <c r="BG184" i="4"/>
  <c r="BH184" i="4" s="1"/>
  <c r="BG185" i="4"/>
  <c r="BH185" i="4" s="1"/>
  <c r="BG186" i="4"/>
  <c r="BH186" i="4" s="1"/>
  <c r="BG187" i="4"/>
  <c r="BG188" i="4"/>
  <c r="BH188" i="4" s="1"/>
  <c r="BG189" i="4"/>
  <c r="BG218" i="4"/>
  <c r="BH218" i="4" s="1"/>
  <c r="BG219" i="4"/>
  <c r="BG220" i="4"/>
  <c r="BG221" i="4"/>
  <c r="BG222" i="4"/>
  <c r="BH222" i="4" s="1"/>
  <c r="BH175" i="4"/>
  <c r="BH177" i="4"/>
  <c r="BH179" i="4"/>
  <c r="BH180" i="4"/>
  <c r="BH181" i="4"/>
  <c r="BH183" i="4"/>
  <c r="BH187" i="4"/>
  <c r="BH189" i="4"/>
  <c r="BH219" i="4"/>
  <c r="BH220" i="4"/>
  <c r="BH221" i="4"/>
  <c r="BK172" i="4"/>
  <c r="BK173" i="4"/>
  <c r="BK174" i="4"/>
  <c r="BK175" i="4"/>
  <c r="BK176" i="4"/>
  <c r="BK177" i="4"/>
  <c r="BK178" i="4"/>
  <c r="BK179" i="4"/>
  <c r="BK180" i="4"/>
  <c r="BK181" i="4"/>
  <c r="BK182" i="4"/>
  <c r="BK183" i="4"/>
  <c r="BK184" i="4"/>
  <c r="BK185" i="4"/>
  <c r="BK186" i="4"/>
  <c r="BK187" i="4"/>
  <c r="BK188" i="4"/>
  <c r="BK189" i="4"/>
  <c r="BK218" i="4"/>
  <c r="BK219" i="4"/>
  <c r="BK220" i="4"/>
  <c r="BK221" i="4"/>
  <c r="BK222" i="4"/>
  <c r="BM172" i="4"/>
  <c r="BM173" i="4"/>
  <c r="BN173" i="4" s="1"/>
  <c r="BM174" i="4"/>
  <c r="BM175" i="4"/>
  <c r="BN175" i="4" s="1"/>
  <c r="BM176" i="4"/>
  <c r="BN176" i="4" s="1"/>
  <c r="BM177" i="4"/>
  <c r="BN177" i="4" s="1"/>
  <c r="BM178" i="4"/>
  <c r="BM179" i="4"/>
  <c r="BN179" i="4" s="1"/>
  <c r="BM180" i="4"/>
  <c r="BM181" i="4"/>
  <c r="BN181" i="4" s="1"/>
  <c r="BM182" i="4"/>
  <c r="BM183" i="4"/>
  <c r="BM184" i="4"/>
  <c r="BM185" i="4"/>
  <c r="BN185" i="4" s="1"/>
  <c r="BM186" i="4"/>
  <c r="BM187" i="4"/>
  <c r="BN187" i="4" s="1"/>
  <c r="BM188" i="4"/>
  <c r="BN188" i="4" s="1"/>
  <c r="BM189" i="4"/>
  <c r="BN189" i="4" s="1"/>
  <c r="BM218" i="4"/>
  <c r="BM219" i="4"/>
  <c r="BN219" i="4" s="1"/>
  <c r="BM220" i="4"/>
  <c r="BM221" i="4"/>
  <c r="BN221" i="4" s="1"/>
  <c r="BM222" i="4"/>
  <c r="BN172" i="4"/>
  <c r="BN174" i="4"/>
  <c r="BN178" i="4"/>
  <c r="BN180" i="4"/>
  <c r="BN182" i="4"/>
  <c r="BN183" i="4"/>
  <c r="BN184" i="4"/>
  <c r="BN186" i="4"/>
  <c r="BN218" i="4"/>
  <c r="BN220" i="4"/>
  <c r="BN222" i="4"/>
  <c r="BP172" i="4"/>
  <c r="BP173" i="4"/>
  <c r="BP174" i="4"/>
  <c r="BP175" i="4"/>
  <c r="BQ175" i="4" s="1"/>
  <c r="BP176" i="4"/>
  <c r="BP177" i="4"/>
  <c r="BQ177" i="4" s="1"/>
  <c r="BP178" i="4"/>
  <c r="BP179" i="4"/>
  <c r="BQ179" i="4" s="1"/>
  <c r="BP180" i="4"/>
  <c r="BP181" i="4"/>
  <c r="BQ181" i="4" s="1"/>
  <c r="BP182" i="4"/>
  <c r="BP183" i="4"/>
  <c r="BQ183" i="4" s="1"/>
  <c r="BP184" i="4"/>
  <c r="BP185" i="4"/>
  <c r="BP186" i="4"/>
  <c r="BP187" i="4"/>
  <c r="BQ187" i="4" s="1"/>
  <c r="BP188" i="4"/>
  <c r="BP189" i="4"/>
  <c r="BQ189" i="4" s="1"/>
  <c r="BP218" i="4"/>
  <c r="BP219" i="4"/>
  <c r="BQ219" i="4" s="1"/>
  <c r="BP220" i="4"/>
  <c r="BP221" i="4"/>
  <c r="BQ221" i="4" s="1"/>
  <c r="BP222" i="4"/>
  <c r="BQ172" i="4"/>
  <c r="BQ173" i="4"/>
  <c r="BQ174" i="4"/>
  <c r="BQ176" i="4"/>
  <c r="BQ178" i="4"/>
  <c r="BQ180" i="4"/>
  <c r="BQ182" i="4"/>
  <c r="BQ184" i="4"/>
  <c r="BQ185" i="4"/>
  <c r="BQ186" i="4"/>
  <c r="BQ188" i="4"/>
  <c r="BQ218" i="4"/>
  <c r="BQ220" i="4"/>
  <c r="BQ222" i="4"/>
  <c r="BS172" i="4"/>
  <c r="BS173" i="4"/>
  <c r="BT173" i="4" s="1"/>
  <c r="BS174" i="4"/>
  <c r="BS175" i="4"/>
  <c r="BS176" i="4"/>
  <c r="BS177" i="4"/>
  <c r="BT177" i="4" s="1"/>
  <c r="BS178" i="4"/>
  <c r="BS179" i="4"/>
  <c r="BT179" i="4" s="1"/>
  <c r="BS180" i="4"/>
  <c r="BS181" i="4"/>
  <c r="BS182" i="4"/>
  <c r="BS183" i="4"/>
  <c r="BT183" i="4" s="1"/>
  <c r="BS184" i="4"/>
  <c r="BS185" i="4"/>
  <c r="BT185" i="4" s="1"/>
  <c r="BS186" i="4"/>
  <c r="BS187" i="4"/>
  <c r="BS188" i="4"/>
  <c r="BS189" i="4"/>
  <c r="BT189" i="4" s="1"/>
  <c r="BS218" i="4"/>
  <c r="BS219" i="4"/>
  <c r="BT219" i="4" s="1"/>
  <c r="BS220" i="4"/>
  <c r="BS221" i="4"/>
  <c r="BT221" i="4" s="1"/>
  <c r="BS222" i="4"/>
  <c r="BT172" i="4"/>
  <c r="BT174" i="4"/>
  <c r="BT175" i="4"/>
  <c r="BT176" i="4"/>
  <c r="BT178" i="4"/>
  <c r="BT180" i="4"/>
  <c r="BT181" i="4"/>
  <c r="BT182" i="4"/>
  <c r="BT184" i="4"/>
  <c r="BT186" i="4"/>
  <c r="BT187" i="4"/>
  <c r="BT188" i="4"/>
  <c r="BT218" i="4"/>
  <c r="BT220" i="4"/>
  <c r="BT222" i="4"/>
  <c r="BW172" i="4"/>
  <c r="BW173" i="4"/>
  <c r="BX173" i="4" s="1"/>
  <c r="BW174" i="4"/>
  <c r="BW175" i="4"/>
  <c r="BX175" i="4" s="1"/>
  <c r="BW176" i="4"/>
  <c r="BW177" i="4"/>
  <c r="BW178" i="4"/>
  <c r="BW179" i="4"/>
  <c r="BX179" i="4" s="1"/>
  <c r="BW180" i="4"/>
  <c r="BW181" i="4"/>
  <c r="BX181" i="4" s="1"/>
  <c r="BW182" i="4"/>
  <c r="BW183" i="4"/>
  <c r="BW184" i="4"/>
  <c r="BW185" i="4"/>
  <c r="BX185" i="4" s="1"/>
  <c r="BW186" i="4"/>
  <c r="BW187" i="4"/>
  <c r="BX187" i="4" s="1"/>
  <c r="BW188" i="4"/>
  <c r="BW189" i="4"/>
  <c r="BW218" i="4"/>
  <c r="BW219" i="4"/>
  <c r="BX219" i="4" s="1"/>
  <c r="BW220" i="4"/>
  <c r="BW221" i="4"/>
  <c r="BX221" i="4" s="1"/>
  <c r="BW222" i="4"/>
  <c r="BX172" i="4"/>
  <c r="BX174" i="4"/>
  <c r="BX176" i="4"/>
  <c r="BX177" i="4"/>
  <c r="BX178" i="4"/>
  <c r="BX180" i="4"/>
  <c r="BX182" i="4"/>
  <c r="BX183" i="4"/>
  <c r="BX184" i="4"/>
  <c r="BX186" i="4"/>
  <c r="BX188" i="4"/>
  <c r="BX189" i="4"/>
  <c r="BX218" i="4"/>
  <c r="BX220" i="4"/>
  <c r="BX222" i="4"/>
  <c r="BZ172" i="4"/>
  <c r="CA172" i="4" s="1"/>
  <c r="BZ173" i="4"/>
  <c r="BZ174" i="4"/>
  <c r="BZ175" i="4"/>
  <c r="CA175" i="4" s="1"/>
  <c r="BZ176" i="4"/>
  <c r="BZ177" i="4"/>
  <c r="CA177" i="4" s="1"/>
  <c r="BZ178" i="4"/>
  <c r="BZ179" i="4"/>
  <c r="BZ180" i="4"/>
  <c r="BZ181" i="4"/>
  <c r="CA181" i="4" s="1"/>
  <c r="BZ182" i="4"/>
  <c r="BZ183" i="4"/>
  <c r="CA183" i="4" s="1"/>
  <c r="BZ184" i="4"/>
  <c r="BZ185" i="4"/>
  <c r="CA185" i="4" s="1"/>
  <c r="BZ186" i="4"/>
  <c r="BZ187" i="4"/>
  <c r="CA187" i="4" s="1"/>
  <c r="BZ188" i="4"/>
  <c r="BZ189" i="4"/>
  <c r="CA189" i="4" s="1"/>
  <c r="BZ218" i="4"/>
  <c r="BZ219" i="4"/>
  <c r="BZ220" i="4"/>
  <c r="BZ221" i="4"/>
  <c r="CA221" i="4" s="1"/>
  <c r="BZ222" i="4"/>
  <c r="CA173" i="4"/>
  <c r="CA174" i="4"/>
  <c r="CA176" i="4"/>
  <c r="CA178" i="4"/>
  <c r="CA179" i="4"/>
  <c r="CA180" i="4"/>
  <c r="CA182" i="4"/>
  <c r="CA184" i="4"/>
  <c r="CA186" i="4"/>
  <c r="CA188" i="4"/>
  <c r="CA218" i="4"/>
  <c r="CA219" i="4"/>
  <c r="CA220" i="4"/>
  <c r="CA222" i="4"/>
  <c r="CC172" i="4"/>
  <c r="CC173" i="4"/>
  <c r="CD173" i="4" s="1"/>
  <c r="CC174" i="4"/>
  <c r="CD174" i="4" s="1"/>
  <c r="CC175" i="4"/>
  <c r="CD175" i="4" s="1"/>
  <c r="CC176" i="4"/>
  <c r="CC177" i="4"/>
  <c r="CD177" i="4" s="1"/>
  <c r="CC178" i="4"/>
  <c r="CC179" i="4"/>
  <c r="CD179" i="4" s="1"/>
  <c r="CC180" i="4"/>
  <c r="CC181" i="4"/>
  <c r="CC182" i="4"/>
  <c r="CC183" i="4"/>
  <c r="CD183" i="4" s="1"/>
  <c r="CC184" i="4"/>
  <c r="CC185" i="4"/>
  <c r="CD185" i="4" s="1"/>
  <c r="CC186" i="4"/>
  <c r="CD186" i="4" s="1"/>
  <c r="CC187" i="4"/>
  <c r="CD187" i="4" s="1"/>
  <c r="CC188" i="4"/>
  <c r="CC189" i="4"/>
  <c r="CD189" i="4" s="1"/>
  <c r="CC218" i="4"/>
  <c r="CC219" i="4"/>
  <c r="CD219" i="4" s="1"/>
  <c r="CC220" i="4"/>
  <c r="CC221" i="4"/>
  <c r="CC222" i="4"/>
  <c r="CD172" i="4"/>
  <c r="CD176" i="4"/>
  <c r="CD178" i="4"/>
  <c r="CD180" i="4"/>
  <c r="CD181" i="4"/>
  <c r="CD182" i="4"/>
  <c r="CD184" i="4"/>
  <c r="CD188" i="4"/>
  <c r="CD218" i="4"/>
  <c r="CD220" i="4"/>
  <c r="CD221" i="4"/>
  <c r="CD222" i="4"/>
  <c r="CG172" i="4"/>
  <c r="CG173" i="4"/>
  <c r="CG174" i="4"/>
  <c r="CG175" i="4"/>
  <c r="CG176" i="4"/>
  <c r="CG177" i="4"/>
  <c r="CG179" i="4"/>
  <c r="CG180" i="4"/>
  <c r="CG181" i="4"/>
  <c r="CG182" i="4"/>
  <c r="CG183" i="4"/>
  <c r="CG184" i="4"/>
  <c r="CG185" i="4"/>
  <c r="CG186" i="4"/>
  <c r="CG187" i="4"/>
  <c r="CG188" i="4"/>
  <c r="CG189" i="4"/>
  <c r="CG218" i="4"/>
  <c r="CG219" i="4"/>
  <c r="CG220" i="4"/>
  <c r="CG221" i="4"/>
  <c r="CG222" i="4"/>
  <c r="CK173" i="4"/>
  <c r="CK174" i="4"/>
  <c r="CK175" i="4"/>
  <c r="CK176" i="4"/>
  <c r="CK177" i="4"/>
  <c r="CK178" i="4"/>
  <c r="CK179" i="4"/>
  <c r="CK180" i="4"/>
  <c r="CK181" i="4"/>
  <c r="CK182" i="4"/>
  <c r="CK183" i="4"/>
  <c r="CK185" i="4"/>
  <c r="CK186" i="4"/>
  <c r="CK187" i="4"/>
  <c r="CK188" i="4"/>
  <c r="CK189" i="4"/>
  <c r="CK218" i="4"/>
  <c r="CK219" i="4"/>
  <c r="CK222" i="4"/>
  <c r="CN172" i="4"/>
  <c r="CN174" i="4"/>
  <c r="CN175" i="4"/>
  <c r="CN176" i="4"/>
  <c r="CN177" i="4"/>
  <c r="CN178" i="4"/>
  <c r="CN179" i="4"/>
  <c r="CN180" i="4"/>
  <c r="CN181" i="4"/>
  <c r="CN182" i="4"/>
  <c r="CN183" i="4"/>
  <c r="CN184" i="4"/>
  <c r="CN186" i="4"/>
  <c r="CN187" i="4"/>
  <c r="CN188" i="4"/>
  <c r="CN189" i="4"/>
  <c r="CN218" i="4"/>
  <c r="CN219" i="4"/>
  <c r="CN220" i="4"/>
  <c r="CN222" i="4"/>
  <c r="CR172" i="4"/>
  <c r="CR173" i="4"/>
  <c r="CR174" i="4"/>
  <c r="CR175" i="4"/>
  <c r="CR176" i="4"/>
  <c r="CR177" i="4"/>
  <c r="CR178" i="4"/>
  <c r="CR179" i="4"/>
  <c r="CR180" i="4"/>
  <c r="CR181" i="4"/>
  <c r="CR182" i="4"/>
  <c r="CR183" i="4"/>
  <c r="CR184" i="4"/>
  <c r="CR185" i="4"/>
  <c r="CR186" i="4"/>
  <c r="CR187" i="4"/>
  <c r="CR188" i="4"/>
  <c r="CR189" i="4"/>
  <c r="CR218" i="4"/>
  <c r="CR219" i="4"/>
  <c r="CR220" i="4"/>
  <c r="CR221" i="4"/>
  <c r="CR222" i="4"/>
  <c r="CS172" i="4"/>
  <c r="CT172" i="4" s="1"/>
  <c r="CU172" i="4" s="1"/>
  <c r="CS173" i="4"/>
  <c r="CT173" i="4" s="1"/>
  <c r="CS174" i="4"/>
  <c r="CT174" i="4" s="1"/>
  <c r="CU174" i="4" s="1"/>
  <c r="CS175" i="4"/>
  <c r="CT175" i="4" s="1"/>
  <c r="CS176" i="4"/>
  <c r="CT176" i="4" s="1"/>
  <c r="CS177" i="4"/>
  <c r="CT177" i="4" s="1"/>
  <c r="CS178" i="4"/>
  <c r="CT178" i="4" s="1"/>
  <c r="CU178" i="4" s="1"/>
  <c r="CS179" i="4"/>
  <c r="CT179" i="4" s="1"/>
  <c r="CS180" i="4"/>
  <c r="CT180" i="4" s="1"/>
  <c r="CU180" i="4" s="1"/>
  <c r="CS181" i="4"/>
  <c r="CT181" i="4" s="1"/>
  <c r="CU181" i="4" s="1"/>
  <c r="CS182" i="4"/>
  <c r="CT182" i="4" s="1"/>
  <c r="CU182" i="4" s="1"/>
  <c r="CS183" i="4"/>
  <c r="CT183" i="4" s="1"/>
  <c r="CS184" i="4"/>
  <c r="CT184" i="4" s="1"/>
  <c r="CU184" i="4" s="1"/>
  <c r="CS185" i="4"/>
  <c r="CT185" i="4" s="1"/>
  <c r="CS186" i="4"/>
  <c r="CT186" i="4" s="1"/>
  <c r="CU186" i="4" s="1"/>
  <c r="CS187" i="4"/>
  <c r="CT187" i="4" s="1"/>
  <c r="CS188" i="4"/>
  <c r="CT188" i="4" s="1"/>
  <c r="CS189" i="4"/>
  <c r="CT189" i="4" s="1"/>
  <c r="CS218" i="4"/>
  <c r="CT218" i="4" s="1"/>
  <c r="CU218" i="4" s="1"/>
  <c r="CS219" i="4"/>
  <c r="CT219" i="4" s="1"/>
  <c r="CS220" i="4"/>
  <c r="CT220" i="4" s="1"/>
  <c r="CU220" i="4" s="1"/>
  <c r="CS221" i="4"/>
  <c r="CT221" i="4" s="1"/>
  <c r="CS222" i="4"/>
  <c r="CT222" i="4" s="1"/>
  <c r="CU173" i="4"/>
  <c r="CU175" i="4"/>
  <c r="CU176" i="4"/>
  <c r="CU177" i="4"/>
  <c r="CU179" i="4"/>
  <c r="CU183" i="4"/>
  <c r="CU185" i="4"/>
  <c r="CU187" i="4"/>
  <c r="CU188" i="4"/>
  <c r="CU189" i="4"/>
  <c r="CU219" i="4"/>
  <c r="CU221" i="4"/>
  <c r="CU222" i="4"/>
  <c r="CX172" i="4"/>
  <c r="CY172" i="4" s="1"/>
  <c r="CX173" i="4"/>
  <c r="CX174" i="4"/>
  <c r="CX175" i="4"/>
  <c r="CY175" i="4" s="1"/>
  <c r="CX176" i="4"/>
  <c r="CY176" i="4" s="1"/>
  <c r="CX177" i="4"/>
  <c r="CX178" i="4"/>
  <c r="CY178" i="4" s="1"/>
  <c r="CX179" i="4"/>
  <c r="CX180" i="4"/>
  <c r="CX181" i="4"/>
  <c r="CY181" i="4" s="1"/>
  <c r="CX182" i="4"/>
  <c r="CY182" i="4" s="1"/>
  <c r="CX183" i="4"/>
  <c r="CY183" i="4" s="1"/>
  <c r="CX184" i="4"/>
  <c r="CY184" i="4" s="1"/>
  <c r="CX185" i="4"/>
  <c r="CX186" i="4"/>
  <c r="CX187" i="4"/>
  <c r="CY187" i="4" s="1"/>
  <c r="CX188" i="4"/>
  <c r="CY188" i="4" s="1"/>
  <c r="CX189" i="4"/>
  <c r="CX218" i="4"/>
  <c r="CY218" i="4" s="1"/>
  <c r="CX219" i="4"/>
  <c r="CX220" i="4"/>
  <c r="CX221" i="4"/>
  <c r="CY221" i="4" s="1"/>
  <c r="CX222" i="4"/>
  <c r="CY222" i="4" s="1"/>
  <c r="CY173" i="4"/>
  <c r="CY174" i="4"/>
  <c r="CY177" i="4"/>
  <c r="CY179" i="4"/>
  <c r="CY180" i="4"/>
  <c r="CY185" i="4"/>
  <c r="CY186" i="4"/>
  <c r="CY189" i="4"/>
  <c r="CY219" i="4"/>
  <c r="CY220" i="4"/>
  <c r="CZ172" i="4"/>
  <c r="DB172" i="4" s="1"/>
  <c r="CZ173" i="4"/>
  <c r="CZ174" i="4"/>
  <c r="DB174" i="4" s="1"/>
  <c r="CZ175" i="4"/>
  <c r="CZ176" i="4"/>
  <c r="CZ177" i="4"/>
  <c r="CZ178" i="4"/>
  <c r="DB178" i="4" s="1"/>
  <c r="CZ179" i="4"/>
  <c r="CZ180" i="4"/>
  <c r="DB180" i="4" s="1"/>
  <c r="CZ181" i="4"/>
  <c r="CZ182" i="4"/>
  <c r="DB182" i="4" s="1"/>
  <c r="CZ183" i="4"/>
  <c r="CZ184" i="4"/>
  <c r="DB184" i="4" s="1"/>
  <c r="CZ185" i="4"/>
  <c r="CZ186" i="4"/>
  <c r="DB186" i="4" s="1"/>
  <c r="CZ187" i="4"/>
  <c r="CZ188" i="4"/>
  <c r="CZ189" i="4"/>
  <c r="CZ218" i="4"/>
  <c r="DB218" i="4" s="1"/>
  <c r="CZ219" i="4"/>
  <c r="CZ220" i="4"/>
  <c r="DB220" i="4" s="1"/>
  <c r="CZ221" i="4"/>
  <c r="CZ222" i="4"/>
  <c r="DB173" i="4"/>
  <c r="DB175" i="4"/>
  <c r="DB176" i="4"/>
  <c r="DB177" i="4"/>
  <c r="DB179" i="4"/>
  <c r="DB181" i="4"/>
  <c r="DB183" i="4"/>
  <c r="DB185" i="4"/>
  <c r="DB187" i="4"/>
  <c r="DB188" i="4"/>
  <c r="DB189" i="4"/>
  <c r="DB219" i="4"/>
  <c r="DB221" i="4"/>
  <c r="DB222" i="4"/>
  <c r="DD172" i="4"/>
  <c r="DE172" i="4" s="1"/>
  <c r="DD173" i="4"/>
  <c r="DD174" i="4"/>
  <c r="DE174" i="4" s="1"/>
  <c r="DD175" i="4"/>
  <c r="DD176" i="4"/>
  <c r="DE176" i="4" s="1"/>
  <c r="DD177" i="4"/>
  <c r="DD178" i="4"/>
  <c r="DD179" i="4"/>
  <c r="DD180" i="4"/>
  <c r="DE180" i="4" s="1"/>
  <c r="DD181" i="4"/>
  <c r="DD182" i="4"/>
  <c r="DE182" i="4" s="1"/>
  <c r="DD183" i="4"/>
  <c r="DE183" i="4" s="1"/>
  <c r="DD184" i="4"/>
  <c r="DE184" i="4" s="1"/>
  <c r="DD185" i="4"/>
  <c r="DD186" i="4"/>
  <c r="DE186" i="4" s="1"/>
  <c r="DD187" i="4"/>
  <c r="DD188" i="4"/>
  <c r="DE188" i="4" s="1"/>
  <c r="DD189" i="4"/>
  <c r="DD218" i="4"/>
  <c r="DD219" i="4"/>
  <c r="DD220" i="4"/>
  <c r="DE220" i="4" s="1"/>
  <c r="DD221" i="4"/>
  <c r="DD222" i="4"/>
  <c r="DE222" i="4" s="1"/>
  <c r="DE173" i="4"/>
  <c r="DE175" i="4"/>
  <c r="DE177" i="4"/>
  <c r="DE178" i="4"/>
  <c r="DE179" i="4"/>
  <c r="DE181" i="4"/>
  <c r="DE185" i="4"/>
  <c r="DE187" i="4"/>
  <c r="DE189" i="4"/>
  <c r="DE218" i="4"/>
  <c r="DE219" i="4"/>
  <c r="DE221" i="4"/>
  <c r="DG172" i="4"/>
  <c r="DH172" i="4" s="1"/>
  <c r="DG173" i="4"/>
  <c r="DG174" i="4"/>
  <c r="DH174" i="4" s="1"/>
  <c r="DG175" i="4"/>
  <c r="DG176" i="4"/>
  <c r="DH176" i="4" s="1"/>
  <c r="DG177" i="4"/>
  <c r="DG178" i="4"/>
  <c r="DH178" i="4" s="1"/>
  <c r="DG179" i="4"/>
  <c r="DG180" i="4"/>
  <c r="DG181" i="4"/>
  <c r="DG182" i="4"/>
  <c r="DH182" i="4" s="1"/>
  <c r="DG183" i="4"/>
  <c r="DG184" i="4"/>
  <c r="DH184" i="4" s="1"/>
  <c r="DG185" i="4"/>
  <c r="DG186" i="4"/>
  <c r="DG187" i="4"/>
  <c r="DG188" i="4"/>
  <c r="DH188" i="4" s="1"/>
  <c r="DG189" i="4"/>
  <c r="DG218" i="4"/>
  <c r="DH218" i="4" s="1"/>
  <c r="DG219" i="4"/>
  <c r="DG220" i="4"/>
  <c r="DG221" i="4"/>
  <c r="DG222" i="4"/>
  <c r="DH222" i="4" s="1"/>
  <c r="DH173" i="4"/>
  <c r="DH175" i="4"/>
  <c r="DH177" i="4"/>
  <c r="DH179" i="4"/>
  <c r="DH180" i="4"/>
  <c r="DH181" i="4"/>
  <c r="DH183" i="4"/>
  <c r="DH185" i="4"/>
  <c r="DH186" i="4"/>
  <c r="DH187" i="4"/>
  <c r="DH189" i="4"/>
  <c r="DH219" i="4"/>
  <c r="DH220" i="4"/>
  <c r="DH221" i="4"/>
  <c r="DN172" i="4"/>
  <c r="DR172" i="4" s="1"/>
  <c r="DS172" i="4" s="1"/>
  <c r="DN173" i="4"/>
  <c r="DR173" i="4" s="1"/>
  <c r="DS173" i="4" s="1"/>
  <c r="DN174" i="4"/>
  <c r="DO174" i="4" s="1"/>
  <c r="DN175" i="4"/>
  <c r="DR175" i="4" s="1"/>
  <c r="DN176" i="4"/>
  <c r="DR176" i="4" s="1"/>
  <c r="DS176" i="4" s="1"/>
  <c r="DN177" i="4"/>
  <c r="DN178" i="4"/>
  <c r="DO178" i="4" s="1"/>
  <c r="DN179" i="4"/>
  <c r="DR179" i="4" s="1"/>
  <c r="DS179" i="4" s="1"/>
  <c r="DN180" i="4"/>
  <c r="DN181" i="4"/>
  <c r="DR181" i="4" s="1"/>
  <c r="DS181" i="4" s="1"/>
  <c r="DN182" i="4"/>
  <c r="DN183" i="4"/>
  <c r="DN184" i="4"/>
  <c r="DR184" i="4" s="1"/>
  <c r="DS184" i="4" s="1"/>
  <c r="DN185" i="4"/>
  <c r="DR185" i="4" s="1"/>
  <c r="DS185" i="4" s="1"/>
  <c r="DN186" i="4"/>
  <c r="DO186" i="4" s="1"/>
  <c r="DN187" i="4"/>
  <c r="DR187" i="4" s="1"/>
  <c r="DN188" i="4"/>
  <c r="DO188" i="4" s="1"/>
  <c r="DN189" i="4"/>
  <c r="DN218" i="4"/>
  <c r="DO218" i="4" s="1"/>
  <c r="DN219" i="4"/>
  <c r="DR219" i="4" s="1"/>
  <c r="DS219" i="4" s="1"/>
  <c r="DN220" i="4"/>
  <c r="DN221" i="4"/>
  <c r="DR221" i="4" s="1"/>
  <c r="DS221" i="4" s="1"/>
  <c r="DN222" i="4"/>
  <c r="DO173" i="4"/>
  <c r="DO175" i="4"/>
  <c r="DO176" i="4"/>
  <c r="DO177" i="4"/>
  <c r="DO179" i="4"/>
  <c r="DO181" i="4"/>
  <c r="DO182" i="4"/>
  <c r="DO183" i="4"/>
  <c r="DO185" i="4"/>
  <c r="DO187" i="4"/>
  <c r="DO189" i="4"/>
  <c r="DO219" i="4"/>
  <c r="DO221" i="4"/>
  <c r="DO222" i="4"/>
  <c r="DR174" i="4"/>
  <c r="DS174" i="4" s="1"/>
  <c r="DR177" i="4"/>
  <c r="DS177" i="4" s="1"/>
  <c r="DR178" i="4"/>
  <c r="DS178" i="4" s="1"/>
  <c r="DR182" i="4"/>
  <c r="DS182" i="4" s="1"/>
  <c r="DR183" i="4"/>
  <c r="DR186" i="4"/>
  <c r="DS186" i="4" s="1"/>
  <c r="DR189" i="4"/>
  <c r="DR218" i="4"/>
  <c r="DR222" i="4"/>
  <c r="DS222" i="4" s="1"/>
  <c r="DS175" i="4"/>
  <c r="DS183" i="4"/>
  <c r="DS187" i="4"/>
  <c r="DS189" i="4"/>
  <c r="DS218" i="4"/>
  <c r="DT172" i="4"/>
  <c r="DX172" i="4" s="1"/>
  <c r="DT173" i="4"/>
  <c r="DT174" i="4"/>
  <c r="DT175" i="4"/>
  <c r="DT176" i="4"/>
  <c r="DX176" i="4" s="1"/>
  <c r="DT177" i="4"/>
  <c r="DT178" i="4"/>
  <c r="DX178" i="4" s="1"/>
  <c r="DT179" i="4"/>
  <c r="DT180" i="4"/>
  <c r="DX180" i="4" s="1"/>
  <c r="DT181" i="4"/>
  <c r="DT182" i="4"/>
  <c r="DX182" i="4" s="1"/>
  <c r="DT183" i="4"/>
  <c r="DT184" i="4"/>
  <c r="DX184" i="4" s="1"/>
  <c r="DT185" i="4"/>
  <c r="DT186" i="4"/>
  <c r="DT187" i="4"/>
  <c r="DT188" i="4"/>
  <c r="DX188" i="4" s="1"/>
  <c r="DT189" i="4"/>
  <c r="DT218" i="4"/>
  <c r="DX218" i="4" s="1"/>
  <c r="DT219" i="4"/>
  <c r="DX219" i="4" s="1"/>
  <c r="DT220" i="4"/>
  <c r="DX220" i="4" s="1"/>
  <c r="DT221" i="4"/>
  <c r="DT222" i="4"/>
  <c r="DX222" i="4" s="1"/>
  <c r="DX173" i="4"/>
  <c r="DX174" i="4"/>
  <c r="DX175" i="4"/>
  <c r="DX177" i="4"/>
  <c r="DX179" i="4"/>
  <c r="DX181" i="4"/>
  <c r="DX183" i="4"/>
  <c r="DX185" i="4"/>
  <c r="DX186" i="4"/>
  <c r="DX187" i="4"/>
  <c r="DX189" i="4"/>
  <c r="DX221" i="4"/>
  <c r="DY174" i="4"/>
  <c r="DY175" i="4"/>
  <c r="DY181" i="4"/>
  <c r="DY186" i="4"/>
  <c r="DY187" i="4"/>
  <c r="DY218" i="4"/>
  <c r="DY221" i="4"/>
  <c r="H149" i="4"/>
  <c r="H150" i="4"/>
  <c r="I150" i="4" s="1"/>
  <c r="H151" i="4"/>
  <c r="H152" i="4"/>
  <c r="I152" i="4" s="1"/>
  <c r="H153" i="4"/>
  <c r="H154" i="4"/>
  <c r="H155" i="4"/>
  <c r="H156" i="4"/>
  <c r="I156" i="4" s="1"/>
  <c r="H157" i="4"/>
  <c r="I157" i="4" s="1"/>
  <c r="H158" i="4"/>
  <c r="H159" i="4"/>
  <c r="H160" i="4"/>
  <c r="H161" i="4"/>
  <c r="H162" i="4"/>
  <c r="I162" i="4" s="1"/>
  <c r="H163" i="4"/>
  <c r="H164" i="4"/>
  <c r="I164" i="4" s="1"/>
  <c r="H165" i="4"/>
  <c r="H166" i="4"/>
  <c r="H167" i="4"/>
  <c r="H168" i="4"/>
  <c r="I168" i="4" s="1"/>
  <c r="H169" i="4"/>
  <c r="I169" i="4" s="1"/>
  <c r="H170" i="4"/>
  <c r="H171" i="4"/>
  <c r="I171" i="4" s="1"/>
  <c r="I149" i="4"/>
  <c r="I151" i="4"/>
  <c r="I153" i="4"/>
  <c r="I154" i="4"/>
  <c r="I155" i="4"/>
  <c r="I158" i="4"/>
  <c r="I159" i="4"/>
  <c r="I160" i="4"/>
  <c r="I161" i="4"/>
  <c r="I163" i="4"/>
  <c r="I165" i="4"/>
  <c r="I166" i="4"/>
  <c r="I167" i="4"/>
  <c r="I170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N149" i="4"/>
  <c r="AZ149" i="4" s="1"/>
  <c r="N150" i="4"/>
  <c r="N151" i="4"/>
  <c r="N152" i="4"/>
  <c r="AZ152" i="4" s="1"/>
  <c r="N153" i="4"/>
  <c r="AZ153" i="4" s="1"/>
  <c r="N154" i="4"/>
  <c r="N155" i="4"/>
  <c r="AZ155" i="4" s="1"/>
  <c r="N156" i="4"/>
  <c r="N157" i="4"/>
  <c r="AZ157" i="4" s="1"/>
  <c r="N158" i="4"/>
  <c r="N159" i="4"/>
  <c r="N160" i="4"/>
  <c r="N161" i="4"/>
  <c r="AZ161" i="4" s="1"/>
  <c r="N162" i="4"/>
  <c r="AZ162" i="4" s="1"/>
  <c r="N163" i="4"/>
  <c r="N164" i="4"/>
  <c r="AZ164" i="4" s="1"/>
  <c r="N165" i="4"/>
  <c r="AZ165" i="4" s="1"/>
  <c r="N166" i="4"/>
  <c r="N167" i="4"/>
  <c r="AZ167" i="4" s="1"/>
  <c r="N168" i="4"/>
  <c r="N169" i="4"/>
  <c r="AZ169" i="4" s="1"/>
  <c r="N170" i="4"/>
  <c r="N171" i="4"/>
  <c r="AZ150" i="4"/>
  <c r="AZ151" i="4"/>
  <c r="AZ154" i="4"/>
  <c r="AZ156" i="4"/>
  <c r="AZ158" i="4"/>
  <c r="AZ159" i="4"/>
  <c r="AZ160" i="4"/>
  <c r="AZ163" i="4"/>
  <c r="AZ166" i="4"/>
  <c r="AZ168" i="4"/>
  <c r="AZ170" i="4"/>
  <c r="AZ171" i="4"/>
  <c r="BB149" i="4"/>
  <c r="BB150" i="4"/>
  <c r="BB151" i="4"/>
  <c r="BC151" i="4" s="1"/>
  <c r="BB152" i="4"/>
  <c r="BC152" i="4" s="1"/>
  <c r="BB153" i="4"/>
  <c r="BB154" i="4"/>
  <c r="BB155" i="4"/>
  <c r="BB156" i="4"/>
  <c r="BB157" i="4"/>
  <c r="BC157" i="4" s="1"/>
  <c r="BB158" i="4"/>
  <c r="BB159" i="4"/>
  <c r="BC159" i="4" s="1"/>
  <c r="BB160" i="4"/>
  <c r="BB161" i="4"/>
  <c r="BB162" i="4"/>
  <c r="BB163" i="4"/>
  <c r="BC163" i="4" s="1"/>
  <c r="BB164" i="4"/>
  <c r="BC164" i="4" s="1"/>
  <c r="BB165" i="4"/>
  <c r="BB166" i="4"/>
  <c r="BB167" i="4"/>
  <c r="BB168" i="4"/>
  <c r="BB169" i="4"/>
  <c r="BC169" i="4" s="1"/>
  <c r="BB170" i="4"/>
  <c r="BB171" i="4"/>
  <c r="BC171" i="4" s="1"/>
  <c r="BC149" i="4"/>
  <c r="BC150" i="4"/>
  <c r="BC153" i="4"/>
  <c r="BC154" i="4"/>
  <c r="BC155" i="4"/>
  <c r="BC156" i="4"/>
  <c r="BC158" i="4"/>
  <c r="BC160" i="4"/>
  <c r="BC161" i="4"/>
  <c r="BC162" i="4"/>
  <c r="BC165" i="4"/>
  <c r="BC166" i="4"/>
  <c r="BC167" i="4"/>
  <c r="BC168" i="4"/>
  <c r="BC170" i="4"/>
  <c r="BG149" i="4"/>
  <c r="BH149" i="4" s="1"/>
  <c r="BG150" i="4"/>
  <c r="BG151" i="4"/>
  <c r="BG152" i="4"/>
  <c r="BG153" i="4"/>
  <c r="BH153" i="4" s="1"/>
  <c r="BG154" i="4"/>
  <c r="BH154" i="4" s="1"/>
  <c r="BG155" i="4"/>
  <c r="BG156" i="4"/>
  <c r="BG157" i="4"/>
  <c r="BH157" i="4" s="1"/>
  <c r="BG158" i="4"/>
  <c r="BG159" i="4"/>
  <c r="BH159" i="4" s="1"/>
  <c r="BG160" i="4"/>
  <c r="BG161" i="4"/>
  <c r="BH161" i="4" s="1"/>
  <c r="BG162" i="4"/>
  <c r="BG163" i="4"/>
  <c r="BG164" i="4"/>
  <c r="BG165" i="4"/>
  <c r="BH165" i="4" s="1"/>
  <c r="BG166" i="4"/>
  <c r="BG167" i="4"/>
  <c r="BG168" i="4"/>
  <c r="BG169" i="4"/>
  <c r="BH169" i="4" s="1"/>
  <c r="BG170" i="4"/>
  <c r="BG171" i="4"/>
  <c r="BH171" i="4" s="1"/>
  <c r="BH150" i="4"/>
  <c r="BH151" i="4"/>
  <c r="BH152" i="4"/>
  <c r="BH155" i="4"/>
  <c r="BH156" i="4"/>
  <c r="BH158" i="4"/>
  <c r="BH160" i="4"/>
  <c r="BH162" i="4"/>
  <c r="BH163" i="4"/>
  <c r="BH164" i="4"/>
  <c r="BH166" i="4"/>
  <c r="BH167" i="4"/>
  <c r="BH168" i="4"/>
  <c r="BH170" i="4"/>
  <c r="BK149" i="4"/>
  <c r="BK150" i="4"/>
  <c r="BK151" i="4"/>
  <c r="BK153" i="4"/>
  <c r="BK154" i="4"/>
  <c r="BK155" i="4"/>
  <c r="BK156" i="4"/>
  <c r="BK157" i="4"/>
  <c r="BK158" i="4"/>
  <c r="BK159" i="4"/>
  <c r="BK160" i="4"/>
  <c r="BK161" i="4"/>
  <c r="BK162" i="4"/>
  <c r="BK163" i="4"/>
  <c r="BK165" i="4"/>
  <c r="BK166" i="4"/>
  <c r="BK167" i="4"/>
  <c r="BK168" i="4"/>
  <c r="BK169" i="4"/>
  <c r="BK170" i="4"/>
  <c r="BK171" i="4"/>
  <c r="BM149" i="4"/>
  <c r="BM150" i="4"/>
  <c r="BN150" i="4" s="1"/>
  <c r="BM151" i="4"/>
  <c r="BM152" i="4"/>
  <c r="BN152" i="4" s="1"/>
  <c r="BM153" i="4"/>
  <c r="BM154" i="4"/>
  <c r="BM155" i="4"/>
  <c r="BM156" i="4"/>
  <c r="BN156" i="4" s="1"/>
  <c r="BM157" i="4"/>
  <c r="BN157" i="4" s="1"/>
  <c r="BM158" i="4"/>
  <c r="BN158" i="4" s="1"/>
  <c r="BM159" i="4"/>
  <c r="BN159" i="4" s="1"/>
  <c r="BM160" i="4"/>
  <c r="BM161" i="4"/>
  <c r="BM162" i="4"/>
  <c r="BN162" i="4" s="1"/>
  <c r="BM163" i="4"/>
  <c r="BM164" i="4"/>
  <c r="BN164" i="4" s="1"/>
  <c r="BM165" i="4"/>
  <c r="BM166" i="4"/>
  <c r="BM167" i="4"/>
  <c r="BM168" i="4"/>
  <c r="BN168" i="4" s="1"/>
  <c r="BM169" i="4"/>
  <c r="BN169" i="4" s="1"/>
  <c r="BM170" i="4"/>
  <c r="BN170" i="4" s="1"/>
  <c r="BM171" i="4"/>
  <c r="BN171" i="4" s="1"/>
  <c r="BN149" i="4"/>
  <c r="BN151" i="4"/>
  <c r="BN153" i="4"/>
  <c r="BN154" i="4"/>
  <c r="BN155" i="4"/>
  <c r="BN160" i="4"/>
  <c r="BN161" i="4"/>
  <c r="BN163" i="4"/>
  <c r="BN165" i="4"/>
  <c r="BN166" i="4"/>
  <c r="BN167" i="4"/>
  <c r="BP149" i="4"/>
  <c r="BP150" i="4"/>
  <c r="BP151" i="4"/>
  <c r="BP152" i="4"/>
  <c r="BQ152" i="4" s="1"/>
  <c r="BP153" i="4"/>
  <c r="BP154" i="4"/>
  <c r="BQ154" i="4" s="1"/>
  <c r="BP155" i="4"/>
  <c r="BP156" i="4"/>
  <c r="BP157" i="4"/>
  <c r="BP158" i="4"/>
  <c r="BQ158" i="4" s="1"/>
  <c r="BP159" i="4"/>
  <c r="BP160" i="4"/>
  <c r="BQ160" i="4" s="1"/>
  <c r="BP161" i="4"/>
  <c r="BP162" i="4"/>
  <c r="BQ162" i="4" s="1"/>
  <c r="BP163" i="4"/>
  <c r="BP164" i="4"/>
  <c r="BQ164" i="4" s="1"/>
  <c r="BP165" i="4"/>
  <c r="BP166" i="4"/>
  <c r="BQ166" i="4" s="1"/>
  <c r="BP167" i="4"/>
  <c r="BP168" i="4"/>
  <c r="BP169" i="4"/>
  <c r="BP170" i="4"/>
  <c r="BQ170" i="4" s="1"/>
  <c r="BP171" i="4"/>
  <c r="BQ149" i="4"/>
  <c r="BQ150" i="4"/>
  <c r="BQ151" i="4"/>
  <c r="BQ153" i="4"/>
  <c r="BQ155" i="4"/>
  <c r="BQ156" i="4"/>
  <c r="BQ157" i="4"/>
  <c r="BQ159" i="4"/>
  <c r="BQ161" i="4"/>
  <c r="BQ163" i="4"/>
  <c r="BQ165" i="4"/>
  <c r="BQ167" i="4"/>
  <c r="BQ168" i="4"/>
  <c r="BQ169" i="4"/>
  <c r="BQ171" i="4"/>
  <c r="BS149" i="4"/>
  <c r="BS150" i="4"/>
  <c r="BT150" i="4" s="1"/>
  <c r="BS151" i="4"/>
  <c r="BT151" i="4" s="1"/>
  <c r="BS152" i="4"/>
  <c r="BS153" i="4"/>
  <c r="BS154" i="4"/>
  <c r="BT154" i="4" s="1"/>
  <c r="BS155" i="4"/>
  <c r="BS156" i="4"/>
  <c r="BT156" i="4" s="1"/>
  <c r="BS157" i="4"/>
  <c r="BS158" i="4"/>
  <c r="BS159" i="4"/>
  <c r="BS160" i="4"/>
  <c r="BT160" i="4" s="1"/>
  <c r="BS161" i="4"/>
  <c r="BT161" i="4" s="1"/>
  <c r="BS162" i="4"/>
  <c r="BT162" i="4" s="1"/>
  <c r="BS163" i="4"/>
  <c r="BT163" i="4" s="1"/>
  <c r="BS164" i="4"/>
  <c r="BS165" i="4"/>
  <c r="BS166" i="4"/>
  <c r="BT166" i="4" s="1"/>
  <c r="BS167" i="4"/>
  <c r="BS168" i="4"/>
  <c r="BT168" i="4" s="1"/>
  <c r="BS169" i="4"/>
  <c r="BS170" i="4"/>
  <c r="BS171" i="4"/>
  <c r="BT149" i="4"/>
  <c r="BT152" i="4"/>
  <c r="BT153" i="4"/>
  <c r="BT155" i="4"/>
  <c r="BT157" i="4"/>
  <c r="BT158" i="4"/>
  <c r="BT159" i="4"/>
  <c r="BT164" i="4"/>
  <c r="BT165" i="4"/>
  <c r="BT167" i="4"/>
  <c r="BT169" i="4"/>
  <c r="BT170" i="4"/>
  <c r="BT171" i="4"/>
  <c r="BW149" i="4"/>
  <c r="BW150" i="4"/>
  <c r="BX150" i="4" s="1"/>
  <c r="BW151" i="4"/>
  <c r="BX151" i="4" s="1"/>
  <c r="BW152" i="4"/>
  <c r="BW153" i="4"/>
  <c r="BW154" i="4"/>
  <c r="BX154" i="4" s="1"/>
  <c r="BW155" i="4"/>
  <c r="BW156" i="4"/>
  <c r="BX156" i="4" s="1"/>
  <c r="BW157" i="4"/>
  <c r="BW158" i="4"/>
  <c r="BX158" i="4" s="1"/>
  <c r="BW159" i="4"/>
  <c r="BW160" i="4"/>
  <c r="BW161" i="4"/>
  <c r="BW162" i="4"/>
  <c r="BX162" i="4" s="1"/>
  <c r="BW163" i="4"/>
  <c r="BW164" i="4"/>
  <c r="BX164" i="4" s="1"/>
  <c r="BW165" i="4"/>
  <c r="BW166" i="4"/>
  <c r="BX166" i="4" s="1"/>
  <c r="BW167" i="4"/>
  <c r="BW168" i="4"/>
  <c r="BX168" i="4" s="1"/>
  <c r="BW169" i="4"/>
  <c r="BW170" i="4"/>
  <c r="BX170" i="4" s="1"/>
  <c r="BW171" i="4"/>
  <c r="BX149" i="4"/>
  <c r="BX152" i="4"/>
  <c r="BX153" i="4"/>
  <c r="BX155" i="4"/>
  <c r="BX157" i="4"/>
  <c r="BX159" i="4"/>
  <c r="BX160" i="4"/>
  <c r="BX161" i="4"/>
  <c r="BX163" i="4"/>
  <c r="BX165" i="4"/>
  <c r="BX167" i="4"/>
  <c r="BX169" i="4"/>
  <c r="BX171" i="4"/>
  <c r="BZ149" i="4"/>
  <c r="BZ150" i="4"/>
  <c r="BZ151" i="4"/>
  <c r="BZ152" i="4"/>
  <c r="CA152" i="4" s="1"/>
  <c r="BZ153" i="4"/>
  <c r="CA153" i="4" s="1"/>
  <c r="BZ154" i="4"/>
  <c r="CA154" i="4" s="1"/>
  <c r="BZ155" i="4"/>
  <c r="BZ156" i="4"/>
  <c r="BZ157" i="4"/>
  <c r="BZ158" i="4"/>
  <c r="CA158" i="4" s="1"/>
  <c r="BZ159" i="4"/>
  <c r="BZ160" i="4"/>
  <c r="CA160" i="4" s="1"/>
  <c r="BZ161" i="4"/>
  <c r="BZ162" i="4"/>
  <c r="BZ163" i="4"/>
  <c r="BZ164" i="4"/>
  <c r="CA164" i="4" s="1"/>
  <c r="BZ165" i="4"/>
  <c r="CA165" i="4" s="1"/>
  <c r="BZ166" i="4"/>
  <c r="CA166" i="4" s="1"/>
  <c r="BZ167" i="4"/>
  <c r="BZ168" i="4"/>
  <c r="BZ169" i="4"/>
  <c r="BZ170" i="4"/>
  <c r="CA170" i="4" s="1"/>
  <c r="BZ171" i="4"/>
  <c r="CA149" i="4"/>
  <c r="CA150" i="4"/>
  <c r="CA151" i="4"/>
  <c r="CA155" i="4"/>
  <c r="CA156" i="4"/>
  <c r="CA157" i="4"/>
  <c r="CA159" i="4"/>
  <c r="CA161" i="4"/>
  <c r="CA162" i="4"/>
  <c r="CA163" i="4"/>
  <c r="CA167" i="4"/>
  <c r="CA168" i="4"/>
  <c r="CA169" i="4"/>
  <c r="CA171" i="4"/>
  <c r="CC149" i="4"/>
  <c r="CC150" i="4"/>
  <c r="CD150" i="4" s="1"/>
  <c r="CC151" i="4"/>
  <c r="CC152" i="4"/>
  <c r="CC153" i="4"/>
  <c r="CC154" i="4"/>
  <c r="CD154" i="4" s="1"/>
  <c r="CC155" i="4"/>
  <c r="CD155" i="4" s="1"/>
  <c r="CC156" i="4"/>
  <c r="CC157" i="4"/>
  <c r="CC158" i="4"/>
  <c r="CD158" i="4" s="1"/>
  <c r="CC159" i="4"/>
  <c r="CC160" i="4"/>
  <c r="CD160" i="4" s="1"/>
  <c r="CC161" i="4"/>
  <c r="CC162" i="4"/>
  <c r="CD162" i="4" s="1"/>
  <c r="CC163" i="4"/>
  <c r="CC164" i="4"/>
  <c r="CC165" i="4"/>
  <c r="CC166" i="4"/>
  <c r="CD166" i="4" s="1"/>
  <c r="CC167" i="4"/>
  <c r="CC168" i="4"/>
  <c r="CC169" i="4"/>
  <c r="CC170" i="4"/>
  <c r="CD170" i="4" s="1"/>
  <c r="CC171" i="4"/>
  <c r="CD149" i="4"/>
  <c r="CD151" i="4"/>
  <c r="CD152" i="4"/>
  <c r="CD153" i="4"/>
  <c r="CD156" i="4"/>
  <c r="CD157" i="4"/>
  <c r="CD159" i="4"/>
  <c r="CD161" i="4"/>
  <c r="CD163" i="4"/>
  <c r="CD164" i="4"/>
  <c r="CD165" i="4"/>
  <c r="CD167" i="4"/>
  <c r="CD168" i="4"/>
  <c r="CD169" i="4"/>
  <c r="CD171" i="4"/>
  <c r="CG149" i="4"/>
  <c r="CG150" i="4"/>
  <c r="CG151" i="4"/>
  <c r="CG152" i="4"/>
  <c r="CG153" i="4"/>
  <c r="CG155" i="4"/>
  <c r="CG156" i="4"/>
  <c r="CG157" i="4"/>
  <c r="CG158" i="4"/>
  <c r="CG159" i="4"/>
  <c r="CG160" i="4"/>
  <c r="CG161" i="4"/>
  <c r="CG162" i="4"/>
  <c r="CG163" i="4"/>
  <c r="CG164" i="4"/>
  <c r="CG165" i="4"/>
  <c r="CG167" i="4"/>
  <c r="CG168" i="4"/>
  <c r="CG169" i="4"/>
  <c r="CG170" i="4"/>
  <c r="CG171" i="4"/>
  <c r="CK149" i="4"/>
  <c r="CK150" i="4"/>
  <c r="CK151" i="4"/>
  <c r="CK152" i="4"/>
  <c r="CK153" i="4"/>
  <c r="CK154" i="4"/>
  <c r="CK155" i="4"/>
  <c r="CK156" i="4"/>
  <c r="CK157" i="4"/>
  <c r="CK158" i="4"/>
  <c r="CK159" i="4"/>
  <c r="CK160" i="4"/>
  <c r="CK161" i="4"/>
  <c r="CK162" i="4"/>
  <c r="CK163" i="4"/>
  <c r="CK164" i="4"/>
  <c r="CK165" i="4"/>
  <c r="CK166" i="4"/>
  <c r="CK167" i="4"/>
  <c r="CK168" i="4"/>
  <c r="CK169" i="4"/>
  <c r="CK170" i="4"/>
  <c r="CK171" i="4"/>
  <c r="CN149" i="4"/>
  <c r="CN150" i="4"/>
  <c r="CN151" i="4"/>
  <c r="CN152" i="4"/>
  <c r="CN153" i="4"/>
  <c r="CN154" i="4"/>
  <c r="CN155" i="4"/>
  <c r="CN156" i="4"/>
  <c r="CN157" i="4"/>
  <c r="CN158" i="4"/>
  <c r="CN159" i="4"/>
  <c r="CN160" i="4"/>
  <c r="CN161" i="4"/>
  <c r="CN162" i="4"/>
  <c r="CN163" i="4"/>
  <c r="CN164" i="4"/>
  <c r="CN165" i="4"/>
  <c r="CN166" i="4"/>
  <c r="CN167" i="4"/>
  <c r="CN168" i="4"/>
  <c r="CN169" i="4"/>
  <c r="CN170" i="4"/>
  <c r="CN171" i="4"/>
  <c r="CR149" i="4"/>
  <c r="CR150" i="4"/>
  <c r="CR151" i="4"/>
  <c r="CR152" i="4"/>
  <c r="CR153" i="4"/>
  <c r="CR154" i="4"/>
  <c r="CR155" i="4"/>
  <c r="CR156" i="4"/>
  <c r="CR157" i="4"/>
  <c r="CR158" i="4"/>
  <c r="CR159" i="4"/>
  <c r="CR160" i="4"/>
  <c r="CR161" i="4"/>
  <c r="CR162" i="4"/>
  <c r="CR163" i="4"/>
  <c r="CR164" i="4"/>
  <c r="CR165" i="4"/>
  <c r="CR166" i="4"/>
  <c r="CR167" i="4"/>
  <c r="CR168" i="4"/>
  <c r="CR169" i="4"/>
  <c r="CR170" i="4"/>
  <c r="CR171" i="4"/>
  <c r="CS149" i="4"/>
  <c r="CT149" i="4" s="1"/>
  <c r="CU149" i="4" s="1"/>
  <c r="CS150" i="4"/>
  <c r="CT150" i="4" s="1"/>
  <c r="CU150" i="4" s="1"/>
  <c r="CS151" i="4"/>
  <c r="CT151" i="4" s="1"/>
  <c r="CS152" i="4"/>
  <c r="CT152" i="4" s="1"/>
  <c r="CU152" i="4" s="1"/>
  <c r="CS153" i="4"/>
  <c r="CT153" i="4" s="1"/>
  <c r="CS154" i="4"/>
  <c r="CT154" i="4" s="1"/>
  <c r="CU154" i="4" s="1"/>
  <c r="CS155" i="4"/>
  <c r="CT155" i="4" s="1"/>
  <c r="CS156" i="4"/>
  <c r="CT156" i="4" s="1"/>
  <c r="CU156" i="4" s="1"/>
  <c r="CS157" i="4"/>
  <c r="CT157" i="4" s="1"/>
  <c r="CS158" i="4"/>
  <c r="CT158" i="4" s="1"/>
  <c r="CS159" i="4"/>
  <c r="CT159" i="4" s="1"/>
  <c r="CS160" i="4"/>
  <c r="CT160" i="4" s="1"/>
  <c r="CU160" i="4" s="1"/>
  <c r="CS161" i="4"/>
  <c r="CT161" i="4" s="1"/>
  <c r="CU161" i="4" s="1"/>
  <c r="CS162" i="4"/>
  <c r="CT162" i="4" s="1"/>
  <c r="CU162" i="4" s="1"/>
  <c r="CS163" i="4"/>
  <c r="CT163" i="4" s="1"/>
  <c r="CS164" i="4"/>
  <c r="CT164" i="4" s="1"/>
  <c r="CS165" i="4"/>
  <c r="CT165" i="4" s="1"/>
  <c r="CS166" i="4"/>
  <c r="CT166" i="4" s="1"/>
  <c r="CU166" i="4" s="1"/>
  <c r="CS167" i="4"/>
  <c r="CT167" i="4" s="1"/>
  <c r="CS168" i="4"/>
  <c r="CT168" i="4" s="1"/>
  <c r="CU168" i="4" s="1"/>
  <c r="CS169" i="4"/>
  <c r="CT169" i="4" s="1"/>
  <c r="CS170" i="4"/>
  <c r="CT170" i="4" s="1"/>
  <c r="CS171" i="4"/>
  <c r="CT171" i="4" s="1"/>
  <c r="CU151" i="4"/>
  <c r="CU153" i="4"/>
  <c r="CU155" i="4"/>
  <c r="CU157" i="4"/>
  <c r="CU158" i="4"/>
  <c r="CU159" i="4"/>
  <c r="CU163" i="4"/>
  <c r="CU164" i="4"/>
  <c r="CU165" i="4"/>
  <c r="CU167" i="4"/>
  <c r="CU169" i="4"/>
  <c r="CU170" i="4"/>
  <c r="CU171" i="4"/>
  <c r="CX149" i="4"/>
  <c r="CY149" i="4" s="1"/>
  <c r="CX150" i="4"/>
  <c r="CY150" i="4" s="1"/>
  <c r="CX151" i="4"/>
  <c r="CY151" i="4" s="1"/>
  <c r="CX152" i="4"/>
  <c r="CY152" i="4" s="1"/>
  <c r="CX153" i="4"/>
  <c r="CY153" i="4" s="1"/>
  <c r="CX154" i="4"/>
  <c r="CX155" i="4"/>
  <c r="CY155" i="4" s="1"/>
  <c r="CX156" i="4"/>
  <c r="CY156" i="4" s="1"/>
  <c r="CX157" i="4"/>
  <c r="CX158" i="4"/>
  <c r="CY158" i="4" s="1"/>
  <c r="CX159" i="4"/>
  <c r="CY159" i="4" s="1"/>
  <c r="CX160" i="4"/>
  <c r="CY160" i="4" s="1"/>
  <c r="CX161" i="4"/>
  <c r="CY161" i="4" s="1"/>
  <c r="CX162" i="4"/>
  <c r="CY162" i="4" s="1"/>
  <c r="CX163" i="4"/>
  <c r="CY163" i="4" s="1"/>
  <c r="CX164" i="4"/>
  <c r="CY164" i="4" s="1"/>
  <c r="CX165" i="4"/>
  <c r="CX166" i="4"/>
  <c r="CX167" i="4"/>
  <c r="CY167" i="4" s="1"/>
  <c r="CX168" i="4"/>
  <c r="CY168" i="4" s="1"/>
  <c r="CX169" i="4"/>
  <c r="CY169" i="4" s="1"/>
  <c r="CX170" i="4"/>
  <c r="CY170" i="4" s="1"/>
  <c r="CX171" i="4"/>
  <c r="CY154" i="4"/>
  <c r="CY157" i="4"/>
  <c r="CY165" i="4"/>
  <c r="CY166" i="4"/>
  <c r="CY171" i="4"/>
  <c r="CZ149" i="4"/>
  <c r="DB149" i="4" s="1"/>
  <c r="CZ150" i="4"/>
  <c r="CZ151" i="4"/>
  <c r="DB151" i="4" s="1"/>
  <c r="CZ152" i="4"/>
  <c r="CZ153" i="4"/>
  <c r="CZ154" i="4"/>
  <c r="DB154" i="4" s="1"/>
  <c r="CZ155" i="4"/>
  <c r="CZ156" i="4"/>
  <c r="DB156" i="4" s="1"/>
  <c r="CZ157" i="4"/>
  <c r="CZ158" i="4"/>
  <c r="CZ159" i="4"/>
  <c r="CZ160" i="4"/>
  <c r="DB160" i="4" s="1"/>
  <c r="CZ161" i="4"/>
  <c r="DB161" i="4" s="1"/>
  <c r="CZ162" i="4"/>
  <c r="CZ163" i="4"/>
  <c r="CZ164" i="4"/>
  <c r="CZ165" i="4"/>
  <c r="CZ166" i="4"/>
  <c r="DB166" i="4" s="1"/>
  <c r="CZ167" i="4"/>
  <c r="CZ168" i="4"/>
  <c r="DB168" i="4" s="1"/>
  <c r="CZ169" i="4"/>
  <c r="CZ170" i="4"/>
  <c r="CZ171" i="4"/>
  <c r="DB150" i="4"/>
  <c r="DB152" i="4"/>
  <c r="DB153" i="4"/>
  <c r="DB155" i="4"/>
  <c r="DB157" i="4"/>
  <c r="DB158" i="4"/>
  <c r="DB159" i="4"/>
  <c r="DB162" i="4"/>
  <c r="DB163" i="4"/>
  <c r="DB164" i="4"/>
  <c r="DB165" i="4"/>
  <c r="DB167" i="4"/>
  <c r="DB169" i="4"/>
  <c r="DB170" i="4"/>
  <c r="DB171" i="4"/>
  <c r="DD149" i="4"/>
  <c r="DD150" i="4"/>
  <c r="DE150" i="4" s="1"/>
  <c r="DD151" i="4"/>
  <c r="DD152" i="4"/>
  <c r="DE152" i="4" s="1"/>
  <c r="DD153" i="4"/>
  <c r="DE153" i="4" s="1"/>
  <c r="DD154" i="4"/>
  <c r="DE154" i="4" s="1"/>
  <c r="DD155" i="4"/>
  <c r="DD156" i="4"/>
  <c r="DE156" i="4" s="1"/>
  <c r="DD157" i="4"/>
  <c r="DD158" i="4"/>
  <c r="DE158" i="4" s="1"/>
  <c r="DD159" i="4"/>
  <c r="DD160" i="4"/>
  <c r="DD161" i="4"/>
  <c r="DD162" i="4"/>
  <c r="DE162" i="4" s="1"/>
  <c r="DD163" i="4"/>
  <c r="DD164" i="4"/>
  <c r="DE164" i="4" s="1"/>
  <c r="DD165" i="4"/>
  <c r="DD166" i="4"/>
  <c r="DD167" i="4"/>
  <c r="DD168" i="4"/>
  <c r="DE168" i="4" s="1"/>
  <c r="DD169" i="4"/>
  <c r="DD170" i="4"/>
  <c r="DE170" i="4" s="1"/>
  <c r="DD171" i="4"/>
  <c r="DE149" i="4"/>
  <c r="DE151" i="4"/>
  <c r="DE155" i="4"/>
  <c r="DE157" i="4"/>
  <c r="DE159" i="4"/>
  <c r="DE160" i="4"/>
  <c r="DE161" i="4"/>
  <c r="DE163" i="4"/>
  <c r="DE165" i="4"/>
  <c r="DE166" i="4"/>
  <c r="DE167" i="4"/>
  <c r="DE169" i="4"/>
  <c r="DE171" i="4"/>
  <c r="DG149" i="4"/>
  <c r="DH149" i="4" s="1"/>
  <c r="DG150" i="4"/>
  <c r="DH150" i="4" s="1"/>
  <c r="DG151" i="4"/>
  <c r="DG152" i="4"/>
  <c r="DH152" i="4" s="1"/>
  <c r="DG153" i="4"/>
  <c r="DG154" i="4"/>
  <c r="DG155" i="4"/>
  <c r="DH155" i="4" s="1"/>
  <c r="DG156" i="4"/>
  <c r="DH156" i="4" s="1"/>
  <c r="DG157" i="4"/>
  <c r="DG158" i="4"/>
  <c r="DH158" i="4" s="1"/>
  <c r="DG159" i="4"/>
  <c r="DG160" i="4"/>
  <c r="DH160" i="4" s="1"/>
  <c r="DG161" i="4"/>
  <c r="DH161" i="4" s="1"/>
  <c r="DG162" i="4"/>
  <c r="DH162" i="4" s="1"/>
  <c r="DG163" i="4"/>
  <c r="DG164" i="4"/>
  <c r="DH164" i="4" s="1"/>
  <c r="DG165" i="4"/>
  <c r="DG166" i="4"/>
  <c r="DG167" i="4"/>
  <c r="DG168" i="4"/>
  <c r="DH168" i="4" s="1"/>
  <c r="DG169" i="4"/>
  <c r="DG170" i="4"/>
  <c r="DH170" i="4" s="1"/>
  <c r="DG171" i="4"/>
  <c r="DH171" i="4" s="1"/>
  <c r="DH151" i="4"/>
  <c r="DH153" i="4"/>
  <c r="DH154" i="4"/>
  <c r="DH157" i="4"/>
  <c r="DH159" i="4"/>
  <c r="DH163" i="4"/>
  <c r="DH165" i="4"/>
  <c r="DH166" i="4"/>
  <c r="DH167" i="4"/>
  <c r="DH169" i="4"/>
  <c r="DN149" i="4"/>
  <c r="DR149" i="4" s="1"/>
  <c r="DS149" i="4" s="1"/>
  <c r="DN150" i="4"/>
  <c r="DO150" i="4" s="1"/>
  <c r="DN151" i="4"/>
  <c r="DN152" i="4"/>
  <c r="DN153" i="4"/>
  <c r="DN154" i="4"/>
  <c r="DO154" i="4" s="1"/>
  <c r="DN155" i="4"/>
  <c r="DR155" i="4" s="1"/>
  <c r="DN156" i="4"/>
  <c r="DN157" i="4"/>
  <c r="DN158" i="4"/>
  <c r="DN159" i="4"/>
  <c r="DN160" i="4"/>
  <c r="DO160" i="4" s="1"/>
  <c r="DN161" i="4"/>
  <c r="DR161" i="4" s="1"/>
  <c r="DN162" i="4"/>
  <c r="DO162" i="4" s="1"/>
  <c r="DN163" i="4"/>
  <c r="DO163" i="4" s="1"/>
  <c r="DN164" i="4"/>
  <c r="DN165" i="4"/>
  <c r="DN166" i="4"/>
  <c r="DO166" i="4" s="1"/>
  <c r="DN167" i="4"/>
  <c r="DR167" i="4" s="1"/>
  <c r="DN168" i="4"/>
  <c r="DN169" i="4"/>
  <c r="DN170" i="4"/>
  <c r="DN171" i="4"/>
  <c r="DO151" i="4"/>
  <c r="DO152" i="4"/>
  <c r="DO153" i="4"/>
  <c r="DO158" i="4"/>
  <c r="DO159" i="4"/>
  <c r="DO164" i="4"/>
  <c r="DO165" i="4"/>
  <c r="DO170" i="4"/>
  <c r="DO171" i="4"/>
  <c r="DR150" i="4"/>
  <c r="DS150" i="4" s="1"/>
  <c r="DR151" i="4"/>
  <c r="DS151" i="4" s="1"/>
  <c r="DR152" i="4"/>
  <c r="DR153" i="4"/>
  <c r="DR158" i="4"/>
  <c r="DR159" i="4"/>
  <c r="DS159" i="4" s="1"/>
  <c r="DR160" i="4"/>
  <c r="DR163" i="4"/>
  <c r="DS163" i="4" s="1"/>
  <c r="DR164" i="4"/>
  <c r="DS164" i="4" s="1"/>
  <c r="DR165" i="4"/>
  <c r="DS165" i="4" s="1"/>
  <c r="DR170" i="4"/>
  <c r="DS170" i="4" s="1"/>
  <c r="DR171" i="4"/>
  <c r="DS171" i="4" s="1"/>
  <c r="DS152" i="4"/>
  <c r="DS153" i="4"/>
  <c r="DS155" i="4"/>
  <c r="DS158" i="4"/>
  <c r="DS160" i="4"/>
  <c r="DS161" i="4"/>
  <c r="DS167" i="4"/>
  <c r="DT149" i="4"/>
  <c r="DT150" i="4"/>
  <c r="DX150" i="4" s="1"/>
  <c r="DT151" i="4"/>
  <c r="DT152" i="4"/>
  <c r="DX152" i="4" s="1"/>
  <c r="DT153" i="4"/>
  <c r="DT154" i="4"/>
  <c r="DX154" i="4" s="1"/>
  <c r="DT155" i="4"/>
  <c r="DX155" i="4" s="1"/>
  <c r="DT156" i="4"/>
  <c r="DX156" i="4" s="1"/>
  <c r="DT157" i="4"/>
  <c r="DX157" i="4" s="1"/>
  <c r="DT158" i="4"/>
  <c r="DX158" i="4" s="1"/>
  <c r="DT159" i="4"/>
  <c r="DT160" i="4"/>
  <c r="DT161" i="4"/>
  <c r="DT162" i="4"/>
  <c r="DX162" i="4" s="1"/>
  <c r="DT163" i="4"/>
  <c r="DT164" i="4"/>
  <c r="DX164" i="4" s="1"/>
  <c r="DT165" i="4"/>
  <c r="DT166" i="4"/>
  <c r="DT167" i="4"/>
  <c r="DX167" i="4" s="1"/>
  <c r="DT168" i="4"/>
  <c r="DX168" i="4" s="1"/>
  <c r="DT169" i="4"/>
  <c r="DX169" i="4" s="1"/>
  <c r="DT170" i="4"/>
  <c r="DX170" i="4" s="1"/>
  <c r="DT171" i="4"/>
  <c r="DX149" i="4"/>
  <c r="DX151" i="4"/>
  <c r="DX153" i="4"/>
  <c r="DX159" i="4"/>
  <c r="DX160" i="4"/>
  <c r="DX161" i="4"/>
  <c r="DX163" i="4"/>
  <c r="DX165" i="4"/>
  <c r="DX166" i="4"/>
  <c r="DX171" i="4"/>
  <c r="DY149" i="4"/>
  <c r="DY152" i="4"/>
  <c r="DY161" i="4"/>
  <c r="DY162" i="4"/>
  <c r="DY163" i="4"/>
  <c r="DY164" i="4"/>
  <c r="H140" i="4"/>
  <c r="I140" i="4" s="1"/>
  <c r="H141" i="4"/>
  <c r="I141" i="4" s="1"/>
  <c r="H142" i="4"/>
  <c r="I142" i="4" s="1"/>
  <c r="H143" i="4"/>
  <c r="I143" i="4" s="1"/>
  <c r="H144" i="4"/>
  <c r="H145" i="4"/>
  <c r="I145" i="4" s="1"/>
  <c r="H146" i="4"/>
  <c r="H147" i="4"/>
  <c r="I147" i="4" s="1"/>
  <c r="H148" i="4"/>
  <c r="I148" i="4" s="1"/>
  <c r="H223" i="4"/>
  <c r="H224" i="4"/>
  <c r="H225" i="4"/>
  <c r="H226" i="4"/>
  <c r="I226" i="4" s="1"/>
  <c r="H227" i="4"/>
  <c r="I227" i="4" s="1"/>
  <c r="H228" i="4"/>
  <c r="I228" i="4" s="1"/>
  <c r="H229" i="4"/>
  <c r="I229" i="4" s="1"/>
  <c r="I144" i="4"/>
  <c r="I146" i="4"/>
  <c r="I223" i="4"/>
  <c r="I224" i="4"/>
  <c r="I225" i="4"/>
  <c r="K140" i="4"/>
  <c r="K141" i="4"/>
  <c r="K142" i="4"/>
  <c r="K143" i="4"/>
  <c r="K144" i="4"/>
  <c r="K145" i="4"/>
  <c r="K146" i="4"/>
  <c r="K147" i="4"/>
  <c r="K148" i="4"/>
  <c r="K223" i="4"/>
  <c r="K224" i="4"/>
  <c r="K225" i="4"/>
  <c r="K226" i="4"/>
  <c r="K227" i="4"/>
  <c r="K228" i="4"/>
  <c r="K229" i="4"/>
  <c r="L140" i="4"/>
  <c r="L141" i="4"/>
  <c r="L142" i="4"/>
  <c r="L143" i="4"/>
  <c r="L144" i="4"/>
  <c r="L145" i="4"/>
  <c r="L146" i="4"/>
  <c r="L147" i="4"/>
  <c r="L148" i="4"/>
  <c r="L223" i="4"/>
  <c r="L224" i="4"/>
  <c r="L225" i="4"/>
  <c r="L226" i="4"/>
  <c r="L227" i="4"/>
  <c r="L228" i="4"/>
  <c r="L229" i="4"/>
  <c r="M140" i="4"/>
  <c r="M141" i="4"/>
  <c r="M142" i="4"/>
  <c r="M143" i="4"/>
  <c r="M144" i="4"/>
  <c r="M145" i="4"/>
  <c r="M146" i="4"/>
  <c r="M147" i="4"/>
  <c r="M148" i="4"/>
  <c r="M223" i="4"/>
  <c r="M224" i="4"/>
  <c r="M225" i="4"/>
  <c r="M226" i="4"/>
  <c r="M227" i="4"/>
  <c r="M228" i="4"/>
  <c r="M229" i="4"/>
  <c r="N140" i="4"/>
  <c r="AZ140" i="4" s="1"/>
  <c r="N141" i="4"/>
  <c r="N142" i="4"/>
  <c r="N143" i="4"/>
  <c r="N144" i="4"/>
  <c r="AZ144" i="4" s="1"/>
  <c r="N145" i="4"/>
  <c r="AZ145" i="4" s="1"/>
  <c r="N146" i="4"/>
  <c r="AZ146" i="4" s="1"/>
  <c r="N147" i="4"/>
  <c r="AZ147" i="4" s="1"/>
  <c r="N148" i="4"/>
  <c r="N223" i="4"/>
  <c r="AZ223" i="4" s="1"/>
  <c r="N224" i="4"/>
  <c r="N225" i="4"/>
  <c r="AZ225" i="4" s="1"/>
  <c r="N226" i="4"/>
  <c r="AZ226" i="4" s="1"/>
  <c r="N227" i="4"/>
  <c r="N228" i="4"/>
  <c r="N229" i="4"/>
  <c r="AZ141" i="4"/>
  <c r="AZ142" i="4"/>
  <c r="AZ143" i="4"/>
  <c r="AZ148" i="4"/>
  <c r="AZ224" i="4"/>
  <c r="AZ227" i="4"/>
  <c r="AZ228" i="4"/>
  <c r="AZ229" i="4"/>
  <c r="BB140" i="4"/>
  <c r="BB141" i="4"/>
  <c r="BC141" i="4" s="1"/>
  <c r="BB142" i="4"/>
  <c r="BB143" i="4"/>
  <c r="BC143" i="4" s="1"/>
  <c r="BB144" i="4"/>
  <c r="BC144" i="4" s="1"/>
  <c r="BB145" i="4"/>
  <c r="BB146" i="4"/>
  <c r="BB147" i="4"/>
  <c r="BB148" i="4"/>
  <c r="BC148" i="4" s="1"/>
  <c r="BB223" i="4"/>
  <c r="BC223" i="4" s="1"/>
  <c r="BB224" i="4"/>
  <c r="BC224" i="4" s="1"/>
  <c r="BB225" i="4"/>
  <c r="BC225" i="4" s="1"/>
  <c r="BB226" i="4"/>
  <c r="BB227" i="4"/>
  <c r="BC227" i="4" s="1"/>
  <c r="BB228" i="4"/>
  <c r="BB229" i="4"/>
  <c r="BC229" i="4" s="1"/>
  <c r="BC140" i="4"/>
  <c r="BC142" i="4"/>
  <c r="BC145" i="4"/>
  <c r="BC146" i="4"/>
  <c r="BC147" i="4"/>
  <c r="BC226" i="4"/>
  <c r="BC228" i="4"/>
  <c r="BG140" i="4"/>
  <c r="BH140" i="4" s="1"/>
  <c r="BG141" i="4"/>
  <c r="BH141" i="4" s="1"/>
  <c r="BG142" i="4"/>
  <c r="BH142" i="4" s="1"/>
  <c r="BG143" i="4"/>
  <c r="BH143" i="4" s="1"/>
  <c r="BG144" i="4"/>
  <c r="BG145" i="4"/>
  <c r="BH145" i="4" s="1"/>
  <c r="BG146" i="4"/>
  <c r="BG147" i="4"/>
  <c r="BH147" i="4" s="1"/>
  <c r="BG148" i="4"/>
  <c r="BH148" i="4" s="1"/>
  <c r="BG223" i="4"/>
  <c r="BG224" i="4"/>
  <c r="BG225" i="4"/>
  <c r="BG226" i="4"/>
  <c r="BH226" i="4" s="1"/>
  <c r="BG227" i="4"/>
  <c r="BH227" i="4" s="1"/>
  <c r="BG228" i="4"/>
  <c r="BH228" i="4" s="1"/>
  <c r="BG229" i="4"/>
  <c r="BH229" i="4" s="1"/>
  <c r="BH144" i="4"/>
  <c r="BH146" i="4"/>
  <c r="BH223" i="4"/>
  <c r="BH224" i="4"/>
  <c r="BH225" i="4"/>
  <c r="BK140" i="4"/>
  <c r="BK141" i="4"/>
  <c r="BK142" i="4"/>
  <c r="BK143" i="4"/>
  <c r="BK144" i="4"/>
  <c r="BK145" i="4"/>
  <c r="BK146" i="4"/>
  <c r="BK147" i="4"/>
  <c r="BK148" i="4"/>
  <c r="BK223" i="4"/>
  <c r="BK224" i="4"/>
  <c r="BK225" i="4"/>
  <c r="BK226" i="4"/>
  <c r="BK227" i="4"/>
  <c r="BK228" i="4"/>
  <c r="BK229" i="4"/>
  <c r="BM140" i="4"/>
  <c r="BN140" i="4" s="1"/>
  <c r="BM141" i="4"/>
  <c r="BN141" i="4" s="1"/>
  <c r="BM142" i="4"/>
  <c r="BN142" i="4" s="1"/>
  <c r="BM143" i="4"/>
  <c r="BN143" i="4" s="1"/>
  <c r="BM144" i="4"/>
  <c r="BM145" i="4"/>
  <c r="BN145" i="4" s="1"/>
  <c r="BM146" i="4"/>
  <c r="BM147" i="4"/>
  <c r="BN147" i="4" s="1"/>
  <c r="BM148" i="4"/>
  <c r="BN148" i="4" s="1"/>
  <c r="BM223" i="4"/>
  <c r="BM224" i="4"/>
  <c r="BM225" i="4"/>
  <c r="BM226" i="4"/>
  <c r="BN226" i="4" s="1"/>
  <c r="BM227" i="4"/>
  <c r="BN227" i="4" s="1"/>
  <c r="BM228" i="4"/>
  <c r="BN228" i="4" s="1"/>
  <c r="BM229" i="4"/>
  <c r="BN229" i="4" s="1"/>
  <c r="BN144" i="4"/>
  <c r="BN146" i="4"/>
  <c r="BN223" i="4"/>
  <c r="BN224" i="4"/>
  <c r="BN225" i="4"/>
  <c r="BP140" i="4"/>
  <c r="BQ140" i="4" s="1"/>
  <c r="BP141" i="4"/>
  <c r="BP142" i="4"/>
  <c r="BP143" i="4"/>
  <c r="BP144" i="4"/>
  <c r="BQ144" i="4" s="1"/>
  <c r="BP145" i="4"/>
  <c r="BQ145" i="4" s="1"/>
  <c r="BP146" i="4"/>
  <c r="BQ146" i="4" s="1"/>
  <c r="BP147" i="4"/>
  <c r="BQ147" i="4" s="1"/>
  <c r="BP148" i="4"/>
  <c r="BP223" i="4"/>
  <c r="BQ223" i="4" s="1"/>
  <c r="BP224" i="4"/>
  <c r="BP225" i="4"/>
  <c r="BQ225" i="4" s="1"/>
  <c r="BP226" i="4"/>
  <c r="BQ226" i="4" s="1"/>
  <c r="BP227" i="4"/>
  <c r="BP228" i="4"/>
  <c r="BP229" i="4"/>
  <c r="BQ141" i="4"/>
  <c r="BQ142" i="4"/>
  <c r="BQ143" i="4"/>
  <c r="BQ148" i="4"/>
  <c r="BQ224" i="4"/>
  <c r="BQ227" i="4"/>
  <c r="BQ228" i="4"/>
  <c r="BQ229" i="4"/>
  <c r="BS140" i="4"/>
  <c r="BS141" i="4"/>
  <c r="BT141" i="4" s="1"/>
  <c r="BS142" i="4"/>
  <c r="BS143" i="4"/>
  <c r="BT143" i="4" s="1"/>
  <c r="BS144" i="4"/>
  <c r="BT144" i="4" s="1"/>
  <c r="BS145" i="4"/>
  <c r="BS146" i="4"/>
  <c r="BS147" i="4"/>
  <c r="BS148" i="4"/>
  <c r="BT148" i="4" s="1"/>
  <c r="BS223" i="4"/>
  <c r="BT223" i="4" s="1"/>
  <c r="BS224" i="4"/>
  <c r="BT224" i="4" s="1"/>
  <c r="BS225" i="4"/>
  <c r="BT225" i="4" s="1"/>
  <c r="BS226" i="4"/>
  <c r="BS227" i="4"/>
  <c r="BT227" i="4" s="1"/>
  <c r="BS228" i="4"/>
  <c r="BS229" i="4"/>
  <c r="BT229" i="4" s="1"/>
  <c r="BT140" i="4"/>
  <c r="BT142" i="4"/>
  <c r="BT145" i="4"/>
  <c r="BT146" i="4"/>
  <c r="BT147" i="4"/>
  <c r="BT226" i="4"/>
  <c r="BT228" i="4"/>
  <c r="BW140" i="4"/>
  <c r="BX140" i="4" s="1"/>
  <c r="BW141" i="4"/>
  <c r="BX141" i="4" s="1"/>
  <c r="BW142" i="4"/>
  <c r="BX142" i="4" s="1"/>
  <c r="BW143" i="4"/>
  <c r="BX143" i="4" s="1"/>
  <c r="BW144" i="4"/>
  <c r="BW145" i="4"/>
  <c r="BX145" i="4" s="1"/>
  <c r="BW146" i="4"/>
  <c r="BW147" i="4"/>
  <c r="BX147" i="4" s="1"/>
  <c r="BW148" i="4"/>
  <c r="BX148" i="4" s="1"/>
  <c r="BW223" i="4"/>
  <c r="BW224" i="4"/>
  <c r="BW225" i="4"/>
  <c r="BW226" i="4"/>
  <c r="BX226" i="4" s="1"/>
  <c r="BW227" i="4"/>
  <c r="BX227" i="4" s="1"/>
  <c r="BW228" i="4"/>
  <c r="BX228" i="4" s="1"/>
  <c r="BW229" i="4"/>
  <c r="BX229" i="4" s="1"/>
  <c r="BX144" i="4"/>
  <c r="BX146" i="4"/>
  <c r="BX223" i="4"/>
  <c r="BX224" i="4"/>
  <c r="BX225" i="4"/>
  <c r="BZ140" i="4"/>
  <c r="CA140" i="4" s="1"/>
  <c r="BZ141" i="4"/>
  <c r="BZ142" i="4"/>
  <c r="BZ143" i="4"/>
  <c r="BZ144" i="4"/>
  <c r="CA144" i="4" s="1"/>
  <c r="BZ145" i="4"/>
  <c r="CA145" i="4" s="1"/>
  <c r="BZ146" i="4"/>
  <c r="CA146" i="4" s="1"/>
  <c r="BZ147" i="4"/>
  <c r="CA147" i="4" s="1"/>
  <c r="BZ148" i="4"/>
  <c r="BZ223" i="4"/>
  <c r="CA223" i="4" s="1"/>
  <c r="BZ224" i="4"/>
  <c r="BZ225" i="4"/>
  <c r="CA225" i="4" s="1"/>
  <c r="BZ226" i="4"/>
  <c r="CA226" i="4" s="1"/>
  <c r="BZ227" i="4"/>
  <c r="BZ228" i="4"/>
  <c r="BZ229" i="4"/>
  <c r="CA141" i="4"/>
  <c r="CA142" i="4"/>
  <c r="CA143" i="4"/>
  <c r="CA148" i="4"/>
  <c r="CA224" i="4"/>
  <c r="CA227" i="4"/>
  <c r="CA228" i="4"/>
  <c r="CA229" i="4"/>
  <c r="CC140" i="4"/>
  <c r="CC141" i="4"/>
  <c r="CD141" i="4" s="1"/>
  <c r="CC142" i="4"/>
  <c r="CC143" i="4"/>
  <c r="CD143" i="4" s="1"/>
  <c r="CC144" i="4"/>
  <c r="CD144" i="4" s="1"/>
  <c r="CC145" i="4"/>
  <c r="CC146" i="4"/>
  <c r="CC147" i="4"/>
  <c r="CC148" i="4"/>
  <c r="CD148" i="4" s="1"/>
  <c r="CC223" i="4"/>
  <c r="CD223" i="4" s="1"/>
  <c r="CC224" i="4"/>
  <c r="CD224" i="4" s="1"/>
  <c r="CC225" i="4"/>
  <c r="CD225" i="4" s="1"/>
  <c r="CC226" i="4"/>
  <c r="CC227" i="4"/>
  <c r="CD227" i="4" s="1"/>
  <c r="CC228" i="4"/>
  <c r="CC229" i="4"/>
  <c r="CD229" i="4" s="1"/>
  <c r="CD140" i="4"/>
  <c r="CD142" i="4"/>
  <c r="CD145" i="4"/>
  <c r="CD146" i="4"/>
  <c r="CD147" i="4"/>
  <c r="CD226" i="4"/>
  <c r="CD228" i="4"/>
  <c r="CG140" i="4"/>
  <c r="CG141" i="4"/>
  <c r="CG142" i="4"/>
  <c r="CG143" i="4"/>
  <c r="CG144" i="4"/>
  <c r="CG145" i="4"/>
  <c r="CG146" i="4"/>
  <c r="CG147" i="4"/>
  <c r="CG148" i="4"/>
  <c r="CG223" i="4"/>
  <c r="CG224" i="4"/>
  <c r="CG225" i="4"/>
  <c r="CG226" i="4"/>
  <c r="CG227" i="4"/>
  <c r="CG228" i="4"/>
  <c r="CG229" i="4"/>
  <c r="CK140" i="4"/>
  <c r="CK141" i="4"/>
  <c r="CK142" i="4"/>
  <c r="CK143" i="4"/>
  <c r="CK144" i="4"/>
  <c r="CK145" i="4"/>
  <c r="CK146" i="4"/>
  <c r="CK147" i="4"/>
  <c r="CK148" i="4"/>
  <c r="CK223" i="4"/>
  <c r="CK224" i="4"/>
  <c r="CK225" i="4"/>
  <c r="CK226" i="4"/>
  <c r="CK227" i="4"/>
  <c r="CK228" i="4"/>
  <c r="CK229" i="4"/>
  <c r="CN140" i="4"/>
  <c r="CN141" i="4"/>
  <c r="CN142" i="4"/>
  <c r="CN143" i="4"/>
  <c r="CN144" i="4"/>
  <c r="CN145" i="4"/>
  <c r="CN146" i="4"/>
  <c r="CN147" i="4"/>
  <c r="CN148" i="4"/>
  <c r="CN223" i="4"/>
  <c r="CN224" i="4"/>
  <c r="CN225" i="4"/>
  <c r="CN226" i="4"/>
  <c r="CN227" i="4"/>
  <c r="CN228" i="4"/>
  <c r="CN229" i="4"/>
  <c r="CR140" i="4"/>
  <c r="CR141" i="4"/>
  <c r="CR142" i="4"/>
  <c r="CR143" i="4"/>
  <c r="CR144" i="4"/>
  <c r="CR145" i="4"/>
  <c r="CR146" i="4"/>
  <c r="CR147" i="4"/>
  <c r="CR148" i="4"/>
  <c r="CR223" i="4"/>
  <c r="CR224" i="4"/>
  <c r="CR225" i="4"/>
  <c r="CR226" i="4"/>
  <c r="CR227" i="4"/>
  <c r="CR228" i="4"/>
  <c r="CR229" i="4"/>
  <c r="CS140" i="4"/>
  <c r="CT140" i="4" s="1"/>
  <c r="CS141" i="4"/>
  <c r="CT141" i="4" s="1"/>
  <c r="CU141" i="4" s="1"/>
  <c r="CS142" i="4"/>
  <c r="CT142" i="4" s="1"/>
  <c r="CS143" i="4"/>
  <c r="CT143" i="4" s="1"/>
  <c r="CU143" i="4" s="1"/>
  <c r="CS144" i="4"/>
  <c r="CT144" i="4" s="1"/>
  <c r="CU144" i="4" s="1"/>
  <c r="CS145" i="4"/>
  <c r="CT145" i="4" s="1"/>
  <c r="CS146" i="4"/>
  <c r="CT146" i="4" s="1"/>
  <c r="CS147" i="4"/>
  <c r="CT147" i="4" s="1"/>
  <c r="CS148" i="4"/>
  <c r="CT148" i="4" s="1"/>
  <c r="CU148" i="4" s="1"/>
  <c r="CS223" i="4"/>
  <c r="CT223" i="4" s="1"/>
  <c r="CU223" i="4" s="1"/>
  <c r="CS224" i="4"/>
  <c r="CT224" i="4" s="1"/>
  <c r="CU224" i="4" s="1"/>
  <c r="CS225" i="4"/>
  <c r="CT225" i="4" s="1"/>
  <c r="CU225" i="4" s="1"/>
  <c r="CS226" i="4"/>
  <c r="CT226" i="4" s="1"/>
  <c r="CS227" i="4"/>
  <c r="CT227" i="4" s="1"/>
  <c r="CU227" i="4" s="1"/>
  <c r="CS228" i="4"/>
  <c r="CT228" i="4" s="1"/>
  <c r="CS229" i="4"/>
  <c r="CT229" i="4" s="1"/>
  <c r="CU229" i="4" s="1"/>
  <c r="CU140" i="4"/>
  <c r="CU142" i="4"/>
  <c r="CU145" i="4"/>
  <c r="CU146" i="4"/>
  <c r="CU147" i="4"/>
  <c r="CU226" i="4"/>
  <c r="CU228" i="4"/>
  <c r="CX140" i="4"/>
  <c r="CY140" i="4" s="1"/>
  <c r="CX141" i="4"/>
  <c r="CY141" i="4" s="1"/>
  <c r="CX142" i="4"/>
  <c r="CY142" i="4" s="1"/>
  <c r="CX143" i="4"/>
  <c r="CY143" i="4" s="1"/>
  <c r="CX144" i="4"/>
  <c r="CY144" i="4" s="1"/>
  <c r="CX145" i="4"/>
  <c r="CX146" i="4"/>
  <c r="CX147" i="4"/>
  <c r="CY147" i="4" s="1"/>
  <c r="CX148" i="4"/>
  <c r="CY148" i="4" s="1"/>
  <c r="CX223" i="4"/>
  <c r="CY223" i="4" s="1"/>
  <c r="CX224" i="4"/>
  <c r="CY224" i="4" s="1"/>
  <c r="CX225" i="4"/>
  <c r="CX226" i="4"/>
  <c r="CY226" i="4" s="1"/>
  <c r="CX227" i="4"/>
  <c r="CY227" i="4" s="1"/>
  <c r="CX228" i="4"/>
  <c r="CY228" i="4" s="1"/>
  <c r="CX229" i="4"/>
  <c r="CY229" i="4" s="1"/>
  <c r="CY145" i="4"/>
  <c r="CY146" i="4"/>
  <c r="CY225" i="4"/>
  <c r="CZ140" i="4"/>
  <c r="DB140" i="4" s="1"/>
  <c r="CZ141" i="4"/>
  <c r="DB141" i="4" s="1"/>
  <c r="CZ142" i="4"/>
  <c r="CZ143" i="4"/>
  <c r="DB143" i="4" s="1"/>
  <c r="CZ144" i="4"/>
  <c r="CZ145" i="4"/>
  <c r="DB145" i="4" s="1"/>
  <c r="CZ146" i="4"/>
  <c r="DB146" i="4" s="1"/>
  <c r="CZ147" i="4"/>
  <c r="CZ148" i="4"/>
  <c r="CZ223" i="4"/>
  <c r="CZ224" i="4"/>
  <c r="DB224" i="4" s="1"/>
  <c r="CZ225" i="4"/>
  <c r="DB225" i="4" s="1"/>
  <c r="CZ226" i="4"/>
  <c r="DB226" i="4" s="1"/>
  <c r="CZ227" i="4"/>
  <c r="DB227" i="4" s="1"/>
  <c r="CZ228" i="4"/>
  <c r="CZ229" i="4"/>
  <c r="DB229" i="4" s="1"/>
  <c r="DB142" i="4"/>
  <c r="DB144" i="4"/>
  <c r="DB147" i="4"/>
  <c r="DB148" i="4"/>
  <c r="DB223" i="4"/>
  <c r="DB228" i="4"/>
  <c r="DD140" i="4"/>
  <c r="DD141" i="4"/>
  <c r="DD142" i="4"/>
  <c r="DE142" i="4" s="1"/>
  <c r="DD143" i="4"/>
  <c r="DE143" i="4" s="1"/>
  <c r="DD144" i="4"/>
  <c r="DE144" i="4" s="1"/>
  <c r="DD145" i="4"/>
  <c r="DE145" i="4" s="1"/>
  <c r="DD146" i="4"/>
  <c r="DD147" i="4"/>
  <c r="DE147" i="4" s="1"/>
  <c r="DD148" i="4"/>
  <c r="DD223" i="4"/>
  <c r="DE223" i="4" s="1"/>
  <c r="DD224" i="4"/>
  <c r="DE224" i="4" s="1"/>
  <c r="DD225" i="4"/>
  <c r="DD226" i="4"/>
  <c r="DD227" i="4"/>
  <c r="DD228" i="4"/>
  <c r="DE228" i="4" s="1"/>
  <c r="DD229" i="4"/>
  <c r="DE229" i="4" s="1"/>
  <c r="DE140" i="4"/>
  <c r="DE141" i="4"/>
  <c r="DE146" i="4"/>
  <c r="DE148" i="4"/>
  <c r="DE225" i="4"/>
  <c r="DE226" i="4"/>
  <c r="DE227" i="4"/>
  <c r="DG140" i="4"/>
  <c r="DG141" i="4"/>
  <c r="DH141" i="4" s="1"/>
  <c r="DG142" i="4"/>
  <c r="DH142" i="4" s="1"/>
  <c r="DG143" i="4"/>
  <c r="DG144" i="4"/>
  <c r="DG145" i="4"/>
  <c r="DG146" i="4"/>
  <c r="DH146" i="4" s="1"/>
  <c r="DG147" i="4"/>
  <c r="DH147" i="4" s="1"/>
  <c r="DG148" i="4"/>
  <c r="DH148" i="4" s="1"/>
  <c r="DG223" i="4"/>
  <c r="DH223" i="4" s="1"/>
  <c r="DG224" i="4"/>
  <c r="DG225" i="4"/>
  <c r="DH225" i="4" s="1"/>
  <c r="DG226" i="4"/>
  <c r="DG227" i="4"/>
  <c r="DH227" i="4" s="1"/>
  <c r="DG228" i="4"/>
  <c r="DH228" i="4" s="1"/>
  <c r="DG229" i="4"/>
  <c r="DH140" i="4"/>
  <c r="DH143" i="4"/>
  <c r="DH144" i="4"/>
  <c r="DH145" i="4"/>
  <c r="DH224" i="4"/>
  <c r="DH226" i="4"/>
  <c r="DH229" i="4"/>
  <c r="DN140" i="4"/>
  <c r="DN141" i="4"/>
  <c r="DN142" i="4"/>
  <c r="DN143" i="4"/>
  <c r="DO143" i="4" s="1"/>
  <c r="DN144" i="4"/>
  <c r="DN145" i="4"/>
  <c r="DO145" i="4" s="1"/>
  <c r="DN146" i="4"/>
  <c r="DR146" i="4" s="1"/>
  <c r="DS146" i="4" s="1"/>
  <c r="DN147" i="4"/>
  <c r="DN148" i="4"/>
  <c r="DR148" i="4" s="1"/>
  <c r="DS148" i="4" s="1"/>
  <c r="DN223" i="4"/>
  <c r="DN224" i="4"/>
  <c r="DO224" i="4" s="1"/>
  <c r="DN225" i="4"/>
  <c r="DO225" i="4" s="1"/>
  <c r="DN226" i="4"/>
  <c r="DN227" i="4"/>
  <c r="DN228" i="4"/>
  <c r="DN229" i="4"/>
  <c r="DO229" i="4" s="1"/>
  <c r="DO142" i="4"/>
  <c r="DO144" i="4"/>
  <c r="DO147" i="4"/>
  <c r="DO148" i="4"/>
  <c r="DO223" i="4"/>
  <c r="DO228" i="4"/>
  <c r="DR142" i="4"/>
  <c r="DS142" i="4" s="1"/>
  <c r="DR143" i="4"/>
  <c r="DS143" i="4" s="1"/>
  <c r="DR144" i="4"/>
  <c r="DS144" i="4" s="1"/>
  <c r="DR145" i="4"/>
  <c r="DS145" i="4" s="1"/>
  <c r="DR147" i="4"/>
  <c r="DS147" i="4" s="1"/>
  <c r="DR223" i="4"/>
  <c r="DS223" i="4" s="1"/>
  <c r="DR224" i="4"/>
  <c r="DS224" i="4" s="1"/>
  <c r="DR228" i="4"/>
  <c r="DS228" i="4" s="1"/>
  <c r="DR229" i="4"/>
  <c r="DS229" i="4" s="1"/>
  <c r="DT140" i="4"/>
  <c r="DT141" i="4"/>
  <c r="DX141" i="4" s="1"/>
  <c r="DT142" i="4"/>
  <c r="DX142" i="4" s="1"/>
  <c r="DT143" i="4"/>
  <c r="DT144" i="4"/>
  <c r="DT145" i="4"/>
  <c r="DT146" i="4"/>
  <c r="DX146" i="4" s="1"/>
  <c r="DT147" i="4"/>
  <c r="DX147" i="4" s="1"/>
  <c r="DT148" i="4"/>
  <c r="DX148" i="4" s="1"/>
  <c r="DT223" i="4"/>
  <c r="DX223" i="4" s="1"/>
  <c r="DT224" i="4"/>
  <c r="DT225" i="4"/>
  <c r="DX225" i="4" s="1"/>
  <c r="DT226" i="4"/>
  <c r="DT227" i="4"/>
  <c r="DX227" i="4" s="1"/>
  <c r="DY227" i="4" s="1"/>
  <c r="DT228" i="4"/>
  <c r="DX228" i="4" s="1"/>
  <c r="DT229" i="4"/>
  <c r="DX140" i="4"/>
  <c r="DX143" i="4"/>
  <c r="DX144" i="4"/>
  <c r="DX145" i="4"/>
  <c r="DX224" i="4"/>
  <c r="DY224" i="4" s="1"/>
  <c r="DX226" i="4"/>
  <c r="DX229" i="4"/>
  <c r="DY140" i="4"/>
  <c r="DY226" i="4"/>
  <c r="H112" i="4"/>
  <c r="H113" i="4"/>
  <c r="I113" i="4" s="1"/>
  <c r="H114" i="4"/>
  <c r="I114" i="4" s="1"/>
  <c r="H115" i="4"/>
  <c r="H116" i="4"/>
  <c r="H117" i="4"/>
  <c r="H118" i="4"/>
  <c r="I118" i="4" s="1"/>
  <c r="H119" i="4"/>
  <c r="I119" i="4" s="1"/>
  <c r="H120" i="4"/>
  <c r="I120" i="4" s="1"/>
  <c r="H121" i="4"/>
  <c r="I121" i="4" s="1"/>
  <c r="H122" i="4"/>
  <c r="H123" i="4"/>
  <c r="H124" i="4"/>
  <c r="H125" i="4"/>
  <c r="I125" i="4" s="1"/>
  <c r="H126" i="4"/>
  <c r="I126" i="4" s="1"/>
  <c r="H127" i="4"/>
  <c r="H128" i="4"/>
  <c r="H129" i="4"/>
  <c r="H130" i="4"/>
  <c r="I130" i="4" s="1"/>
  <c r="H131" i="4"/>
  <c r="I131" i="4" s="1"/>
  <c r="H132" i="4"/>
  <c r="I132" i="4" s="1"/>
  <c r="H133" i="4"/>
  <c r="I133" i="4" s="1"/>
  <c r="I112" i="4"/>
  <c r="I115" i="4"/>
  <c r="I116" i="4"/>
  <c r="I117" i="4"/>
  <c r="I122" i="4"/>
  <c r="I123" i="4"/>
  <c r="I124" i="4"/>
  <c r="I127" i="4"/>
  <c r="I128" i="4"/>
  <c r="I129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N112" i="4"/>
  <c r="AZ112" i="4" s="1"/>
  <c r="N113" i="4"/>
  <c r="N114" i="4"/>
  <c r="N115" i="4"/>
  <c r="N116" i="4"/>
  <c r="AZ116" i="4" s="1"/>
  <c r="N117" i="4"/>
  <c r="AZ117" i="4" s="1"/>
  <c r="N118" i="4"/>
  <c r="AZ118" i="4" s="1"/>
  <c r="N119" i="4"/>
  <c r="AZ119" i="4" s="1"/>
  <c r="N120" i="4"/>
  <c r="N121" i="4"/>
  <c r="N122" i="4"/>
  <c r="N123" i="4"/>
  <c r="AZ123" i="4" s="1"/>
  <c r="N124" i="4"/>
  <c r="AZ124" i="4" s="1"/>
  <c r="N125" i="4"/>
  <c r="N126" i="4"/>
  <c r="N127" i="4"/>
  <c r="N128" i="4"/>
  <c r="AZ128" i="4" s="1"/>
  <c r="N129" i="4"/>
  <c r="AZ129" i="4" s="1"/>
  <c r="N130" i="4"/>
  <c r="AZ130" i="4" s="1"/>
  <c r="N131" i="4"/>
  <c r="AZ131" i="4" s="1"/>
  <c r="N132" i="4"/>
  <c r="N133" i="4"/>
  <c r="AZ113" i="4"/>
  <c r="AZ114" i="4"/>
  <c r="AZ115" i="4"/>
  <c r="AZ120" i="4"/>
  <c r="AZ121" i="4"/>
  <c r="AZ122" i="4"/>
  <c r="AZ125" i="4"/>
  <c r="AZ126" i="4"/>
  <c r="AZ127" i="4"/>
  <c r="AZ132" i="4"/>
  <c r="AZ133" i="4"/>
  <c r="BB112" i="4"/>
  <c r="BB113" i="4"/>
  <c r="BB114" i="4"/>
  <c r="BB115" i="4"/>
  <c r="BC115" i="4" s="1"/>
  <c r="BB116" i="4"/>
  <c r="BC116" i="4" s="1"/>
  <c r="BB117" i="4"/>
  <c r="BB118" i="4"/>
  <c r="BB119" i="4"/>
  <c r="BB120" i="4"/>
  <c r="BC120" i="4" s="1"/>
  <c r="BB121" i="4"/>
  <c r="BC121" i="4" s="1"/>
  <c r="BB122" i="4"/>
  <c r="BC122" i="4" s="1"/>
  <c r="BB123" i="4"/>
  <c r="BC123" i="4" s="1"/>
  <c r="BB124" i="4"/>
  <c r="BB125" i="4"/>
  <c r="BB126" i="4"/>
  <c r="BB127" i="4"/>
  <c r="BC127" i="4" s="1"/>
  <c r="BB128" i="4"/>
  <c r="BC128" i="4" s="1"/>
  <c r="BB129" i="4"/>
  <c r="BB130" i="4"/>
  <c r="BB131" i="4"/>
  <c r="BB132" i="4"/>
  <c r="BC132" i="4" s="1"/>
  <c r="BB133" i="4"/>
  <c r="BC133" i="4" s="1"/>
  <c r="BC112" i="4"/>
  <c r="BC113" i="4"/>
  <c r="BC114" i="4"/>
  <c r="BC117" i="4"/>
  <c r="BC118" i="4"/>
  <c r="BC119" i="4"/>
  <c r="BC124" i="4"/>
  <c r="BC125" i="4"/>
  <c r="BC126" i="4"/>
  <c r="BC129" i="4"/>
  <c r="BC130" i="4"/>
  <c r="BC131" i="4"/>
  <c r="BG112" i="4"/>
  <c r="BH112" i="4" s="1"/>
  <c r="BG113" i="4"/>
  <c r="BH113" i="4" s="1"/>
  <c r="BG114" i="4"/>
  <c r="BH114" i="4" s="1"/>
  <c r="BG115" i="4"/>
  <c r="BH115" i="4" s="1"/>
  <c r="BG116" i="4"/>
  <c r="BG117" i="4"/>
  <c r="BG118" i="4"/>
  <c r="BG119" i="4"/>
  <c r="BH119" i="4" s="1"/>
  <c r="BG120" i="4"/>
  <c r="BH120" i="4" s="1"/>
  <c r="BG121" i="4"/>
  <c r="BG122" i="4"/>
  <c r="BG123" i="4"/>
  <c r="BG124" i="4"/>
  <c r="BH124" i="4" s="1"/>
  <c r="BG125" i="4"/>
  <c r="BH125" i="4" s="1"/>
  <c r="BG126" i="4"/>
  <c r="BH126" i="4" s="1"/>
  <c r="BG127" i="4"/>
  <c r="BH127" i="4" s="1"/>
  <c r="BG128" i="4"/>
  <c r="BG129" i="4"/>
  <c r="BG130" i="4"/>
  <c r="BG131" i="4"/>
  <c r="BH131" i="4" s="1"/>
  <c r="BG132" i="4"/>
  <c r="BH132" i="4" s="1"/>
  <c r="BG133" i="4"/>
  <c r="BH116" i="4"/>
  <c r="BH117" i="4"/>
  <c r="BH118" i="4"/>
  <c r="BH121" i="4"/>
  <c r="BH122" i="4"/>
  <c r="BH123" i="4"/>
  <c r="BH128" i="4"/>
  <c r="BH129" i="4"/>
  <c r="BH130" i="4"/>
  <c r="BH133" i="4"/>
  <c r="BK112" i="4"/>
  <c r="BK113" i="4"/>
  <c r="BK114" i="4"/>
  <c r="BK115" i="4"/>
  <c r="BK116" i="4"/>
  <c r="BK117" i="4"/>
  <c r="BK118" i="4"/>
  <c r="BK119" i="4"/>
  <c r="BK120" i="4"/>
  <c r="BK121" i="4"/>
  <c r="BK122" i="4"/>
  <c r="BK123" i="4"/>
  <c r="BK124" i="4"/>
  <c r="BK125" i="4"/>
  <c r="BK126" i="4"/>
  <c r="BK127" i="4"/>
  <c r="BK128" i="4"/>
  <c r="BK129" i="4"/>
  <c r="BK130" i="4"/>
  <c r="BK131" i="4"/>
  <c r="BK132" i="4"/>
  <c r="BK133" i="4"/>
  <c r="BM112" i="4"/>
  <c r="BM113" i="4"/>
  <c r="BN113" i="4" s="1"/>
  <c r="BM114" i="4"/>
  <c r="BN114" i="4" s="1"/>
  <c r="BM115" i="4"/>
  <c r="BM116" i="4"/>
  <c r="BM117" i="4"/>
  <c r="BM118" i="4"/>
  <c r="BN118" i="4" s="1"/>
  <c r="BM119" i="4"/>
  <c r="BN119" i="4" s="1"/>
  <c r="BM120" i="4"/>
  <c r="BN120" i="4" s="1"/>
  <c r="BM121" i="4"/>
  <c r="BN121" i="4" s="1"/>
  <c r="BM122" i="4"/>
  <c r="BM123" i="4"/>
  <c r="BM124" i="4"/>
  <c r="BM125" i="4"/>
  <c r="BN125" i="4" s="1"/>
  <c r="BM126" i="4"/>
  <c r="BN126" i="4" s="1"/>
  <c r="BM127" i="4"/>
  <c r="BM128" i="4"/>
  <c r="BM129" i="4"/>
  <c r="BM130" i="4"/>
  <c r="BN130" i="4" s="1"/>
  <c r="BM131" i="4"/>
  <c r="BN131" i="4" s="1"/>
  <c r="BM132" i="4"/>
  <c r="BN132" i="4" s="1"/>
  <c r="BM133" i="4"/>
  <c r="BN133" i="4" s="1"/>
  <c r="BN112" i="4"/>
  <c r="BN115" i="4"/>
  <c r="BN116" i="4"/>
  <c r="BN117" i="4"/>
  <c r="BN122" i="4"/>
  <c r="BN123" i="4"/>
  <c r="BN124" i="4"/>
  <c r="BN127" i="4"/>
  <c r="BN128" i="4"/>
  <c r="BN129" i="4"/>
  <c r="BP112" i="4"/>
  <c r="BQ112" i="4" s="1"/>
  <c r="BP113" i="4"/>
  <c r="BQ113" i="4" s="1"/>
  <c r="BP114" i="4"/>
  <c r="BP115" i="4"/>
  <c r="BP116" i="4"/>
  <c r="BP117" i="4"/>
  <c r="BQ117" i="4" s="1"/>
  <c r="BP118" i="4"/>
  <c r="BQ118" i="4" s="1"/>
  <c r="BP119" i="4"/>
  <c r="BP120" i="4"/>
  <c r="BP121" i="4"/>
  <c r="BP122" i="4"/>
  <c r="BQ122" i="4" s="1"/>
  <c r="BP123" i="4"/>
  <c r="BQ123" i="4" s="1"/>
  <c r="BP124" i="4"/>
  <c r="BQ124" i="4" s="1"/>
  <c r="BP125" i="4"/>
  <c r="BQ125" i="4" s="1"/>
  <c r="BP126" i="4"/>
  <c r="BP127" i="4"/>
  <c r="BP128" i="4"/>
  <c r="BP129" i="4"/>
  <c r="BQ129" i="4" s="1"/>
  <c r="BP130" i="4"/>
  <c r="BQ130" i="4" s="1"/>
  <c r="BP131" i="4"/>
  <c r="BP132" i="4"/>
  <c r="BP133" i="4"/>
  <c r="BQ114" i="4"/>
  <c r="BQ115" i="4"/>
  <c r="BQ116" i="4"/>
  <c r="BQ119" i="4"/>
  <c r="BQ120" i="4"/>
  <c r="BQ121" i="4"/>
  <c r="BQ126" i="4"/>
  <c r="BQ127" i="4"/>
  <c r="BQ128" i="4"/>
  <c r="BQ131" i="4"/>
  <c r="BQ132" i="4"/>
  <c r="BQ133" i="4"/>
  <c r="BS112" i="4"/>
  <c r="BS113" i="4"/>
  <c r="BS114" i="4"/>
  <c r="BT114" i="4" s="1"/>
  <c r="BS115" i="4"/>
  <c r="BT115" i="4" s="1"/>
  <c r="BS116" i="4"/>
  <c r="BT116" i="4" s="1"/>
  <c r="BS117" i="4"/>
  <c r="BT117" i="4" s="1"/>
  <c r="BS118" i="4"/>
  <c r="BS119" i="4"/>
  <c r="BS120" i="4"/>
  <c r="BS121" i="4"/>
  <c r="BT121" i="4" s="1"/>
  <c r="BS122" i="4"/>
  <c r="BT122" i="4" s="1"/>
  <c r="BS123" i="4"/>
  <c r="BS124" i="4"/>
  <c r="BS125" i="4"/>
  <c r="BS126" i="4"/>
  <c r="BT126" i="4" s="1"/>
  <c r="BS127" i="4"/>
  <c r="BT127" i="4" s="1"/>
  <c r="BS128" i="4"/>
  <c r="BT128" i="4" s="1"/>
  <c r="BS129" i="4"/>
  <c r="BT129" i="4" s="1"/>
  <c r="BS130" i="4"/>
  <c r="BS131" i="4"/>
  <c r="BS132" i="4"/>
  <c r="BS133" i="4"/>
  <c r="BT133" i="4" s="1"/>
  <c r="BT112" i="4"/>
  <c r="BT113" i="4"/>
  <c r="BT118" i="4"/>
  <c r="BT119" i="4"/>
  <c r="BT120" i="4"/>
  <c r="BT123" i="4"/>
  <c r="BT124" i="4"/>
  <c r="BT125" i="4"/>
  <c r="BT130" i="4"/>
  <c r="BT131" i="4"/>
  <c r="BT132" i="4"/>
  <c r="BW112" i="4"/>
  <c r="BW113" i="4"/>
  <c r="BX113" i="4" s="1"/>
  <c r="BW114" i="4"/>
  <c r="BX114" i="4" s="1"/>
  <c r="BW115" i="4"/>
  <c r="BW116" i="4"/>
  <c r="BW117" i="4"/>
  <c r="BW118" i="4"/>
  <c r="BX118" i="4" s="1"/>
  <c r="BW119" i="4"/>
  <c r="BX119" i="4" s="1"/>
  <c r="BW120" i="4"/>
  <c r="BX120" i="4" s="1"/>
  <c r="BW121" i="4"/>
  <c r="BX121" i="4" s="1"/>
  <c r="BW122" i="4"/>
  <c r="BW123" i="4"/>
  <c r="BW124" i="4"/>
  <c r="BW125" i="4"/>
  <c r="BX125" i="4" s="1"/>
  <c r="BW126" i="4"/>
  <c r="BX126" i="4" s="1"/>
  <c r="BW127" i="4"/>
  <c r="BW128" i="4"/>
  <c r="BW129" i="4"/>
  <c r="BW130" i="4"/>
  <c r="BX130" i="4" s="1"/>
  <c r="BW131" i="4"/>
  <c r="BX131" i="4" s="1"/>
  <c r="BW132" i="4"/>
  <c r="BX132" i="4" s="1"/>
  <c r="BW133" i="4"/>
  <c r="BX133" i="4" s="1"/>
  <c r="BX112" i="4"/>
  <c r="BX115" i="4"/>
  <c r="BX116" i="4"/>
  <c r="BX117" i="4"/>
  <c r="BX122" i="4"/>
  <c r="BX123" i="4"/>
  <c r="BX124" i="4"/>
  <c r="BX127" i="4"/>
  <c r="BX128" i="4"/>
  <c r="BX129" i="4"/>
  <c r="BZ112" i="4"/>
  <c r="CA112" i="4" s="1"/>
  <c r="BZ113" i="4"/>
  <c r="CA113" i="4" s="1"/>
  <c r="BZ114" i="4"/>
  <c r="BZ115" i="4"/>
  <c r="BZ116" i="4"/>
  <c r="BZ117" i="4"/>
  <c r="CA117" i="4" s="1"/>
  <c r="BZ118" i="4"/>
  <c r="CA118" i="4" s="1"/>
  <c r="BZ119" i="4"/>
  <c r="BZ120" i="4"/>
  <c r="BZ121" i="4"/>
  <c r="BZ122" i="4"/>
  <c r="CA122" i="4" s="1"/>
  <c r="BZ123" i="4"/>
  <c r="CA123" i="4" s="1"/>
  <c r="BZ124" i="4"/>
  <c r="CA124" i="4" s="1"/>
  <c r="BZ125" i="4"/>
  <c r="CA125" i="4" s="1"/>
  <c r="BZ126" i="4"/>
  <c r="BZ127" i="4"/>
  <c r="BZ128" i="4"/>
  <c r="BZ129" i="4"/>
  <c r="CA129" i="4" s="1"/>
  <c r="BZ130" i="4"/>
  <c r="CA130" i="4" s="1"/>
  <c r="BZ131" i="4"/>
  <c r="BZ132" i="4"/>
  <c r="BZ133" i="4"/>
  <c r="CA114" i="4"/>
  <c r="CA115" i="4"/>
  <c r="CA116" i="4"/>
  <c r="CA119" i="4"/>
  <c r="CA120" i="4"/>
  <c r="CA121" i="4"/>
  <c r="CA126" i="4"/>
  <c r="CA127" i="4"/>
  <c r="CA128" i="4"/>
  <c r="CA131" i="4"/>
  <c r="CA132" i="4"/>
  <c r="CA133" i="4"/>
  <c r="CC112" i="4"/>
  <c r="CC113" i="4"/>
  <c r="CC114" i="4"/>
  <c r="CD114" i="4" s="1"/>
  <c r="CC115" i="4"/>
  <c r="CD115" i="4" s="1"/>
  <c r="CC116" i="4"/>
  <c r="CD116" i="4" s="1"/>
  <c r="CC117" i="4"/>
  <c r="CD117" i="4" s="1"/>
  <c r="CC118" i="4"/>
  <c r="CC119" i="4"/>
  <c r="CC120" i="4"/>
  <c r="CC121" i="4"/>
  <c r="CD121" i="4" s="1"/>
  <c r="CC122" i="4"/>
  <c r="CD122" i="4" s="1"/>
  <c r="CC123" i="4"/>
  <c r="CC124" i="4"/>
  <c r="CC125" i="4"/>
  <c r="CC126" i="4"/>
  <c r="CD126" i="4" s="1"/>
  <c r="CC127" i="4"/>
  <c r="CD127" i="4" s="1"/>
  <c r="CC128" i="4"/>
  <c r="CD128" i="4" s="1"/>
  <c r="CC129" i="4"/>
  <c r="CD129" i="4" s="1"/>
  <c r="CC130" i="4"/>
  <c r="CC131" i="4"/>
  <c r="CC132" i="4"/>
  <c r="CC133" i="4"/>
  <c r="CD133" i="4" s="1"/>
  <c r="CD112" i="4"/>
  <c r="CD113" i="4"/>
  <c r="CD118" i="4"/>
  <c r="CD119" i="4"/>
  <c r="CD120" i="4"/>
  <c r="CD123" i="4"/>
  <c r="CD124" i="4"/>
  <c r="CD125" i="4"/>
  <c r="CD130" i="4"/>
  <c r="CD131" i="4"/>
  <c r="CD132" i="4"/>
  <c r="CG112" i="4"/>
  <c r="CG113" i="4"/>
  <c r="CG114" i="4"/>
  <c r="CG115" i="4"/>
  <c r="CG116" i="4"/>
  <c r="CG117" i="4"/>
  <c r="CG118" i="4"/>
  <c r="CG119" i="4"/>
  <c r="CG120" i="4"/>
  <c r="CG121" i="4"/>
  <c r="CG122" i="4"/>
  <c r="CG123" i="4"/>
  <c r="CG124" i="4"/>
  <c r="CG125" i="4"/>
  <c r="CG126" i="4"/>
  <c r="CG127" i="4"/>
  <c r="CG128" i="4"/>
  <c r="CG129" i="4"/>
  <c r="CG130" i="4"/>
  <c r="CG131" i="4"/>
  <c r="CG132" i="4"/>
  <c r="CG133" i="4"/>
  <c r="CK112" i="4"/>
  <c r="CK113" i="4"/>
  <c r="CK114" i="4"/>
  <c r="CK115" i="4"/>
  <c r="CK116" i="4"/>
  <c r="CK117" i="4"/>
  <c r="CK118" i="4"/>
  <c r="CK119" i="4"/>
  <c r="CK120" i="4"/>
  <c r="CK121" i="4"/>
  <c r="CK122" i="4"/>
  <c r="CK123" i="4"/>
  <c r="CK124" i="4"/>
  <c r="CK125" i="4"/>
  <c r="CK126" i="4"/>
  <c r="CK127" i="4"/>
  <c r="CK128" i="4"/>
  <c r="CK129" i="4"/>
  <c r="CK130" i="4"/>
  <c r="CK131" i="4"/>
  <c r="CK132" i="4"/>
  <c r="CK133" i="4"/>
  <c r="CN112" i="4"/>
  <c r="CN113" i="4"/>
  <c r="CN114" i="4"/>
  <c r="CN115" i="4"/>
  <c r="CN116" i="4"/>
  <c r="CN117" i="4"/>
  <c r="CN118" i="4"/>
  <c r="CN119" i="4"/>
  <c r="CN120" i="4"/>
  <c r="CN121" i="4"/>
  <c r="CN122" i="4"/>
  <c r="CN123" i="4"/>
  <c r="CN124" i="4"/>
  <c r="CN125" i="4"/>
  <c r="CN126" i="4"/>
  <c r="CN127" i="4"/>
  <c r="CN128" i="4"/>
  <c r="CN129" i="4"/>
  <c r="CN130" i="4"/>
  <c r="CN131" i="4"/>
  <c r="CN132" i="4"/>
  <c r="CN133" i="4"/>
  <c r="CR112" i="4"/>
  <c r="CR113" i="4"/>
  <c r="CR114" i="4"/>
  <c r="CR115" i="4"/>
  <c r="CR116" i="4"/>
  <c r="CR117" i="4"/>
  <c r="CR118" i="4"/>
  <c r="CR119" i="4"/>
  <c r="CR120" i="4"/>
  <c r="CR121" i="4"/>
  <c r="CR122" i="4"/>
  <c r="CR123" i="4"/>
  <c r="CR124" i="4"/>
  <c r="CR125" i="4"/>
  <c r="CR126" i="4"/>
  <c r="CR127" i="4"/>
  <c r="CR128" i="4"/>
  <c r="CR129" i="4"/>
  <c r="CR130" i="4"/>
  <c r="CR131" i="4"/>
  <c r="CR132" i="4"/>
  <c r="CR133" i="4"/>
  <c r="CS112" i="4"/>
  <c r="CT112" i="4" s="1"/>
  <c r="CS113" i="4"/>
  <c r="CT113" i="4" s="1"/>
  <c r="CS114" i="4"/>
  <c r="CT114" i="4" s="1"/>
  <c r="CU114" i="4" s="1"/>
  <c r="CS115" i="4"/>
  <c r="CT115" i="4" s="1"/>
  <c r="CU115" i="4" s="1"/>
  <c r="CS116" i="4"/>
  <c r="CT116" i="4" s="1"/>
  <c r="CS117" i="4"/>
  <c r="CT117" i="4" s="1"/>
  <c r="CS118" i="4"/>
  <c r="CT118" i="4" s="1"/>
  <c r="CS119" i="4"/>
  <c r="CT119" i="4" s="1"/>
  <c r="CS120" i="4"/>
  <c r="CT120" i="4" s="1"/>
  <c r="CS121" i="4"/>
  <c r="CT121" i="4" s="1"/>
  <c r="CU121" i="4" s="1"/>
  <c r="CS122" i="4"/>
  <c r="CT122" i="4" s="1"/>
  <c r="CU122" i="4" s="1"/>
  <c r="CS123" i="4"/>
  <c r="CT123" i="4" s="1"/>
  <c r="CS124" i="4"/>
  <c r="CT124" i="4" s="1"/>
  <c r="CS125" i="4"/>
  <c r="CT125" i="4" s="1"/>
  <c r="CS126" i="4"/>
  <c r="CT126" i="4" s="1"/>
  <c r="CU126" i="4" s="1"/>
  <c r="CS127" i="4"/>
  <c r="CT127" i="4" s="1"/>
  <c r="CU127" i="4" s="1"/>
  <c r="CS128" i="4"/>
  <c r="CT128" i="4" s="1"/>
  <c r="CS129" i="4"/>
  <c r="CT129" i="4" s="1"/>
  <c r="CU129" i="4" s="1"/>
  <c r="CS130" i="4"/>
  <c r="CT130" i="4" s="1"/>
  <c r="CS131" i="4"/>
  <c r="CT131" i="4" s="1"/>
  <c r="CS132" i="4"/>
  <c r="CT132" i="4" s="1"/>
  <c r="CS133" i="4"/>
  <c r="CT133" i="4" s="1"/>
  <c r="CU133" i="4" s="1"/>
  <c r="CU112" i="4"/>
  <c r="CU113" i="4"/>
  <c r="CU116" i="4"/>
  <c r="CU117" i="4"/>
  <c r="CU118" i="4"/>
  <c r="CU119" i="4"/>
  <c r="CU120" i="4"/>
  <c r="CU123" i="4"/>
  <c r="CU124" i="4"/>
  <c r="CU125" i="4"/>
  <c r="CU128" i="4"/>
  <c r="CU130" i="4"/>
  <c r="CU131" i="4"/>
  <c r="CU132" i="4"/>
  <c r="CX112" i="4"/>
  <c r="CY112" i="4" s="1"/>
  <c r="CX113" i="4"/>
  <c r="CY113" i="4" s="1"/>
  <c r="CX114" i="4"/>
  <c r="CX115" i="4"/>
  <c r="CY115" i="4" s="1"/>
  <c r="CX116" i="4"/>
  <c r="CY116" i="4" s="1"/>
  <c r="CX117" i="4"/>
  <c r="CX118" i="4"/>
  <c r="CX119" i="4"/>
  <c r="CY119" i="4" s="1"/>
  <c r="CX120" i="4"/>
  <c r="CY120" i="4" s="1"/>
  <c r="CX121" i="4"/>
  <c r="CY121" i="4" s="1"/>
  <c r="CX122" i="4"/>
  <c r="CY122" i="4" s="1"/>
  <c r="CX123" i="4"/>
  <c r="CY123" i="4" s="1"/>
  <c r="CX124" i="4"/>
  <c r="CY124" i="4" s="1"/>
  <c r="CX125" i="4"/>
  <c r="CY125" i="4" s="1"/>
  <c r="CX126" i="4"/>
  <c r="CY126" i="4" s="1"/>
  <c r="CX127" i="4"/>
  <c r="CX128" i="4"/>
  <c r="CY128" i="4" s="1"/>
  <c r="CX129" i="4"/>
  <c r="CX130" i="4"/>
  <c r="CY130" i="4" s="1"/>
  <c r="CX131" i="4"/>
  <c r="CY131" i="4" s="1"/>
  <c r="CX132" i="4"/>
  <c r="CX133" i="4"/>
  <c r="CY133" i="4" s="1"/>
  <c r="CY114" i="4"/>
  <c r="CY117" i="4"/>
  <c r="CY118" i="4"/>
  <c r="CY127" i="4"/>
  <c r="CY129" i="4"/>
  <c r="CY132" i="4"/>
  <c r="CZ112" i="4"/>
  <c r="CZ113" i="4"/>
  <c r="CZ114" i="4"/>
  <c r="CZ115" i="4"/>
  <c r="CZ116" i="4"/>
  <c r="DB116" i="4" s="1"/>
  <c r="CZ117" i="4"/>
  <c r="CZ118" i="4"/>
  <c r="CZ119" i="4"/>
  <c r="CZ120" i="4"/>
  <c r="DB120" i="4" s="1"/>
  <c r="CZ121" i="4"/>
  <c r="DB121" i="4" s="1"/>
  <c r="CZ122" i="4"/>
  <c r="CZ123" i="4"/>
  <c r="DB123" i="4" s="1"/>
  <c r="CZ124" i="4"/>
  <c r="CZ125" i="4"/>
  <c r="CZ126" i="4"/>
  <c r="CZ127" i="4"/>
  <c r="DB127" i="4" s="1"/>
  <c r="CZ128" i="4"/>
  <c r="DB128" i="4" s="1"/>
  <c r="CZ129" i="4"/>
  <c r="CZ130" i="4"/>
  <c r="CZ131" i="4"/>
  <c r="CZ132" i="4"/>
  <c r="DB132" i="4" s="1"/>
  <c r="CZ133" i="4"/>
  <c r="DB133" i="4" s="1"/>
  <c r="DB112" i="4"/>
  <c r="DB113" i="4"/>
  <c r="DB114" i="4"/>
  <c r="DB115" i="4"/>
  <c r="DB117" i="4"/>
  <c r="DB118" i="4"/>
  <c r="DB119" i="4"/>
  <c r="DB122" i="4"/>
  <c r="DB124" i="4"/>
  <c r="DB125" i="4"/>
  <c r="DB126" i="4"/>
  <c r="DB129" i="4"/>
  <c r="DB130" i="4"/>
  <c r="DB131" i="4"/>
  <c r="DD112" i="4"/>
  <c r="DE112" i="4" s="1"/>
  <c r="DD113" i="4"/>
  <c r="DE113" i="4" s="1"/>
  <c r="DD114" i="4"/>
  <c r="DD115" i="4"/>
  <c r="DD116" i="4"/>
  <c r="DD117" i="4"/>
  <c r="DE117" i="4" s="1"/>
  <c r="DD118" i="4"/>
  <c r="DD119" i="4"/>
  <c r="DD120" i="4"/>
  <c r="DE120" i="4" s="1"/>
  <c r="DD121" i="4"/>
  <c r="DD122" i="4"/>
  <c r="DD123" i="4"/>
  <c r="DD124" i="4"/>
  <c r="DE124" i="4" s="1"/>
  <c r="DD125" i="4"/>
  <c r="DE125" i="4" s="1"/>
  <c r="DD126" i="4"/>
  <c r="DE126" i="4" s="1"/>
  <c r="DD127" i="4"/>
  <c r="DE127" i="4" s="1"/>
  <c r="DD128" i="4"/>
  <c r="DD129" i="4"/>
  <c r="DE129" i="4" s="1"/>
  <c r="DD130" i="4"/>
  <c r="DD131" i="4"/>
  <c r="DD132" i="4"/>
  <c r="DE132" i="4" s="1"/>
  <c r="DD133" i="4"/>
  <c r="DE114" i="4"/>
  <c r="DE115" i="4"/>
  <c r="DE116" i="4"/>
  <c r="DE118" i="4"/>
  <c r="DE119" i="4"/>
  <c r="DE121" i="4"/>
  <c r="DE122" i="4"/>
  <c r="DE123" i="4"/>
  <c r="DE128" i="4"/>
  <c r="DE130" i="4"/>
  <c r="DE131" i="4"/>
  <c r="DE133" i="4"/>
  <c r="DG112" i="4"/>
  <c r="DH112" i="4" s="1"/>
  <c r="DG113" i="4"/>
  <c r="DG114" i="4"/>
  <c r="DG115" i="4"/>
  <c r="DG116" i="4"/>
  <c r="DH116" i="4" s="1"/>
  <c r="DG117" i="4"/>
  <c r="DH117" i="4" s="1"/>
  <c r="DG118" i="4"/>
  <c r="DG119" i="4"/>
  <c r="DH119" i="4" s="1"/>
  <c r="DG120" i="4"/>
  <c r="DG121" i="4"/>
  <c r="DG122" i="4"/>
  <c r="DG123" i="4"/>
  <c r="DH123" i="4" s="1"/>
  <c r="DG124" i="4"/>
  <c r="DH124" i="4" s="1"/>
  <c r="DG125" i="4"/>
  <c r="DG126" i="4"/>
  <c r="DG127" i="4"/>
  <c r="DG128" i="4"/>
  <c r="DH128" i="4" s="1"/>
  <c r="DG129" i="4"/>
  <c r="DH129" i="4" s="1"/>
  <c r="DG130" i="4"/>
  <c r="DG131" i="4"/>
  <c r="DH131" i="4" s="1"/>
  <c r="DG132" i="4"/>
  <c r="DG133" i="4"/>
  <c r="DH133" i="4" s="1"/>
  <c r="DH113" i="4"/>
  <c r="DH114" i="4"/>
  <c r="DH115" i="4"/>
  <c r="DH118" i="4"/>
  <c r="DH120" i="4"/>
  <c r="DH121" i="4"/>
  <c r="DH122" i="4"/>
  <c r="DH125" i="4"/>
  <c r="DH126" i="4"/>
  <c r="DH127" i="4"/>
  <c r="DH130" i="4"/>
  <c r="DH132" i="4"/>
  <c r="DN112" i="4"/>
  <c r="DN113" i="4"/>
  <c r="DO113" i="4" s="1"/>
  <c r="DN114" i="4"/>
  <c r="DN115" i="4"/>
  <c r="DN116" i="4"/>
  <c r="DN117" i="4"/>
  <c r="DN118" i="4"/>
  <c r="DR118" i="4" s="1"/>
  <c r="DS118" i="4" s="1"/>
  <c r="DN119" i="4"/>
  <c r="DO119" i="4" s="1"/>
  <c r="DN120" i="4"/>
  <c r="DO120" i="4" s="1"/>
  <c r="DN121" i="4"/>
  <c r="DN122" i="4"/>
  <c r="DR122" i="4" s="1"/>
  <c r="DN123" i="4"/>
  <c r="DR123" i="4" s="1"/>
  <c r="DS123" i="4" s="1"/>
  <c r="DN124" i="4"/>
  <c r="DN125" i="4"/>
  <c r="DN126" i="4"/>
  <c r="DN127" i="4"/>
  <c r="DN128" i="4"/>
  <c r="DN129" i="4"/>
  <c r="DN130" i="4"/>
  <c r="DR130" i="4" s="1"/>
  <c r="DS130" i="4" s="1"/>
  <c r="DN131" i="4"/>
  <c r="DO131" i="4" s="1"/>
  <c r="DN132" i="4"/>
  <c r="DO132" i="4" s="1"/>
  <c r="DN133" i="4"/>
  <c r="DO112" i="4"/>
  <c r="DO114" i="4"/>
  <c r="DO115" i="4"/>
  <c r="DO117" i="4"/>
  <c r="DO118" i="4"/>
  <c r="DO123" i="4"/>
  <c r="DO124" i="4"/>
  <c r="DO126" i="4"/>
  <c r="DO127" i="4"/>
  <c r="DO129" i="4"/>
  <c r="DO130" i="4"/>
  <c r="DR112" i="4"/>
  <c r="DS112" i="4" s="1"/>
  <c r="DR114" i="4"/>
  <c r="DR115" i="4"/>
  <c r="DR117" i="4"/>
  <c r="DR119" i="4"/>
  <c r="DS119" i="4" s="1"/>
  <c r="DR120" i="4"/>
  <c r="DS120" i="4" s="1"/>
  <c r="DR124" i="4"/>
  <c r="DS124" i="4" s="1"/>
  <c r="DR126" i="4"/>
  <c r="DR127" i="4"/>
  <c r="DR129" i="4"/>
  <c r="DS129" i="4" s="1"/>
  <c r="DR131" i="4"/>
  <c r="DR132" i="4"/>
  <c r="DS132" i="4" s="1"/>
  <c r="DS114" i="4"/>
  <c r="DS115" i="4"/>
  <c r="DS117" i="4"/>
  <c r="DS122" i="4"/>
  <c r="DS126" i="4"/>
  <c r="DS127" i="4"/>
  <c r="DS131" i="4"/>
  <c r="DT112" i="4"/>
  <c r="DX112" i="4" s="1"/>
  <c r="DT113" i="4"/>
  <c r="DT114" i="4"/>
  <c r="DT115" i="4"/>
  <c r="DX115" i="4" s="1"/>
  <c r="DT116" i="4"/>
  <c r="DX116" i="4" s="1"/>
  <c r="DT117" i="4"/>
  <c r="DX117" i="4" s="1"/>
  <c r="DT118" i="4"/>
  <c r="DX118" i="4" s="1"/>
  <c r="DT119" i="4"/>
  <c r="DX119" i="4" s="1"/>
  <c r="DT120" i="4"/>
  <c r="DT121" i="4"/>
  <c r="DT122" i="4"/>
  <c r="DT123" i="4"/>
  <c r="DX123" i="4" s="1"/>
  <c r="DT124" i="4"/>
  <c r="DX124" i="4" s="1"/>
  <c r="DT125" i="4"/>
  <c r="DT126" i="4"/>
  <c r="DT127" i="4"/>
  <c r="DX127" i="4" s="1"/>
  <c r="DY127" i="4" s="1"/>
  <c r="DT128" i="4"/>
  <c r="DX128" i="4" s="1"/>
  <c r="DY128" i="4" s="1"/>
  <c r="DT129" i="4"/>
  <c r="DX129" i="4" s="1"/>
  <c r="DT130" i="4"/>
  <c r="DX130" i="4" s="1"/>
  <c r="DT131" i="4"/>
  <c r="DX131" i="4" s="1"/>
  <c r="DT132" i="4"/>
  <c r="DT133" i="4"/>
  <c r="DX113" i="4"/>
  <c r="DX114" i="4"/>
  <c r="DX120" i="4"/>
  <c r="DY120" i="4" s="1"/>
  <c r="DX121" i="4"/>
  <c r="DX122" i="4"/>
  <c r="DX125" i="4"/>
  <c r="DY125" i="4" s="1"/>
  <c r="DX126" i="4"/>
  <c r="DX132" i="4"/>
  <c r="DX133" i="4"/>
  <c r="DY121" i="4"/>
  <c r="DY122" i="4"/>
  <c r="DY133" i="4"/>
  <c r="H104" i="4"/>
  <c r="H105" i="4"/>
  <c r="I105" i="4" s="1"/>
  <c r="H106" i="4"/>
  <c r="H107" i="4"/>
  <c r="H108" i="4"/>
  <c r="H109" i="4"/>
  <c r="I109" i="4" s="1"/>
  <c r="H110" i="4"/>
  <c r="I110" i="4" s="1"/>
  <c r="H111" i="4"/>
  <c r="H134" i="4"/>
  <c r="H135" i="4"/>
  <c r="H136" i="4"/>
  <c r="H137" i="4"/>
  <c r="I137" i="4" s="1"/>
  <c r="H138" i="4"/>
  <c r="H139" i="4"/>
  <c r="I139" i="4" s="1"/>
  <c r="H230" i="4"/>
  <c r="I104" i="4"/>
  <c r="I106" i="4"/>
  <c r="I107" i="4"/>
  <c r="I108" i="4"/>
  <c r="I111" i="4"/>
  <c r="I134" i="4"/>
  <c r="I135" i="4"/>
  <c r="I136" i="4"/>
  <c r="I138" i="4"/>
  <c r="I230" i="4"/>
  <c r="K104" i="4"/>
  <c r="K105" i="4"/>
  <c r="K106" i="4"/>
  <c r="K107" i="4"/>
  <c r="K108" i="4"/>
  <c r="K109" i="4"/>
  <c r="K110" i="4"/>
  <c r="K111" i="4"/>
  <c r="K134" i="4"/>
  <c r="K135" i="4"/>
  <c r="K136" i="4"/>
  <c r="K137" i="4"/>
  <c r="K138" i="4"/>
  <c r="K139" i="4"/>
  <c r="K230" i="4"/>
  <c r="L104" i="4"/>
  <c r="L105" i="4"/>
  <c r="L106" i="4"/>
  <c r="L107" i="4"/>
  <c r="L108" i="4"/>
  <c r="L109" i="4"/>
  <c r="L110" i="4"/>
  <c r="L111" i="4"/>
  <c r="L134" i="4"/>
  <c r="L135" i="4"/>
  <c r="L136" i="4"/>
  <c r="L137" i="4"/>
  <c r="L138" i="4"/>
  <c r="L139" i="4"/>
  <c r="L230" i="4"/>
  <c r="M104" i="4"/>
  <c r="M105" i="4"/>
  <c r="M106" i="4"/>
  <c r="M107" i="4"/>
  <c r="M108" i="4"/>
  <c r="M109" i="4"/>
  <c r="M110" i="4"/>
  <c r="M111" i="4"/>
  <c r="M134" i="4"/>
  <c r="M135" i="4"/>
  <c r="M136" i="4"/>
  <c r="M137" i="4"/>
  <c r="M138" i="4"/>
  <c r="M139" i="4"/>
  <c r="M230" i="4"/>
  <c r="N104" i="4"/>
  <c r="AZ104" i="4" s="1"/>
  <c r="N105" i="4"/>
  <c r="N106" i="4"/>
  <c r="AZ106" i="4" s="1"/>
  <c r="N107" i="4"/>
  <c r="AZ107" i="4" s="1"/>
  <c r="N108" i="4"/>
  <c r="N109" i="4"/>
  <c r="N110" i="4"/>
  <c r="N111" i="4"/>
  <c r="N134" i="4"/>
  <c r="AZ134" i="4" s="1"/>
  <c r="N135" i="4"/>
  <c r="N136" i="4"/>
  <c r="AZ136" i="4" s="1"/>
  <c r="N137" i="4"/>
  <c r="N138" i="4"/>
  <c r="AZ138" i="4" s="1"/>
  <c r="N139" i="4"/>
  <c r="N230" i="4"/>
  <c r="AZ230" i="4" s="1"/>
  <c r="AZ105" i="4"/>
  <c r="AZ108" i="4"/>
  <c r="AZ109" i="4"/>
  <c r="AZ110" i="4"/>
  <c r="AZ111" i="4"/>
  <c r="AZ135" i="4"/>
  <c r="AZ137" i="4"/>
  <c r="AZ139" i="4"/>
  <c r="BB104" i="4"/>
  <c r="BB105" i="4"/>
  <c r="BB106" i="4"/>
  <c r="BC106" i="4" s="1"/>
  <c r="BB107" i="4"/>
  <c r="BB108" i="4"/>
  <c r="BC108" i="4" s="1"/>
  <c r="BB109" i="4"/>
  <c r="BB110" i="4"/>
  <c r="BB111" i="4"/>
  <c r="BB134" i="4"/>
  <c r="BC134" i="4" s="1"/>
  <c r="BB135" i="4"/>
  <c r="BC135" i="4" s="1"/>
  <c r="BB136" i="4"/>
  <c r="BB137" i="4"/>
  <c r="BB138" i="4"/>
  <c r="BB139" i="4"/>
  <c r="BB230" i="4"/>
  <c r="BC230" i="4" s="1"/>
  <c r="BC104" i="4"/>
  <c r="BC105" i="4"/>
  <c r="BC107" i="4"/>
  <c r="BC109" i="4"/>
  <c r="BC110" i="4"/>
  <c r="BC111" i="4"/>
  <c r="BC136" i="4"/>
  <c r="BC137" i="4"/>
  <c r="BC138" i="4"/>
  <c r="BC139" i="4"/>
  <c r="BG104" i="4"/>
  <c r="BG105" i="4"/>
  <c r="BG106" i="4"/>
  <c r="BH106" i="4" s="1"/>
  <c r="BG107" i="4"/>
  <c r="BG108" i="4"/>
  <c r="BG109" i="4"/>
  <c r="BG110" i="4"/>
  <c r="BH110" i="4" s="1"/>
  <c r="BG111" i="4"/>
  <c r="BH111" i="4" s="1"/>
  <c r="BG134" i="4"/>
  <c r="BH134" i="4" s="1"/>
  <c r="BG135" i="4"/>
  <c r="BG136" i="4"/>
  <c r="BH136" i="4" s="1"/>
  <c r="BG137" i="4"/>
  <c r="BG138" i="4"/>
  <c r="BG139" i="4"/>
  <c r="BG230" i="4"/>
  <c r="BH230" i="4" s="1"/>
  <c r="BH104" i="4"/>
  <c r="BH105" i="4"/>
  <c r="BH107" i="4"/>
  <c r="BH108" i="4"/>
  <c r="BH109" i="4"/>
  <c r="BH135" i="4"/>
  <c r="BH137" i="4"/>
  <c r="BH138" i="4"/>
  <c r="BH139" i="4"/>
  <c r="BK104" i="4"/>
  <c r="BK105" i="4"/>
  <c r="BK106" i="4"/>
  <c r="BK107" i="4"/>
  <c r="BK108" i="4"/>
  <c r="BK109" i="4"/>
  <c r="BK110" i="4"/>
  <c r="BK111" i="4"/>
  <c r="BK134" i="4"/>
  <c r="BK135" i="4"/>
  <c r="BK136" i="4"/>
  <c r="BK137" i="4"/>
  <c r="BK138" i="4"/>
  <c r="BK139" i="4"/>
  <c r="BK230" i="4"/>
  <c r="BM104" i="4"/>
  <c r="BM105" i="4"/>
  <c r="BN105" i="4" s="1"/>
  <c r="BM106" i="4"/>
  <c r="BM107" i="4"/>
  <c r="BM108" i="4"/>
  <c r="BM109" i="4"/>
  <c r="BN109" i="4" s="1"/>
  <c r="BM110" i="4"/>
  <c r="BN110" i="4" s="1"/>
  <c r="BM111" i="4"/>
  <c r="BM134" i="4"/>
  <c r="BM135" i="4"/>
  <c r="BM136" i="4"/>
  <c r="BM137" i="4"/>
  <c r="BN137" i="4" s="1"/>
  <c r="BM138" i="4"/>
  <c r="BM139" i="4"/>
  <c r="BN139" i="4" s="1"/>
  <c r="BM230" i="4"/>
  <c r="BN104" i="4"/>
  <c r="BN106" i="4"/>
  <c r="BN107" i="4"/>
  <c r="BN108" i="4"/>
  <c r="BN111" i="4"/>
  <c r="BN134" i="4"/>
  <c r="BN135" i="4"/>
  <c r="BN136" i="4"/>
  <c r="BN138" i="4"/>
  <c r="BN230" i="4"/>
  <c r="BP104" i="4"/>
  <c r="BP105" i="4"/>
  <c r="BP106" i="4"/>
  <c r="BP107" i="4"/>
  <c r="BQ107" i="4" s="1"/>
  <c r="BP108" i="4"/>
  <c r="BQ108" i="4" s="1"/>
  <c r="BP109" i="4"/>
  <c r="BQ109" i="4" s="1"/>
  <c r="BP110" i="4"/>
  <c r="BP111" i="4"/>
  <c r="BQ111" i="4" s="1"/>
  <c r="BP134" i="4"/>
  <c r="BP135" i="4"/>
  <c r="BQ135" i="4" s="1"/>
  <c r="BP136" i="4"/>
  <c r="BP137" i="4"/>
  <c r="BQ137" i="4" s="1"/>
  <c r="BP138" i="4"/>
  <c r="BP139" i="4"/>
  <c r="BP230" i="4"/>
  <c r="BQ104" i="4"/>
  <c r="BQ105" i="4"/>
  <c r="BQ106" i="4"/>
  <c r="BQ110" i="4"/>
  <c r="BQ134" i="4"/>
  <c r="BQ136" i="4"/>
  <c r="BQ138" i="4"/>
  <c r="BQ139" i="4"/>
  <c r="BQ230" i="4"/>
  <c r="BS104" i="4"/>
  <c r="BT104" i="4" s="1"/>
  <c r="BS105" i="4"/>
  <c r="BT105" i="4" s="1"/>
  <c r="BS106" i="4"/>
  <c r="BS107" i="4"/>
  <c r="BS108" i="4"/>
  <c r="BS109" i="4"/>
  <c r="BT109" i="4" s="1"/>
  <c r="BS110" i="4"/>
  <c r="BT110" i="4" s="1"/>
  <c r="BS111" i="4"/>
  <c r="BS134" i="4"/>
  <c r="BS135" i="4"/>
  <c r="BS136" i="4"/>
  <c r="BT136" i="4" s="1"/>
  <c r="BS137" i="4"/>
  <c r="BT137" i="4" s="1"/>
  <c r="BS138" i="4"/>
  <c r="BT138" i="4" s="1"/>
  <c r="BS139" i="4"/>
  <c r="BT139" i="4" s="1"/>
  <c r="BS230" i="4"/>
  <c r="BT106" i="4"/>
  <c r="BT107" i="4"/>
  <c r="BT108" i="4"/>
  <c r="BT111" i="4"/>
  <c r="BT134" i="4"/>
  <c r="BT135" i="4"/>
  <c r="BT230" i="4"/>
  <c r="BW104" i="4"/>
  <c r="BW105" i="4"/>
  <c r="BW106" i="4"/>
  <c r="BW107" i="4"/>
  <c r="BW108" i="4"/>
  <c r="BX108" i="4" s="1"/>
  <c r="BW109" i="4"/>
  <c r="BX109" i="4" s="1"/>
  <c r="BW110" i="4"/>
  <c r="BX110" i="4" s="1"/>
  <c r="BW111" i="4"/>
  <c r="BX111" i="4" s="1"/>
  <c r="BW134" i="4"/>
  <c r="BW135" i="4"/>
  <c r="BW136" i="4"/>
  <c r="BW137" i="4"/>
  <c r="BX137" i="4" s="1"/>
  <c r="BW138" i="4"/>
  <c r="BW139" i="4"/>
  <c r="BW230" i="4"/>
  <c r="BX104" i="4"/>
  <c r="BX105" i="4"/>
  <c r="BX106" i="4"/>
  <c r="BX107" i="4"/>
  <c r="BX134" i="4"/>
  <c r="BX135" i="4"/>
  <c r="BX136" i="4"/>
  <c r="BX138" i="4"/>
  <c r="BX139" i="4"/>
  <c r="BX230" i="4"/>
  <c r="BZ104" i="4"/>
  <c r="BZ105" i="4"/>
  <c r="CA105" i="4" s="1"/>
  <c r="BZ106" i="4"/>
  <c r="BZ107" i="4"/>
  <c r="CA107" i="4" s="1"/>
  <c r="BZ108" i="4"/>
  <c r="BZ109" i="4"/>
  <c r="CA109" i="4" s="1"/>
  <c r="BZ110" i="4"/>
  <c r="BZ111" i="4"/>
  <c r="CA111" i="4" s="1"/>
  <c r="BZ134" i="4"/>
  <c r="BZ135" i="4"/>
  <c r="CA135" i="4" s="1"/>
  <c r="BZ136" i="4"/>
  <c r="BZ137" i="4"/>
  <c r="CA137" i="4" s="1"/>
  <c r="BZ138" i="4"/>
  <c r="BZ139" i="4"/>
  <c r="CA139" i="4" s="1"/>
  <c r="BZ230" i="4"/>
  <c r="CA104" i="4"/>
  <c r="CA106" i="4"/>
  <c r="CA108" i="4"/>
  <c r="CA110" i="4"/>
  <c r="CA134" i="4"/>
  <c r="CA136" i="4"/>
  <c r="CA138" i="4"/>
  <c r="CA230" i="4"/>
  <c r="CC104" i="4"/>
  <c r="CC105" i="4"/>
  <c r="CD105" i="4" s="1"/>
  <c r="CC106" i="4"/>
  <c r="CC107" i="4"/>
  <c r="CC108" i="4"/>
  <c r="CC109" i="4"/>
  <c r="CD109" i="4" s="1"/>
  <c r="CC110" i="4"/>
  <c r="CD110" i="4" s="1"/>
  <c r="CC111" i="4"/>
  <c r="CD111" i="4" s="1"/>
  <c r="CC134" i="4"/>
  <c r="CC135" i="4"/>
  <c r="CC136" i="4"/>
  <c r="CC137" i="4"/>
  <c r="CD137" i="4" s="1"/>
  <c r="CC138" i="4"/>
  <c r="CC139" i="4"/>
  <c r="CD139" i="4" s="1"/>
  <c r="CC230" i="4"/>
  <c r="CD104" i="4"/>
  <c r="CD106" i="4"/>
  <c r="CD107" i="4"/>
  <c r="CD108" i="4"/>
  <c r="CD134" i="4"/>
  <c r="CD135" i="4"/>
  <c r="CD136" i="4"/>
  <c r="CD138" i="4"/>
  <c r="CD230" i="4"/>
  <c r="CG104" i="4"/>
  <c r="CG105" i="4"/>
  <c r="CG106" i="4"/>
  <c r="CG107" i="4"/>
  <c r="CG108" i="4"/>
  <c r="CG109" i="4"/>
  <c r="CG110" i="4"/>
  <c r="CG111" i="4"/>
  <c r="CG134" i="4"/>
  <c r="CG135" i="4"/>
  <c r="CG136" i="4"/>
  <c r="CG137" i="4"/>
  <c r="CG138" i="4"/>
  <c r="CG139" i="4"/>
  <c r="CG230" i="4"/>
  <c r="CK104" i="4"/>
  <c r="CK105" i="4"/>
  <c r="CK106" i="4"/>
  <c r="CK107" i="4"/>
  <c r="CK108" i="4"/>
  <c r="CK109" i="4"/>
  <c r="CK110" i="4"/>
  <c r="CK111" i="4"/>
  <c r="CK134" i="4"/>
  <c r="CK135" i="4"/>
  <c r="CK136" i="4"/>
  <c r="CK137" i="4"/>
  <c r="CK138" i="4"/>
  <c r="CK139" i="4"/>
  <c r="CK230" i="4"/>
  <c r="CN104" i="4"/>
  <c r="CN105" i="4"/>
  <c r="CN106" i="4"/>
  <c r="CN107" i="4"/>
  <c r="CN108" i="4"/>
  <c r="CN109" i="4"/>
  <c r="CN110" i="4"/>
  <c r="CN111" i="4"/>
  <c r="CN134" i="4"/>
  <c r="CN135" i="4"/>
  <c r="CN136" i="4"/>
  <c r="CN137" i="4"/>
  <c r="CN138" i="4"/>
  <c r="CN139" i="4"/>
  <c r="CN230" i="4"/>
  <c r="CR104" i="4"/>
  <c r="CR105" i="4"/>
  <c r="CR106" i="4"/>
  <c r="CR107" i="4"/>
  <c r="CR108" i="4"/>
  <c r="CR109" i="4"/>
  <c r="CR110" i="4"/>
  <c r="CR111" i="4"/>
  <c r="CR134" i="4"/>
  <c r="CR135" i="4"/>
  <c r="CR136" i="4"/>
  <c r="CR137" i="4"/>
  <c r="CR138" i="4"/>
  <c r="CR139" i="4"/>
  <c r="CR230" i="4"/>
  <c r="CS104" i="4"/>
  <c r="CT104" i="4" s="1"/>
  <c r="CS105" i="4"/>
  <c r="CT105" i="4" s="1"/>
  <c r="CU105" i="4" s="1"/>
  <c r="CS106" i="4"/>
  <c r="CT106" i="4" s="1"/>
  <c r="CU106" i="4" s="1"/>
  <c r="CS107" i="4"/>
  <c r="CT107" i="4" s="1"/>
  <c r="CS108" i="4"/>
  <c r="CT108" i="4" s="1"/>
  <c r="CS109" i="4"/>
  <c r="CT109" i="4" s="1"/>
  <c r="CU109" i="4" s="1"/>
  <c r="CS110" i="4"/>
  <c r="CT110" i="4" s="1"/>
  <c r="CS111" i="4"/>
  <c r="CT111" i="4" s="1"/>
  <c r="CU111" i="4" s="1"/>
  <c r="CS134" i="4"/>
  <c r="CT134" i="4" s="1"/>
  <c r="CS135" i="4"/>
  <c r="CT135" i="4" s="1"/>
  <c r="CU135" i="4" s="1"/>
  <c r="CS136" i="4"/>
  <c r="CT136" i="4" s="1"/>
  <c r="CS137" i="4"/>
  <c r="CT137" i="4" s="1"/>
  <c r="CU137" i="4" s="1"/>
  <c r="CS138" i="4"/>
  <c r="CT138" i="4" s="1"/>
  <c r="CS139" i="4"/>
  <c r="CT139" i="4" s="1"/>
  <c r="CU139" i="4" s="1"/>
  <c r="CS230" i="4"/>
  <c r="CT230" i="4" s="1"/>
  <c r="CU104" i="4"/>
  <c r="CU107" i="4"/>
  <c r="CU108" i="4"/>
  <c r="CU110" i="4"/>
  <c r="CU134" i="4"/>
  <c r="CU136" i="4"/>
  <c r="CU138" i="4"/>
  <c r="CU230" i="4"/>
  <c r="CX104" i="4"/>
  <c r="CY104" i="4" s="1"/>
  <c r="CX105" i="4"/>
  <c r="CX106" i="4"/>
  <c r="CY106" i="4" s="1"/>
  <c r="CX107" i="4"/>
  <c r="CX108" i="4"/>
  <c r="CY108" i="4" s="1"/>
  <c r="CX109" i="4"/>
  <c r="CX110" i="4"/>
  <c r="CX111" i="4"/>
  <c r="CX134" i="4"/>
  <c r="CX135" i="4"/>
  <c r="CX136" i="4"/>
  <c r="CY136" i="4" s="1"/>
  <c r="CX137" i="4"/>
  <c r="CY137" i="4" s="1"/>
  <c r="CX138" i="4"/>
  <c r="CY138" i="4" s="1"/>
  <c r="CX139" i="4"/>
  <c r="CX230" i="4"/>
  <c r="CY230" i="4" s="1"/>
  <c r="CY105" i="4"/>
  <c r="CY107" i="4"/>
  <c r="CY109" i="4"/>
  <c r="CY110" i="4"/>
  <c r="CY111" i="4"/>
  <c r="CY134" i="4"/>
  <c r="CY135" i="4"/>
  <c r="CY139" i="4"/>
  <c r="CZ104" i="4"/>
  <c r="DB104" i="4" s="1"/>
  <c r="CZ105" i="4"/>
  <c r="CZ106" i="4"/>
  <c r="CZ107" i="4"/>
  <c r="CZ108" i="4"/>
  <c r="CZ109" i="4"/>
  <c r="DB109" i="4" s="1"/>
  <c r="CZ110" i="4"/>
  <c r="CZ111" i="4"/>
  <c r="DB111" i="4" s="1"/>
  <c r="CZ134" i="4"/>
  <c r="DB134" i="4" s="1"/>
  <c r="CZ135" i="4"/>
  <c r="CZ136" i="4"/>
  <c r="CZ137" i="4"/>
  <c r="DB137" i="4" s="1"/>
  <c r="CZ138" i="4"/>
  <c r="DB138" i="4" s="1"/>
  <c r="CZ139" i="4"/>
  <c r="DB139" i="4" s="1"/>
  <c r="CZ230" i="4"/>
  <c r="DB105" i="4"/>
  <c r="DB106" i="4"/>
  <c r="DB107" i="4"/>
  <c r="DB108" i="4"/>
  <c r="DB110" i="4"/>
  <c r="DB135" i="4"/>
  <c r="DB136" i="4"/>
  <c r="DB230" i="4"/>
  <c r="DD104" i="4"/>
  <c r="DD105" i="4"/>
  <c r="DE105" i="4" s="1"/>
  <c r="DD106" i="4"/>
  <c r="DE106" i="4" s="1"/>
  <c r="DD107" i="4"/>
  <c r="DE107" i="4" s="1"/>
  <c r="DD108" i="4"/>
  <c r="DD109" i="4"/>
  <c r="DD110" i="4"/>
  <c r="DD111" i="4"/>
  <c r="DE111" i="4" s="1"/>
  <c r="DD134" i="4"/>
  <c r="DD135" i="4"/>
  <c r="DD136" i="4"/>
  <c r="DD137" i="4"/>
  <c r="DD138" i="4"/>
  <c r="DE138" i="4" s="1"/>
  <c r="DD139" i="4"/>
  <c r="DE139" i="4" s="1"/>
  <c r="DD230" i="4"/>
  <c r="DE104" i="4"/>
  <c r="DE108" i="4"/>
  <c r="DE109" i="4"/>
  <c r="DE110" i="4"/>
  <c r="DE134" i="4"/>
  <c r="DE135" i="4"/>
  <c r="DE136" i="4"/>
  <c r="DE137" i="4"/>
  <c r="DE230" i="4"/>
  <c r="DG104" i="4"/>
  <c r="DG105" i="4"/>
  <c r="DG106" i="4"/>
  <c r="DG107" i="4"/>
  <c r="DH107" i="4" s="1"/>
  <c r="DG108" i="4"/>
  <c r="DH108" i="4" s="1"/>
  <c r="DG109" i="4"/>
  <c r="DG110" i="4"/>
  <c r="DG111" i="4"/>
  <c r="DH111" i="4" s="1"/>
  <c r="DG134" i="4"/>
  <c r="DH134" i="4" s="1"/>
  <c r="DG135" i="4"/>
  <c r="DH135" i="4" s="1"/>
  <c r="DG136" i="4"/>
  <c r="DG137" i="4"/>
  <c r="DH137" i="4" s="1"/>
  <c r="DG138" i="4"/>
  <c r="DH138" i="4" s="1"/>
  <c r="DG139" i="4"/>
  <c r="DG230" i="4"/>
  <c r="DH104" i="4"/>
  <c r="DH105" i="4"/>
  <c r="DH106" i="4"/>
  <c r="DH109" i="4"/>
  <c r="DH110" i="4"/>
  <c r="DH136" i="4"/>
  <c r="DH139" i="4"/>
  <c r="DH230" i="4"/>
  <c r="DN104" i="4"/>
  <c r="DN105" i="4"/>
  <c r="DN106" i="4"/>
  <c r="DN107" i="4"/>
  <c r="DR107" i="4" s="1"/>
  <c r="DS107" i="4" s="1"/>
  <c r="DN108" i="4"/>
  <c r="DN109" i="4"/>
  <c r="DN110" i="4"/>
  <c r="DR110" i="4" s="1"/>
  <c r="DS110" i="4" s="1"/>
  <c r="DN111" i="4"/>
  <c r="DR111" i="4" s="1"/>
  <c r="DS111" i="4" s="1"/>
  <c r="DN134" i="4"/>
  <c r="DR134" i="4" s="1"/>
  <c r="DS134" i="4" s="1"/>
  <c r="DN135" i="4"/>
  <c r="DN136" i="4"/>
  <c r="DN137" i="4"/>
  <c r="DO137" i="4" s="1"/>
  <c r="DN138" i="4"/>
  <c r="DN139" i="4"/>
  <c r="DN230" i="4"/>
  <c r="DO104" i="4"/>
  <c r="DO105" i="4"/>
  <c r="DO106" i="4"/>
  <c r="DO107" i="4"/>
  <c r="DO108" i="4"/>
  <c r="DO109" i="4"/>
  <c r="DO111" i="4"/>
  <c r="DO134" i="4"/>
  <c r="DO135" i="4"/>
  <c r="DO138" i="4"/>
  <c r="DO139" i="4"/>
  <c r="DO230" i="4"/>
  <c r="DR104" i="4"/>
  <c r="DS104" i="4" s="1"/>
  <c r="DR105" i="4"/>
  <c r="DR106" i="4"/>
  <c r="DR108" i="4"/>
  <c r="DS108" i="4" s="1"/>
  <c r="DR109" i="4"/>
  <c r="DS109" i="4" s="1"/>
  <c r="DR135" i="4"/>
  <c r="DR138" i="4"/>
  <c r="DS138" i="4" s="1"/>
  <c r="DR139" i="4"/>
  <c r="DR230" i="4"/>
  <c r="DS105" i="4"/>
  <c r="DS106" i="4"/>
  <c r="DS135" i="4"/>
  <c r="DS139" i="4"/>
  <c r="DS230" i="4"/>
  <c r="DT104" i="4"/>
  <c r="DT105" i="4"/>
  <c r="DT106" i="4"/>
  <c r="DT107" i="4"/>
  <c r="DT108" i="4"/>
  <c r="DX108" i="4" s="1"/>
  <c r="DT109" i="4"/>
  <c r="DT110" i="4"/>
  <c r="DX110" i="4" s="1"/>
  <c r="DT111" i="4"/>
  <c r="DT134" i="4"/>
  <c r="DT135" i="4"/>
  <c r="DT136" i="4"/>
  <c r="DX136" i="4" s="1"/>
  <c r="DT137" i="4"/>
  <c r="DX137" i="4" s="1"/>
  <c r="DT138" i="4"/>
  <c r="DT139" i="4"/>
  <c r="DT230" i="4"/>
  <c r="DX104" i="4"/>
  <c r="DX105" i="4"/>
  <c r="DY105" i="4" s="1"/>
  <c r="DX106" i="4"/>
  <c r="DX107" i="4"/>
  <c r="DY107" i="4" s="1"/>
  <c r="DX109" i="4"/>
  <c r="DX111" i="4"/>
  <c r="DX134" i="4"/>
  <c r="DX135" i="4"/>
  <c r="DX138" i="4"/>
  <c r="DX139" i="4"/>
  <c r="DY139" i="4" s="1"/>
  <c r="DX230" i="4"/>
  <c r="DY104" i="4"/>
  <c r="DY106" i="4"/>
  <c r="DY108" i="4"/>
  <c r="DY109" i="4"/>
  <c r="DY135" i="4"/>
  <c r="DY138" i="4"/>
  <c r="DY230" i="4"/>
  <c r="H89" i="4"/>
  <c r="H90" i="4"/>
  <c r="I90" i="4" s="1"/>
  <c r="H91" i="4"/>
  <c r="I91" i="4" s="1"/>
  <c r="H92" i="4"/>
  <c r="H93" i="4"/>
  <c r="H94" i="4"/>
  <c r="H95" i="4"/>
  <c r="H96" i="4"/>
  <c r="I96" i="4" s="1"/>
  <c r="H97" i="4"/>
  <c r="H98" i="4"/>
  <c r="I98" i="4" s="1"/>
  <c r="H99" i="4"/>
  <c r="H100" i="4"/>
  <c r="H101" i="4"/>
  <c r="H102" i="4"/>
  <c r="I102" i="4" s="1"/>
  <c r="H103" i="4"/>
  <c r="I103" i="4" s="1"/>
  <c r="I89" i="4"/>
  <c r="I92" i="4"/>
  <c r="I93" i="4"/>
  <c r="I94" i="4"/>
  <c r="I95" i="4"/>
  <c r="I97" i="4"/>
  <c r="I99" i="4"/>
  <c r="I100" i="4"/>
  <c r="I101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N89" i="4"/>
  <c r="N90" i="4"/>
  <c r="N91" i="4"/>
  <c r="N92" i="4"/>
  <c r="N93" i="4"/>
  <c r="AZ93" i="4" s="1"/>
  <c r="N94" i="4"/>
  <c r="N95" i="4"/>
  <c r="AZ95" i="4" s="1"/>
  <c r="N96" i="4"/>
  <c r="N97" i="4"/>
  <c r="N98" i="4"/>
  <c r="N99" i="4"/>
  <c r="AZ99" i="4" s="1"/>
  <c r="N100" i="4"/>
  <c r="AZ100" i="4" s="1"/>
  <c r="N101" i="4"/>
  <c r="N102" i="4"/>
  <c r="N103" i="4"/>
  <c r="AZ89" i="4"/>
  <c r="AZ90" i="4"/>
  <c r="AZ91" i="4"/>
  <c r="AZ92" i="4"/>
  <c r="AZ94" i="4"/>
  <c r="AZ96" i="4"/>
  <c r="AZ97" i="4"/>
  <c r="AZ98" i="4"/>
  <c r="AZ101" i="4"/>
  <c r="AZ102" i="4"/>
  <c r="AZ103" i="4"/>
  <c r="BB89" i="4"/>
  <c r="BC89" i="4" s="1"/>
  <c r="BB90" i="4"/>
  <c r="BB91" i="4"/>
  <c r="BB92" i="4"/>
  <c r="BB93" i="4"/>
  <c r="BC93" i="4" s="1"/>
  <c r="BB94" i="4"/>
  <c r="BC94" i="4" s="1"/>
  <c r="BB95" i="4"/>
  <c r="BB96" i="4"/>
  <c r="BB97" i="4"/>
  <c r="BB98" i="4"/>
  <c r="BB99" i="4"/>
  <c r="BC99" i="4" s="1"/>
  <c r="BB100" i="4"/>
  <c r="BB101" i="4"/>
  <c r="BC101" i="4" s="1"/>
  <c r="BB102" i="4"/>
  <c r="BB103" i="4"/>
  <c r="BC90" i="4"/>
  <c r="BC91" i="4"/>
  <c r="BC92" i="4"/>
  <c r="BC95" i="4"/>
  <c r="BC96" i="4"/>
  <c r="BC97" i="4"/>
  <c r="BC98" i="4"/>
  <c r="BC100" i="4"/>
  <c r="BC102" i="4"/>
  <c r="BC103" i="4"/>
  <c r="BG89" i="4"/>
  <c r="BG90" i="4"/>
  <c r="BG91" i="4"/>
  <c r="BG92" i="4"/>
  <c r="BG93" i="4"/>
  <c r="BH93" i="4" s="1"/>
  <c r="BG94" i="4"/>
  <c r="BG95" i="4"/>
  <c r="BH95" i="4" s="1"/>
  <c r="BG96" i="4"/>
  <c r="BG97" i="4"/>
  <c r="BG98" i="4"/>
  <c r="BG99" i="4"/>
  <c r="BH99" i="4" s="1"/>
  <c r="BG100" i="4"/>
  <c r="BH100" i="4" s="1"/>
  <c r="BG101" i="4"/>
  <c r="BG102" i="4"/>
  <c r="BG103" i="4"/>
  <c r="BH89" i="4"/>
  <c r="BH90" i="4"/>
  <c r="BH91" i="4"/>
  <c r="BH92" i="4"/>
  <c r="BH94" i="4"/>
  <c r="BH96" i="4"/>
  <c r="BH97" i="4"/>
  <c r="BH98" i="4"/>
  <c r="BH101" i="4"/>
  <c r="BH102" i="4"/>
  <c r="BH103" i="4"/>
  <c r="BK89" i="4"/>
  <c r="BK90" i="4"/>
  <c r="BK91" i="4"/>
  <c r="BK92" i="4"/>
  <c r="BK93" i="4"/>
  <c r="BK94" i="4"/>
  <c r="BK95" i="4"/>
  <c r="BK96" i="4"/>
  <c r="BK97" i="4"/>
  <c r="BK98" i="4"/>
  <c r="BK99" i="4"/>
  <c r="BK100" i="4"/>
  <c r="BK101" i="4"/>
  <c r="BK102" i="4"/>
  <c r="BK103" i="4"/>
  <c r="BM89" i="4"/>
  <c r="BM90" i="4"/>
  <c r="BN90" i="4" s="1"/>
  <c r="BM91" i="4"/>
  <c r="BN91" i="4" s="1"/>
  <c r="BM92" i="4"/>
  <c r="BM93" i="4"/>
  <c r="BM94" i="4"/>
  <c r="BM95" i="4"/>
  <c r="BM96" i="4"/>
  <c r="BN96" i="4" s="1"/>
  <c r="BM97" i="4"/>
  <c r="BM98" i="4"/>
  <c r="BN98" i="4" s="1"/>
  <c r="BM99" i="4"/>
  <c r="BM100" i="4"/>
  <c r="BM101" i="4"/>
  <c r="BM102" i="4"/>
  <c r="BN102" i="4" s="1"/>
  <c r="BM103" i="4"/>
  <c r="BN103" i="4" s="1"/>
  <c r="BN89" i="4"/>
  <c r="BN92" i="4"/>
  <c r="BN93" i="4"/>
  <c r="BN94" i="4"/>
  <c r="BN95" i="4"/>
  <c r="BN97" i="4"/>
  <c r="BN99" i="4"/>
  <c r="BN100" i="4"/>
  <c r="BN101" i="4"/>
  <c r="BP89" i="4"/>
  <c r="BP90" i="4"/>
  <c r="BQ90" i="4" s="1"/>
  <c r="BP91" i="4"/>
  <c r="BP92" i="4"/>
  <c r="BQ92" i="4" s="1"/>
  <c r="BP93" i="4"/>
  <c r="BP94" i="4"/>
  <c r="BP95" i="4"/>
  <c r="BP96" i="4"/>
  <c r="BQ96" i="4" s="1"/>
  <c r="BP97" i="4"/>
  <c r="BQ97" i="4" s="1"/>
  <c r="BP98" i="4"/>
  <c r="BP99" i="4"/>
  <c r="BP100" i="4"/>
  <c r="BQ100" i="4" s="1"/>
  <c r="BP101" i="4"/>
  <c r="BP102" i="4"/>
  <c r="BQ102" i="4" s="1"/>
  <c r="BP103" i="4"/>
  <c r="BQ89" i="4"/>
  <c r="BQ91" i="4"/>
  <c r="BQ93" i="4"/>
  <c r="BQ94" i="4"/>
  <c r="BQ95" i="4"/>
  <c r="BQ98" i="4"/>
  <c r="BQ99" i="4"/>
  <c r="BQ101" i="4"/>
  <c r="BQ103" i="4"/>
  <c r="BS89" i="4"/>
  <c r="BS90" i="4"/>
  <c r="BT90" i="4" s="1"/>
  <c r="BS91" i="4"/>
  <c r="BT91" i="4" s="1"/>
  <c r="BS92" i="4"/>
  <c r="BS93" i="4"/>
  <c r="BS94" i="4"/>
  <c r="BT94" i="4" s="1"/>
  <c r="BS95" i="4"/>
  <c r="BS96" i="4"/>
  <c r="BT96" i="4" s="1"/>
  <c r="BS97" i="4"/>
  <c r="BS98" i="4"/>
  <c r="BT98" i="4" s="1"/>
  <c r="BS99" i="4"/>
  <c r="BS100" i="4"/>
  <c r="BS101" i="4"/>
  <c r="BS102" i="4"/>
  <c r="BT102" i="4" s="1"/>
  <c r="BS103" i="4"/>
  <c r="BT103" i="4" s="1"/>
  <c r="BT89" i="4"/>
  <c r="BT92" i="4"/>
  <c r="BT93" i="4"/>
  <c r="BT95" i="4"/>
  <c r="BT97" i="4"/>
  <c r="BT99" i="4"/>
  <c r="BT100" i="4"/>
  <c r="BT101" i="4"/>
  <c r="BW89" i="4"/>
  <c r="BW90" i="4"/>
  <c r="BX90" i="4" s="1"/>
  <c r="BW91" i="4"/>
  <c r="BW92" i="4"/>
  <c r="BX92" i="4" s="1"/>
  <c r="BW93" i="4"/>
  <c r="BW94" i="4"/>
  <c r="BW95" i="4"/>
  <c r="BW96" i="4"/>
  <c r="BX96" i="4" s="1"/>
  <c r="BW97" i="4"/>
  <c r="BX97" i="4" s="1"/>
  <c r="BW98" i="4"/>
  <c r="BW99" i="4"/>
  <c r="BW100" i="4"/>
  <c r="BX100" i="4" s="1"/>
  <c r="BW101" i="4"/>
  <c r="BW102" i="4"/>
  <c r="BX102" i="4" s="1"/>
  <c r="BW103" i="4"/>
  <c r="BX89" i="4"/>
  <c r="BX91" i="4"/>
  <c r="BX93" i="4"/>
  <c r="BX94" i="4"/>
  <c r="BX95" i="4"/>
  <c r="BX98" i="4"/>
  <c r="BX99" i="4"/>
  <c r="BX101" i="4"/>
  <c r="BX103" i="4"/>
  <c r="BZ89" i="4"/>
  <c r="BZ90" i="4"/>
  <c r="CA90" i="4" s="1"/>
  <c r="BZ91" i="4"/>
  <c r="CA91" i="4" s="1"/>
  <c r="BZ92" i="4"/>
  <c r="BZ93" i="4"/>
  <c r="BZ94" i="4"/>
  <c r="CA94" i="4" s="1"/>
  <c r="BZ95" i="4"/>
  <c r="BZ96" i="4"/>
  <c r="CA96" i="4" s="1"/>
  <c r="BZ97" i="4"/>
  <c r="BZ98" i="4"/>
  <c r="CA98" i="4" s="1"/>
  <c r="BZ99" i="4"/>
  <c r="BZ100" i="4"/>
  <c r="BZ101" i="4"/>
  <c r="BZ102" i="4"/>
  <c r="CA102" i="4" s="1"/>
  <c r="BZ103" i="4"/>
  <c r="CA103" i="4" s="1"/>
  <c r="CA89" i="4"/>
  <c r="CA92" i="4"/>
  <c r="CA93" i="4"/>
  <c r="CA95" i="4"/>
  <c r="CA97" i="4"/>
  <c r="CA99" i="4"/>
  <c r="CA100" i="4"/>
  <c r="CA101" i="4"/>
  <c r="CC89" i="4"/>
  <c r="CC90" i="4"/>
  <c r="CD90" i="4" s="1"/>
  <c r="CC91" i="4"/>
  <c r="CC92" i="4"/>
  <c r="CD92" i="4" s="1"/>
  <c r="CC93" i="4"/>
  <c r="CC94" i="4"/>
  <c r="CC95" i="4"/>
  <c r="CC96" i="4"/>
  <c r="CD96" i="4" s="1"/>
  <c r="CC97" i="4"/>
  <c r="CD97" i="4" s="1"/>
  <c r="CC98" i="4"/>
  <c r="CC99" i="4"/>
  <c r="CC100" i="4"/>
  <c r="CC101" i="4"/>
  <c r="CC102" i="4"/>
  <c r="CD102" i="4" s="1"/>
  <c r="CC103" i="4"/>
  <c r="CD89" i="4"/>
  <c r="CD91" i="4"/>
  <c r="CD93" i="4"/>
  <c r="CD94" i="4"/>
  <c r="CD95" i="4"/>
  <c r="CD98" i="4"/>
  <c r="CD99" i="4"/>
  <c r="CD100" i="4"/>
  <c r="CD101" i="4"/>
  <c r="CD103" i="4"/>
  <c r="CG89" i="4"/>
  <c r="CG90" i="4"/>
  <c r="CG91" i="4"/>
  <c r="CG92" i="4"/>
  <c r="CG93" i="4"/>
  <c r="CG94" i="4"/>
  <c r="CG95" i="4"/>
  <c r="CG96" i="4"/>
  <c r="CG97" i="4"/>
  <c r="CG98" i="4"/>
  <c r="CG99" i="4"/>
  <c r="CG100" i="4"/>
  <c r="CG101" i="4"/>
  <c r="CG102" i="4"/>
  <c r="CG103" i="4"/>
  <c r="CK89" i="4"/>
  <c r="CK90" i="4"/>
  <c r="CK91" i="4"/>
  <c r="CK92" i="4"/>
  <c r="CK93" i="4"/>
  <c r="CK94" i="4"/>
  <c r="CK95" i="4"/>
  <c r="CK96" i="4"/>
  <c r="CK97" i="4"/>
  <c r="CK98" i="4"/>
  <c r="CK99" i="4"/>
  <c r="CK100" i="4"/>
  <c r="CK101" i="4"/>
  <c r="CK102" i="4"/>
  <c r="CK103" i="4"/>
  <c r="CN89" i="4"/>
  <c r="CN90" i="4"/>
  <c r="CN91" i="4"/>
  <c r="CN92" i="4"/>
  <c r="CN93" i="4"/>
  <c r="CN94" i="4"/>
  <c r="CN95" i="4"/>
  <c r="CN96" i="4"/>
  <c r="CN97" i="4"/>
  <c r="CN98" i="4"/>
  <c r="CN99" i="4"/>
  <c r="CN100" i="4"/>
  <c r="CN101" i="4"/>
  <c r="CN102" i="4"/>
  <c r="CN103" i="4"/>
  <c r="CR89" i="4"/>
  <c r="CR90" i="4"/>
  <c r="CR91" i="4"/>
  <c r="CR92" i="4"/>
  <c r="CR93" i="4"/>
  <c r="CR94" i="4"/>
  <c r="CR95" i="4"/>
  <c r="CR96" i="4"/>
  <c r="CR97" i="4"/>
  <c r="CR98" i="4"/>
  <c r="CR99" i="4"/>
  <c r="CR100" i="4"/>
  <c r="CR101" i="4"/>
  <c r="CR102" i="4"/>
  <c r="CR103" i="4"/>
  <c r="CS89" i="4"/>
  <c r="CT89" i="4" s="1"/>
  <c r="CS90" i="4"/>
  <c r="CT90" i="4" s="1"/>
  <c r="CU90" i="4" s="1"/>
  <c r="CS91" i="4"/>
  <c r="CT91" i="4" s="1"/>
  <c r="CU91" i="4" s="1"/>
  <c r="CS92" i="4"/>
  <c r="CT92" i="4" s="1"/>
  <c r="CS93" i="4"/>
  <c r="CT93" i="4" s="1"/>
  <c r="CS94" i="4"/>
  <c r="CT94" i="4" s="1"/>
  <c r="CU94" i="4" s="1"/>
  <c r="CS95" i="4"/>
  <c r="CT95" i="4" s="1"/>
  <c r="CS96" i="4"/>
  <c r="CT96" i="4" s="1"/>
  <c r="CU96" i="4" s="1"/>
  <c r="CS97" i="4"/>
  <c r="CT97" i="4" s="1"/>
  <c r="CS98" i="4"/>
  <c r="CT98" i="4" s="1"/>
  <c r="CU98" i="4" s="1"/>
  <c r="CS99" i="4"/>
  <c r="CT99" i="4" s="1"/>
  <c r="CS100" i="4"/>
  <c r="CT100" i="4" s="1"/>
  <c r="CS101" i="4"/>
  <c r="CT101" i="4" s="1"/>
  <c r="CS102" i="4"/>
  <c r="CT102" i="4" s="1"/>
  <c r="CU102" i="4" s="1"/>
  <c r="CS103" i="4"/>
  <c r="CT103" i="4" s="1"/>
  <c r="CU103" i="4" s="1"/>
  <c r="CU89" i="4"/>
  <c r="CU92" i="4"/>
  <c r="CU93" i="4"/>
  <c r="CU95" i="4"/>
  <c r="CU97" i="4"/>
  <c r="CU99" i="4"/>
  <c r="CU100" i="4"/>
  <c r="CU101" i="4"/>
  <c r="CX89" i="4"/>
  <c r="CY89" i="4" s="1"/>
  <c r="CX90" i="4"/>
  <c r="CY90" i="4" s="1"/>
  <c r="CX91" i="4"/>
  <c r="CX92" i="4"/>
  <c r="CY92" i="4" s="1"/>
  <c r="CX93" i="4"/>
  <c r="CX94" i="4"/>
  <c r="CY94" i="4" s="1"/>
  <c r="CX95" i="4"/>
  <c r="CX96" i="4"/>
  <c r="CY96" i="4" s="1"/>
  <c r="CX97" i="4"/>
  <c r="CX98" i="4"/>
  <c r="CY98" i="4" s="1"/>
  <c r="CX99" i="4"/>
  <c r="CX100" i="4"/>
  <c r="CY100" i="4" s="1"/>
  <c r="CX101" i="4"/>
  <c r="CY101" i="4" s="1"/>
  <c r="CX102" i="4"/>
  <c r="CY102" i="4" s="1"/>
  <c r="CX103" i="4"/>
  <c r="CY103" i="4" s="1"/>
  <c r="CY91" i="4"/>
  <c r="CY93" i="4"/>
  <c r="CY95" i="4"/>
  <c r="CY97" i="4"/>
  <c r="CY99" i="4"/>
  <c r="CZ89" i="4"/>
  <c r="CZ90" i="4"/>
  <c r="DB90" i="4" s="1"/>
  <c r="CZ91" i="4"/>
  <c r="DB91" i="4" s="1"/>
  <c r="CZ92" i="4"/>
  <c r="DB92" i="4" s="1"/>
  <c r="CZ93" i="4"/>
  <c r="CZ94" i="4"/>
  <c r="DB94" i="4" s="1"/>
  <c r="CZ95" i="4"/>
  <c r="CZ96" i="4"/>
  <c r="CZ97" i="4"/>
  <c r="CZ98" i="4"/>
  <c r="DB98" i="4" s="1"/>
  <c r="CZ99" i="4"/>
  <c r="DB99" i="4" s="1"/>
  <c r="CZ100" i="4"/>
  <c r="CZ101" i="4"/>
  <c r="CZ102" i="4"/>
  <c r="DB102" i="4" s="1"/>
  <c r="CZ103" i="4"/>
  <c r="DB103" i="4" s="1"/>
  <c r="DB89" i="4"/>
  <c r="DB93" i="4"/>
  <c r="DB95" i="4"/>
  <c r="DB96" i="4"/>
  <c r="DB97" i="4"/>
  <c r="DB100" i="4"/>
  <c r="DB101" i="4"/>
  <c r="DD89" i="4"/>
  <c r="DD90" i="4"/>
  <c r="DD91" i="4"/>
  <c r="DD92" i="4"/>
  <c r="DE92" i="4" s="1"/>
  <c r="DD93" i="4"/>
  <c r="DE93" i="4" s="1"/>
  <c r="DD94" i="4"/>
  <c r="DD95" i="4"/>
  <c r="DD96" i="4"/>
  <c r="DE96" i="4" s="1"/>
  <c r="DD97" i="4"/>
  <c r="DD98" i="4"/>
  <c r="DE98" i="4" s="1"/>
  <c r="DD99" i="4"/>
  <c r="DD100" i="4"/>
  <c r="DE100" i="4" s="1"/>
  <c r="DD101" i="4"/>
  <c r="DD102" i="4"/>
  <c r="DD103" i="4"/>
  <c r="DE89" i="4"/>
  <c r="DE90" i="4"/>
  <c r="DE91" i="4"/>
  <c r="DE94" i="4"/>
  <c r="DE95" i="4"/>
  <c r="DE97" i="4"/>
  <c r="DE99" i="4"/>
  <c r="DE101" i="4"/>
  <c r="DE102" i="4"/>
  <c r="DE103" i="4"/>
  <c r="DG89" i="4"/>
  <c r="DG90" i="4"/>
  <c r="DH90" i="4" s="1"/>
  <c r="DG91" i="4"/>
  <c r="DG92" i="4"/>
  <c r="DH92" i="4" s="1"/>
  <c r="DG93" i="4"/>
  <c r="DG94" i="4"/>
  <c r="DH94" i="4" s="1"/>
  <c r="DG95" i="4"/>
  <c r="DG96" i="4"/>
  <c r="DG97" i="4"/>
  <c r="DG98" i="4"/>
  <c r="DH98" i="4" s="1"/>
  <c r="DG99" i="4"/>
  <c r="DH99" i="4" s="1"/>
  <c r="DG100" i="4"/>
  <c r="DG101" i="4"/>
  <c r="DG102" i="4"/>
  <c r="DH102" i="4" s="1"/>
  <c r="DG103" i="4"/>
  <c r="DH89" i="4"/>
  <c r="DH91" i="4"/>
  <c r="DH93" i="4"/>
  <c r="DH95" i="4"/>
  <c r="DH96" i="4"/>
  <c r="DH97" i="4"/>
  <c r="DH100" i="4"/>
  <c r="DH101" i="4"/>
  <c r="DH103" i="4"/>
  <c r="DN89" i="4"/>
  <c r="DR89" i="4" s="1"/>
  <c r="DS89" i="4" s="1"/>
  <c r="DN90" i="4"/>
  <c r="DR90" i="4" s="1"/>
  <c r="DS90" i="4" s="1"/>
  <c r="DN91" i="4"/>
  <c r="DN92" i="4"/>
  <c r="DN93" i="4"/>
  <c r="DO93" i="4" s="1"/>
  <c r="DN94" i="4"/>
  <c r="DN95" i="4"/>
  <c r="DN96" i="4"/>
  <c r="DO96" i="4" s="1"/>
  <c r="DN97" i="4"/>
  <c r="DR97" i="4" s="1"/>
  <c r="DS97" i="4" s="1"/>
  <c r="DN98" i="4"/>
  <c r="DO98" i="4" s="1"/>
  <c r="DN99" i="4"/>
  <c r="DN100" i="4"/>
  <c r="DR100" i="4" s="1"/>
  <c r="DS100" i="4" s="1"/>
  <c r="DN101" i="4"/>
  <c r="DR101" i="4" s="1"/>
  <c r="DS101" i="4" s="1"/>
  <c r="DN102" i="4"/>
  <c r="DR102" i="4" s="1"/>
  <c r="DS102" i="4" s="1"/>
  <c r="DN103" i="4"/>
  <c r="DO89" i="4"/>
  <c r="DO90" i="4"/>
  <c r="DO91" i="4"/>
  <c r="DO94" i="4"/>
  <c r="DO95" i="4"/>
  <c r="DO97" i="4"/>
  <c r="DO99" i="4"/>
  <c r="DO101" i="4"/>
  <c r="DO102" i="4"/>
  <c r="DO103" i="4"/>
  <c r="DR91" i="4"/>
  <c r="DR94" i="4"/>
  <c r="DS94" i="4" s="1"/>
  <c r="DR95" i="4"/>
  <c r="DR96" i="4"/>
  <c r="DR98" i="4"/>
  <c r="DS98" i="4" s="1"/>
  <c r="DR99" i="4"/>
  <c r="DS99" i="4" s="1"/>
  <c r="DR103" i="4"/>
  <c r="DS91" i="4"/>
  <c r="DS95" i="4"/>
  <c r="DS96" i="4"/>
  <c r="DS103" i="4"/>
  <c r="DT89" i="4"/>
  <c r="DT90" i="4"/>
  <c r="DT91" i="4"/>
  <c r="DT92" i="4"/>
  <c r="DX92" i="4" s="1"/>
  <c r="DT93" i="4"/>
  <c r="DX93" i="4" s="1"/>
  <c r="DT94" i="4"/>
  <c r="DT95" i="4"/>
  <c r="DT96" i="4"/>
  <c r="DX96" i="4" s="1"/>
  <c r="DT97" i="4"/>
  <c r="DT98" i="4"/>
  <c r="DX98" i="4" s="1"/>
  <c r="DT99" i="4"/>
  <c r="DT100" i="4"/>
  <c r="DX100" i="4" s="1"/>
  <c r="DT101" i="4"/>
  <c r="DT102" i="4"/>
  <c r="DT103" i="4"/>
  <c r="DX89" i="4"/>
  <c r="DX90" i="4"/>
  <c r="DX91" i="4"/>
  <c r="DX94" i="4"/>
  <c r="DX95" i="4"/>
  <c r="DY95" i="4" s="1"/>
  <c r="DX97" i="4"/>
  <c r="DY97" i="4" s="1"/>
  <c r="DX99" i="4"/>
  <c r="DX101" i="4"/>
  <c r="DX102" i="4"/>
  <c r="DX103" i="4"/>
  <c r="DY91" i="4"/>
  <c r="DY94" i="4"/>
  <c r="DY99" i="4"/>
  <c r="DY103" i="4"/>
  <c r="H231" i="4"/>
  <c r="I231" i="4" s="1"/>
  <c r="K231" i="4"/>
  <c r="L231" i="4"/>
  <c r="M231" i="4"/>
  <c r="N231" i="4"/>
  <c r="AZ231" i="4"/>
  <c r="BB231" i="4"/>
  <c r="BC231" i="4" s="1"/>
  <c r="BG231" i="4"/>
  <c r="BH231" i="4"/>
  <c r="BK231" i="4"/>
  <c r="BM231" i="4"/>
  <c r="BN231" i="4" s="1"/>
  <c r="BP231" i="4"/>
  <c r="BQ231" i="4" s="1"/>
  <c r="BS231" i="4"/>
  <c r="BT231" i="4" s="1"/>
  <c r="BW231" i="4"/>
  <c r="BX231" i="4" s="1"/>
  <c r="BZ231" i="4"/>
  <c r="CA231" i="4" s="1"/>
  <c r="CC231" i="4"/>
  <c r="CD231" i="4"/>
  <c r="CG231" i="4"/>
  <c r="CK231" i="4"/>
  <c r="CN231" i="4"/>
  <c r="CR231" i="4"/>
  <c r="CS231" i="4"/>
  <c r="CT231" i="4" s="1"/>
  <c r="CU231" i="4" s="1"/>
  <c r="CX231" i="4"/>
  <c r="CY231" i="4" s="1"/>
  <c r="CZ231" i="4"/>
  <c r="DB231" i="4" s="1"/>
  <c r="DD231" i="4"/>
  <c r="DE231" i="4"/>
  <c r="DG231" i="4"/>
  <c r="DH231" i="4"/>
  <c r="DN231" i="4"/>
  <c r="DO231" i="4"/>
  <c r="DR231" i="4"/>
  <c r="DS231" i="4"/>
  <c r="DT231" i="4"/>
  <c r="DX231" i="4"/>
  <c r="H73" i="4"/>
  <c r="H74" i="4"/>
  <c r="H75" i="4"/>
  <c r="H76" i="4"/>
  <c r="H77" i="4"/>
  <c r="I77" i="4" s="1"/>
  <c r="H78" i="4"/>
  <c r="H79" i="4"/>
  <c r="I79" i="4" s="1"/>
  <c r="H80" i="4"/>
  <c r="H81" i="4"/>
  <c r="H82" i="4"/>
  <c r="H83" i="4"/>
  <c r="I83" i="4" s="1"/>
  <c r="H84" i="4"/>
  <c r="I84" i="4" s="1"/>
  <c r="H85" i="4"/>
  <c r="H86" i="4"/>
  <c r="H87" i="4"/>
  <c r="I73" i="4"/>
  <c r="I74" i="4"/>
  <c r="I75" i="4"/>
  <c r="I76" i="4"/>
  <c r="I78" i="4"/>
  <c r="I80" i="4"/>
  <c r="I81" i="4"/>
  <c r="I82" i="4"/>
  <c r="I85" i="4"/>
  <c r="I86" i="4"/>
  <c r="I87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N73" i="4"/>
  <c r="N74" i="4"/>
  <c r="AZ74" i="4" s="1"/>
  <c r="N75" i="4"/>
  <c r="N76" i="4"/>
  <c r="AZ76" i="4" s="1"/>
  <c r="N77" i="4"/>
  <c r="N78" i="4"/>
  <c r="N79" i="4"/>
  <c r="N80" i="4"/>
  <c r="AZ80" i="4" s="1"/>
  <c r="N81" i="4"/>
  <c r="AZ81" i="4" s="1"/>
  <c r="N82" i="4"/>
  <c r="N83" i="4"/>
  <c r="N84" i="4"/>
  <c r="N85" i="4"/>
  <c r="N86" i="4"/>
  <c r="AZ86" i="4" s="1"/>
  <c r="N87" i="4"/>
  <c r="AZ73" i="4"/>
  <c r="AZ75" i="4"/>
  <c r="AZ77" i="4"/>
  <c r="AZ78" i="4"/>
  <c r="AZ79" i="4"/>
  <c r="AZ82" i="4"/>
  <c r="AZ83" i="4"/>
  <c r="AZ84" i="4"/>
  <c r="AZ85" i="4"/>
  <c r="AZ87" i="4"/>
  <c r="BB73" i="4"/>
  <c r="BB74" i="4"/>
  <c r="BC74" i="4" s="1"/>
  <c r="BB75" i="4"/>
  <c r="BC75" i="4" s="1"/>
  <c r="BB76" i="4"/>
  <c r="BB77" i="4"/>
  <c r="BB78" i="4"/>
  <c r="BB79" i="4"/>
  <c r="BB80" i="4"/>
  <c r="BC80" i="4" s="1"/>
  <c r="BB81" i="4"/>
  <c r="BB82" i="4"/>
  <c r="BC82" i="4" s="1"/>
  <c r="BB83" i="4"/>
  <c r="BB84" i="4"/>
  <c r="BB85" i="4"/>
  <c r="BB86" i="4"/>
  <c r="BC86" i="4" s="1"/>
  <c r="BB87" i="4"/>
  <c r="BC87" i="4" s="1"/>
  <c r="BC73" i="4"/>
  <c r="BC76" i="4"/>
  <c r="BC77" i="4"/>
  <c r="BC78" i="4"/>
  <c r="BC79" i="4"/>
  <c r="BC81" i="4"/>
  <c r="BC83" i="4"/>
  <c r="BC84" i="4"/>
  <c r="BC85" i="4"/>
  <c r="BG73" i="4"/>
  <c r="BG74" i="4"/>
  <c r="BH74" i="4" s="1"/>
  <c r="BG75" i="4"/>
  <c r="BG76" i="4"/>
  <c r="BH76" i="4" s="1"/>
  <c r="BG77" i="4"/>
  <c r="BG78" i="4"/>
  <c r="BG79" i="4"/>
  <c r="BG80" i="4"/>
  <c r="BH80" i="4" s="1"/>
  <c r="BG81" i="4"/>
  <c r="BH81" i="4" s="1"/>
  <c r="BG82" i="4"/>
  <c r="BG83" i="4"/>
  <c r="BG84" i="4"/>
  <c r="BG85" i="4"/>
  <c r="BG86" i="4"/>
  <c r="BH86" i="4" s="1"/>
  <c r="BG87" i="4"/>
  <c r="BH73" i="4"/>
  <c r="BH75" i="4"/>
  <c r="BH77" i="4"/>
  <c r="BH78" i="4"/>
  <c r="BH79" i="4"/>
  <c r="BH82" i="4"/>
  <c r="BH83" i="4"/>
  <c r="BH84" i="4"/>
  <c r="BH85" i="4"/>
  <c r="BH87" i="4"/>
  <c r="BK73" i="4"/>
  <c r="BK74" i="4"/>
  <c r="BK75" i="4"/>
  <c r="BK76" i="4"/>
  <c r="BK77" i="4"/>
  <c r="BK78" i="4"/>
  <c r="BK79" i="4"/>
  <c r="BK80" i="4"/>
  <c r="BK81" i="4"/>
  <c r="BK82" i="4"/>
  <c r="BK83" i="4"/>
  <c r="BK84" i="4"/>
  <c r="BK85" i="4"/>
  <c r="BK86" i="4"/>
  <c r="BK87" i="4"/>
  <c r="BM73" i="4"/>
  <c r="BM74" i="4"/>
  <c r="BM75" i="4"/>
  <c r="BM76" i="4"/>
  <c r="BM77" i="4"/>
  <c r="BN77" i="4" s="1"/>
  <c r="BM78" i="4"/>
  <c r="BM79" i="4"/>
  <c r="BN79" i="4" s="1"/>
  <c r="BM80" i="4"/>
  <c r="BM81" i="4"/>
  <c r="BM82" i="4"/>
  <c r="BM83" i="4"/>
  <c r="BN83" i="4" s="1"/>
  <c r="BM84" i="4"/>
  <c r="BN84" i="4" s="1"/>
  <c r="BM85" i="4"/>
  <c r="BM86" i="4"/>
  <c r="BM87" i="4"/>
  <c r="BN73" i="4"/>
  <c r="BN74" i="4"/>
  <c r="BN75" i="4"/>
  <c r="BN76" i="4"/>
  <c r="BN78" i="4"/>
  <c r="BN80" i="4"/>
  <c r="BN81" i="4"/>
  <c r="BN82" i="4"/>
  <c r="BN85" i="4"/>
  <c r="BN86" i="4"/>
  <c r="BN87" i="4"/>
  <c r="BP73" i="4"/>
  <c r="BQ73" i="4" s="1"/>
  <c r="BP74" i="4"/>
  <c r="BP75" i="4"/>
  <c r="BP76" i="4"/>
  <c r="BP77" i="4"/>
  <c r="BQ77" i="4" s="1"/>
  <c r="BP78" i="4"/>
  <c r="BQ78" i="4" s="1"/>
  <c r="BP79" i="4"/>
  <c r="BP80" i="4"/>
  <c r="BP81" i="4"/>
  <c r="BP82" i="4"/>
  <c r="BP83" i="4"/>
  <c r="BQ83" i="4" s="1"/>
  <c r="BP84" i="4"/>
  <c r="BP85" i="4"/>
  <c r="BQ85" i="4" s="1"/>
  <c r="BP86" i="4"/>
  <c r="BP87" i="4"/>
  <c r="BQ74" i="4"/>
  <c r="BQ75" i="4"/>
  <c r="BQ76" i="4"/>
  <c r="BQ79" i="4"/>
  <c r="BQ80" i="4"/>
  <c r="BQ81" i="4"/>
  <c r="BQ82" i="4"/>
  <c r="BQ84" i="4"/>
  <c r="BQ86" i="4"/>
  <c r="BQ87" i="4"/>
  <c r="BS73" i="4"/>
  <c r="BS74" i="4"/>
  <c r="BS75" i="4"/>
  <c r="BS76" i="4"/>
  <c r="BS77" i="4"/>
  <c r="BT77" i="4" s="1"/>
  <c r="BS78" i="4"/>
  <c r="BS79" i="4"/>
  <c r="BT79" i="4" s="1"/>
  <c r="BS80" i="4"/>
  <c r="BS81" i="4"/>
  <c r="BS82" i="4"/>
  <c r="BS83" i="4"/>
  <c r="BT83" i="4" s="1"/>
  <c r="BS84" i="4"/>
  <c r="BT84" i="4" s="1"/>
  <c r="BS85" i="4"/>
  <c r="BS86" i="4"/>
  <c r="BS87" i="4"/>
  <c r="BT73" i="4"/>
  <c r="BT74" i="4"/>
  <c r="BT75" i="4"/>
  <c r="BT76" i="4"/>
  <c r="BT78" i="4"/>
  <c r="BT80" i="4"/>
  <c r="BT81" i="4"/>
  <c r="BT82" i="4"/>
  <c r="BT85" i="4"/>
  <c r="BT86" i="4"/>
  <c r="BT87" i="4"/>
  <c r="BW73" i="4"/>
  <c r="BX73" i="4" s="1"/>
  <c r="BW74" i="4"/>
  <c r="BW75" i="4"/>
  <c r="BW76" i="4"/>
  <c r="BW77" i="4"/>
  <c r="BX77" i="4" s="1"/>
  <c r="BW78" i="4"/>
  <c r="BX78" i="4" s="1"/>
  <c r="BW79" i="4"/>
  <c r="BW80" i="4"/>
  <c r="BW81" i="4"/>
  <c r="BW82" i="4"/>
  <c r="BW83" i="4"/>
  <c r="BX83" i="4" s="1"/>
  <c r="BW84" i="4"/>
  <c r="BW85" i="4"/>
  <c r="BX85" i="4" s="1"/>
  <c r="BW86" i="4"/>
  <c r="BW87" i="4"/>
  <c r="BX74" i="4"/>
  <c r="BX75" i="4"/>
  <c r="BX76" i="4"/>
  <c r="BX79" i="4"/>
  <c r="BX80" i="4"/>
  <c r="BX81" i="4"/>
  <c r="BX82" i="4"/>
  <c r="BX84" i="4"/>
  <c r="BX86" i="4"/>
  <c r="BX87" i="4"/>
  <c r="BZ73" i="4"/>
  <c r="BZ74" i="4"/>
  <c r="BZ75" i="4"/>
  <c r="BZ76" i="4"/>
  <c r="BZ77" i="4"/>
  <c r="CA77" i="4" s="1"/>
  <c r="BZ78" i="4"/>
  <c r="BZ79" i="4"/>
  <c r="CA79" i="4" s="1"/>
  <c r="BZ80" i="4"/>
  <c r="BZ81" i="4"/>
  <c r="BZ82" i="4"/>
  <c r="BZ83" i="4"/>
  <c r="CA83" i="4" s="1"/>
  <c r="BZ84" i="4"/>
  <c r="CA84" i="4" s="1"/>
  <c r="BZ85" i="4"/>
  <c r="BZ86" i="4"/>
  <c r="BZ87" i="4"/>
  <c r="CA73" i="4"/>
  <c r="CA74" i="4"/>
  <c r="CA75" i="4"/>
  <c r="CA76" i="4"/>
  <c r="CA78" i="4"/>
  <c r="CA80" i="4"/>
  <c r="CA81" i="4"/>
  <c r="CA82" i="4"/>
  <c r="CA85" i="4"/>
  <c r="CA86" i="4"/>
  <c r="CA87" i="4"/>
  <c r="CC73" i="4"/>
  <c r="CD73" i="4" s="1"/>
  <c r="CC74" i="4"/>
  <c r="CC75" i="4"/>
  <c r="CC76" i="4"/>
  <c r="CC77" i="4"/>
  <c r="CD77" i="4" s="1"/>
  <c r="CC78" i="4"/>
  <c r="CD78" i="4" s="1"/>
  <c r="CC79" i="4"/>
  <c r="CC80" i="4"/>
  <c r="CC81" i="4"/>
  <c r="CC82" i="4"/>
  <c r="CC83" i="4"/>
  <c r="CD83" i="4" s="1"/>
  <c r="CC84" i="4"/>
  <c r="CC85" i="4"/>
  <c r="CD85" i="4" s="1"/>
  <c r="CC86" i="4"/>
  <c r="CC87" i="4"/>
  <c r="CD74" i="4"/>
  <c r="CD75" i="4"/>
  <c r="CD76" i="4"/>
  <c r="CD79" i="4"/>
  <c r="CD80" i="4"/>
  <c r="CD81" i="4"/>
  <c r="CD82" i="4"/>
  <c r="CD84" i="4"/>
  <c r="CD86" i="4"/>
  <c r="CD87" i="4"/>
  <c r="CG73" i="4"/>
  <c r="CG74" i="4"/>
  <c r="CG75" i="4"/>
  <c r="CG76" i="4"/>
  <c r="CG77" i="4"/>
  <c r="CG78" i="4"/>
  <c r="CG79" i="4"/>
  <c r="CG80" i="4"/>
  <c r="CG81" i="4"/>
  <c r="CG82" i="4"/>
  <c r="CG83" i="4"/>
  <c r="CG84" i="4"/>
  <c r="CG85" i="4"/>
  <c r="CG86" i="4"/>
  <c r="CG87" i="4"/>
  <c r="CK73" i="4"/>
  <c r="CK74" i="4"/>
  <c r="CK75" i="4"/>
  <c r="CK76" i="4"/>
  <c r="CK77" i="4"/>
  <c r="CK78" i="4"/>
  <c r="CK79" i="4"/>
  <c r="CK80" i="4"/>
  <c r="CK81" i="4"/>
  <c r="CK82" i="4"/>
  <c r="CK83" i="4"/>
  <c r="CK84" i="4"/>
  <c r="CK85" i="4"/>
  <c r="CK86" i="4"/>
  <c r="CK87" i="4"/>
  <c r="CN73" i="4"/>
  <c r="CN74" i="4"/>
  <c r="CN75" i="4"/>
  <c r="CN76" i="4"/>
  <c r="CN77" i="4"/>
  <c r="CN78" i="4"/>
  <c r="CN79" i="4"/>
  <c r="CN80" i="4"/>
  <c r="CN81" i="4"/>
  <c r="CN82" i="4"/>
  <c r="CN83" i="4"/>
  <c r="CN84" i="4"/>
  <c r="CN85" i="4"/>
  <c r="CN86" i="4"/>
  <c r="CN87" i="4"/>
  <c r="CR73" i="4"/>
  <c r="CR74" i="4"/>
  <c r="CR75" i="4"/>
  <c r="CR76" i="4"/>
  <c r="CR77" i="4"/>
  <c r="CR78" i="4"/>
  <c r="CR79" i="4"/>
  <c r="CR80" i="4"/>
  <c r="CR81" i="4"/>
  <c r="CR82" i="4"/>
  <c r="CR83" i="4"/>
  <c r="CR84" i="4"/>
  <c r="CR85" i="4"/>
  <c r="CR86" i="4"/>
  <c r="CR87" i="4"/>
  <c r="CS73" i="4"/>
  <c r="CT73" i="4" s="1"/>
  <c r="CS74" i="4"/>
  <c r="CT74" i="4" s="1"/>
  <c r="CS75" i="4"/>
  <c r="CT75" i="4" s="1"/>
  <c r="CS76" i="4"/>
  <c r="CT76" i="4" s="1"/>
  <c r="CS77" i="4"/>
  <c r="CT77" i="4" s="1"/>
  <c r="CU77" i="4" s="1"/>
  <c r="CS78" i="4"/>
  <c r="CT78" i="4" s="1"/>
  <c r="CS79" i="4"/>
  <c r="CT79" i="4" s="1"/>
  <c r="CU79" i="4" s="1"/>
  <c r="CS80" i="4"/>
  <c r="CT80" i="4" s="1"/>
  <c r="CS81" i="4"/>
  <c r="CT81" i="4" s="1"/>
  <c r="CS82" i="4"/>
  <c r="CT82" i="4" s="1"/>
  <c r="CS83" i="4"/>
  <c r="CT83" i="4" s="1"/>
  <c r="CU83" i="4" s="1"/>
  <c r="CS84" i="4"/>
  <c r="CT84" i="4" s="1"/>
  <c r="CU84" i="4" s="1"/>
  <c r="CS85" i="4"/>
  <c r="CT85" i="4" s="1"/>
  <c r="CS86" i="4"/>
  <c r="CT86" i="4" s="1"/>
  <c r="CS87" i="4"/>
  <c r="CT87" i="4" s="1"/>
  <c r="CU87" i="4" s="1"/>
  <c r="CU73" i="4"/>
  <c r="CU74" i="4"/>
  <c r="CU75" i="4"/>
  <c r="CU76" i="4"/>
  <c r="CU78" i="4"/>
  <c r="CU80" i="4"/>
  <c r="CU81" i="4"/>
  <c r="CU82" i="4"/>
  <c r="CU85" i="4"/>
  <c r="CU86" i="4"/>
  <c r="CX73" i="4"/>
  <c r="CY73" i="4" s="1"/>
  <c r="CX74" i="4"/>
  <c r="CY74" i="4" s="1"/>
  <c r="CX75" i="4"/>
  <c r="CY75" i="4" s="1"/>
  <c r="CX76" i="4"/>
  <c r="CX77" i="4"/>
  <c r="CX78" i="4"/>
  <c r="CX79" i="4"/>
  <c r="CX80" i="4"/>
  <c r="CY80" i="4" s="1"/>
  <c r="CX81" i="4"/>
  <c r="CY81" i="4" s="1"/>
  <c r="CX82" i="4"/>
  <c r="CY82" i="4" s="1"/>
  <c r="CX83" i="4"/>
  <c r="CY83" i="4" s="1"/>
  <c r="CX84" i="4"/>
  <c r="CY84" i="4" s="1"/>
  <c r="CX85" i="4"/>
  <c r="CY85" i="4" s="1"/>
  <c r="CX86" i="4"/>
  <c r="CY86" i="4" s="1"/>
  <c r="CX87" i="4"/>
  <c r="CY87" i="4" s="1"/>
  <c r="CY76" i="4"/>
  <c r="CY77" i="4"/>
  <c r="CY78" i="4"/>
  <c r="CY79" i="4"/>
  <c r="CZ73" i="4"/>
  <c r="CZ74" i="4"/>
  <c r="DB74" i="4" s="1"/>
  <c r="CZ75" i="4"/>
  <c r="CZ76" i="4"/>
  <c r="DB76" i="4" s="1"/>
  <c r="CZ77" i="4"/>
  <c r="CZ78" i="4"/>
  <c r="CZ79" i="4"/>
  <c r="CZ80" i="4"/>
  <c r="DB80" i="4" s="1"/>
  <c r="CZ81" i="4"/>
  <c r="DB81" i="4" s="1"/>
  <c r="CZ82" i="4"/>
  <c r="CZ83" i="4"/>
  <c r="CZ84" i="4"/>
  <c r="CZ85" i="4"/>
  <c r="CZ86" i="4"/>
  <c r="DB86" i="4" s="1"/>
  <c r="CZ87" i="4"/>
  <c r="DB73" i="4"/>
  <c r="DB75" i="4"/>
  <c r="DB77" i="4"/>
  <c r="DB78" i="4"/>
  <c r="DB79" i="4"/>
  <c r="DB82" i="4"/>
  <c r="DB83" i="4"/>
  <c r="DB84" i="4"/>
  <c r="DB85" i="4"/>
  <c r="DB87" i="4"/>
  <c r="DD73" i="4"/>
  <c r="DD74" i="4"/>
  <c r="DE74" i="4" s="1"/>
  <c r="DD75" i="4"/>
  <c r="DE75" i="4" s="1"/>
  <c r="DD76" i="4"/>
  <c r="DD77" i="4"/>
  <c r="DD78" i="4"/>
  <c r="DD79" i="4"/>
  <c r="DD80" i="4"/>
  <c r="DE80" i="4" s="1"/>
  <c r="DD81" i="4"/>
  <c r="DD82" i="4"/>
  <c r="DE82" i="4" s="1"/>
  <c r="DD83" i="4"/>
  <c r="DD84" i="4"/>
  <c r="DD85" i="4"/>
  <c r="DD86" i="4"/>
  <c r="DE86" i="4" s="1"/>
  <c r="DD87" i="4"/>
  <c r="DE87" i="4" s="1"/>
  <c r="DE73" i="4"/>
  <c r="DE76" i="4"/>
  <c r="DE77" i="4"/>
  <c r="DE78" i="4"/>
  <c r="DE79" i="4"/>
  <c r="DE81" i="4"/>
  <c r="DE83" i="4"/>
  <c r="DE84" i="4"/>
  <c r="DE85" i="4"/>
  <c r="DG73" i="4"/>
  <c r="DG74" i="4"/>
  <c r="DH74" i="4" s="1"/>
  <c r="DG75" i="4"/>
  <c r="DG76" i="4"/>
  <c r="DH76" i="4" s="1"/>
  <c r="DG77" i="4"/>
  <c r="DG78" i="4"/>
  <c r="DG79" i="4"/>
  <c r="DG80" i="4"/>
  <c r="DH80" i="4" s="1"/>
  <c r="DG81" i="4"/>
  <c r="DH81" i="4" s="1"/>
  <c r="DG82" i="4"/>
  <c r="DG83" i="4"/>
  <c r="DG84" i="4"/>
  <c r="DG85" i="4"/>
  <c r="DG86" i="4"/>
  <c r="DH86" i="4" s="1"/>
  <c r="DG87" i="4"/>
  <c r="DH73" i="4"/>
  <c r="DH75" i="4"/>
  <c r="DH77" i="4"/>
  <c r="DH78" i="4"/>
  <c r="DH79" i="4"/>
  <c r="DH82" i="4"/>
  <c r="DH83" i="4"/>
  <c r="DH84" i="4"/>
  <c r="DH85" i="4"/>
  <c r="DH87" i="4"/>
  <c r="DN73" i="4"/>
  <c r="DN74" i="4"/>
  <c r="DN75" i="4"/>
  <c r="DO75" i="4" s="1"/>
  <c r="DN76" i="4"/>
  <c r="DN77" i="4"/>
  <c r="DN78" i="4"/>
  <c r="DN79" i="4"/>
  <c r="DR79" i="4" s="1"/>
  <c r="DS79" i="4" s="1"/>
  <c r="DN80" i="4"/>
  <c r="DO80" i="4" s="1"/>
  <c r="DN81" i="4"/>
  <c r="DN82" i="4"/>
  <c r="DR82" i="4" s="1"/>
  <c r="DS82" i="4" s="1"/>
  <c r="DN83" i="4"/>
  <c r="DR83" i="4" s="1"/>
  <c r="DS83" i="4" s="1"/>
  <c r="DN84" i="4"/>
  <c r="DR84" i="4" s="1"/>
  <c r="DS84" i="4" s="1"/>
  <c r="DN85" i="4"/>
  <c r="DN86" i="4"/>
  <c r="DN87" i="4"/>
  <c r="DO87" i="4" s="1"/>
  <c r="DO73" i="4"/>
  <c r="DO76" i="4"/>
  <c r="DO77" i="4"/>
  <c r="DO78" i="4"/>
  <c r="DO79" i="4"/>
  <c r="DO81" i="4"/>
  <c r="DO83" i="4"/>
  <c r="DO84" i="4"/>
  <c r="DO85" i="4"/>
  <c r="DR73" i="4"/>
  <c r="DR76" i="4"/>
  <c r="DS76" i="4" s="1"/>
  <c r="DR77" i="4"/>
  <c r="DR78" i="4"/>
  <c r="DR80" i="4"/>
  <c r="DS80" i="4" s="1"/>
  <c r="DR81" i="4"/>
  <c r="DS81" i="4" s="1"/>
  <c r="DR85" i="4"/>
  <c r="DS73" i="4"/>
  <c r="DS77" i="4"/>
  <c r="DS78" i="4"/>
  <c r="DS85" i="4"/>
  <c r="DT73" i="4"/>
  <c r="DT74" i="4"/>
  <c r="DX74" i="4" s="1"/>
  <c r="DT75" i="4"/>
  <c r="DX75" i="4" s="1"/>
  <c r="DT76" i="4"/>
  <c r="DT77" i="4"/>
  <c r="DT78" i="4"/>
  <c r="DT79" i="4"/>
  <c r="DT80" i="4"/>
  <c r="DX80" i="4" s="1"/>
  <c r="DT81" i="4"/>
  <c r="DT82" i="4"/>
  <c r="DX82" i="4" s="1"/>
  <c r="DT83" i="4"/>
  <c r="DT84" i="4"/>
  <c r="DT85" i="4"/>
  <c r="DT86" i="4"/>
  <c r="DX86" i="4" s="1"/>
  <c r="DT87" i="4"/>
  <c r="DX87" i="4" s="1"/>
  <c r="DX73" i="4"/>
  <c r="DX76" i="4"/>
  <c r="DX77" i="4"/>
  <c r="DY77" i="4" s="1"/>
  <c r="DX78" i="4"/>
  <c r="DX79" i="4"/>
  <c r="DY79" i="4" s="1"/>
  <c r="DX81" i="4"/>
  <c r="DX83" i="4"/>
  <c r="DX84" i="4"/>
  <c r="DX85" i="4"/>
  <c r="DY73" i="4"/>
  <c r="DY76" i="4"/>
  <c r="DY78" i="4"/>
  <c r="DY80" i="4"/>
  <c r="DY81" i="4"/>
  <c r="DY85" i="4"/>
  <c r="H58" i="4"/>
  <c r="I58" i="4" s="1"/>
  <c r="H59" i="4"/>
  <c r="H60" i="4"/>
  <c r="H61" i="4"/>
  <c r="H62" i="4"/>
  <c r="I62" i="4" s="1"/>
  <c r="H63" i="4"/>
  <c r="I63" i="4" s="1"/>
  <c r="H64" i="4"/>
  <c r="H65" i="4"/>
  <c r="H66" i="4"/>
  <c r="H67" i="4"/>
  <c r="H68" i="4"/>
  <c r="I68" i="4" s="1"/>
  <c r="H69" i="4"/>
  <c r="H70" i="4"/>
  <c r="I70" i="4" s="1"/>
  <c r="H71" i="4"/>
  <c r="H72" i="4"/>
  <c r="I59" i="4"/>
  <c r="I60" i="4"/>
  <c r="I61" i="4"/>
  <c r="I64" i="4"/>
  <c r="I65" i="4"/>
  <c r="I66" i="4"/>
  <c r="I67" i="4"/>
  <c r="I69" i="4"/>
  <c r="I71" i="4"/>
  <c r="I72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N58" i="4"/>
  <c r="N59" i="4"/>
  <c r="AZ59" i="4" s="1"/>
  <c r="N60" i="4"/>
  <c r="AZ60" i="4" s="1"/>
  <c r="N61" i="4"/>
  <c r="N62" i="4"/>
  <c r="N63" i="4"/>
  <c r="N64" i="4"/>
  <c r="N65" i="4"/>
  <c r="AZ65" i="4" s="1"/>
  <c r="N66" i="4"/>
  <c r="N67" i="4"/>
  <c r="AZ67" i="4" s="1"/>
  <c r="N68" i="4"/>
  <c r="N69" i="4"/>
  <c r="N70" i="4"/>
  <c r="N71" i="4"/>
  <c r="AZ71" i="4" s="1"/>
  <c r="N72" i="4"/>
  <c r="AZ72" i="4" s="1"/>
  <c r="AZ58" i="4"/>
  <c r="AZ61" i="4"/>
  <c r="AZ62" i="4"/>
  <c r="AZ63" i="4"/>
  <c r="AZ64" i="4"/>
  <c r="AZ66" i="4"/>
  <c r="AZ68" i="4"/>
  <c r="AZ69" i="4"/>
  <c r="AZ70" i="4"/>
  <c r="BB58" i="4"/>
  <c r="BB59" i="4"/>
  <c r="BC59" i="4" s="1"/>
  <c r="BB60" i="4"/>
  <c r="BB61" i="4"/>
  <c r="BC61" i="4" s="1"/>
  <c r="BB62" i="4"/>
  <c r="BB63" i="4"/>
  <c r="BB64" i="4"/>
  <c r="BB65" i="4"/>
  <c r="BC65" i="4" s="1"/>
  <c r="BB66" i="4"/>
  <c r="BC66" i="4" s="1"/>
  <c r="BB67" i="4"/>
  <c r="BB68" i="4"/>
  <c r="BB69" i="4"/>
  <c r="BB70" i="4"/>
  <c r="BB71" i="4"/>
  <c r="BC71" i="4" s="1"/>
  <c r="BB72" i="4"/>
  <c r="BC58" i="4"/>
  <c r="BC60" i="4"/>
  <c r="BC62" i="4"/>
  <c r="BC63" i="4"/>
  <c r="BC64" i="4"/>
  <c r="BC67" i="4"/>
  <c r="BC68" i="4"/>
  <c r="BC69" i="4"/>
  <c r="BC70" i="4"/>
  <c r="BC72" i="4"/>
  <c r="BG58" i="4"/>
  <c r="BG59" i="4"/>
  <c r="BH59" i="4" s="1"/>
  <c r="BG60" i="4"/>
  <c r="BH60" i="4" s="1"/>
  <c r="BG61" i="4"/>
  <c r="BG62" i="4"/>
  <c r="BG63" i="4"/>
  <c r="BG64" i="4"/>
  <c r="BG65" i="4"/>
  <c r="BH65" i="4" s="1"/>
  <c r="BG66" i="4"/>
  <c r="BG67" i="4"/>
  <c r="BH67" i="4" s="1"/>
  <c r="BG68" i="4"/>
  <c r="BG69" i="4"/>
  <c r="BG70" i="4"/>
  <c r="BG71" i="4"/>
  <c r="BH71" i="4" s="1"/>
  <c r="BG72" i="4"/>
  <c r="BH72" i="4" s="1"/>
  <c r="BH58" i="4"/>
  <c r="BH61" i="4"/>
  <c r="BH62" i="4"/>
  <c r="BH63" i="4"/>
  <c r="BH64" i="4"/>
  <c r="BH66" i="4"/>
  <c r="BH68" i="4"/>
  <c r="BH69" i="4"/>
  <c r="BH70" i="4"/>
  <c r="BK58" i="4"/>
  <c r="BK59" i="4"/>
  <c r="BK60" i="4"/>
  <c r="BK61" i="4"/>
  <c r="BK62" i="4"/>
  <c r="BK63" i="4"/>
  <c r="BK64" i="4"/>
  <c r="BK65" i="4"/>
  <c r="BK66" i="4"/>
  <c r="BK67" i="4"/>
  <c r="BK68" i="4"/>
  <c r="BK69" i="4"/>
  <c r="BK70" i="4"/>
  <c r="BK71" i="4"/>
  <c r="BK72" i="4"/>
  <c r="BM58" i="4"/>
  <c r="BN58" i="4" s="1"/>
  <c r="BM59" i="4"/>
  <c r="BM60" i="4"/>
  <c r="BM61" i="4"/>
  <c r="BM62" i="4"/>
  <c r="BN62" i="4" s="1"/>
  <c r="BM63" i="4"/>
  <c r="BN63" i="4" s="1"/>
  <c r="BM64" i="4"/>
  <c r="BM65" i="4"/>
  <c r="BM66" i="4"/>
  <c r="BM67" i="4"/>
  <c r="BM68" i="4"/>
  <c r="BN68" i="4" s="1"/>
  <c r="BM69" i="4"/>
  <c r="BM70" i="4"/>
  <c r="BN70" i="4" s="1"/>
  <c r="BM71" i="4"/>
  <c r="BM72" i="4"/>
  <c r="BN59" i="4"/>
  <c r="BN60" i="4"/>
  <c r="BN61" i="4"/>
  <c r="BN64" i="4"/>
  <c r="BN65" i="4"/>
  <c r="BN66" i="4"/>
  <c r="BN67" i="4"/>
  <c r="BN69" i="4"/>
  <c r="BN71" i="4"/>
  <c r="BN72" i="4"/>
  <c r="BP58" i="4"/>
  <c r="BP59" i="4"/>
  <c r="BP60" i="4"/>
  <c r="BP61" i="4"/>
  <c r="BP62" i="4"/>
  <c r="BQ62" i="4" s="1"/>
  <c r="BP63" i="4"/>
  <c r="BP64" i="4"/>
  <c r="BQ64" i="4" s="1"/>
  <c r="BP65" i="4"/>
  <c r="BP66" i="4"/>
  <c r="BP67" i="4"/>
  <c r="BP68" i="4"/>
  <c r="BQ68" i="4" s="1"/>
  <c r="BP69" i="4"/>
  <c r="BQ69" i="4" s="1"/>
  <c r="BP70" i="4"/>
  <c r="BP71" i="4"/>
  <c r="BP72" i="4"/>
  <c r="BQ58" i="4"/>
  <c r="BQ59" i="4"/>
  <c r="BQ60" i="4"/>
  <c r="BQ61" i="4"/>
  <c r="BQ63" i="4"/>
  <c r="BQ65" i="4"/>
  <c r="BQ66" i="4"/>
  <c r="BQ67" i="4"/>
  <c r="BQ70" i="4"/>
  <c r="BQ71" i="4"/>
  <c r="BQ72" i="4"/>
  <c r="BS58" i="4"/>
  <c r="BT58" i="4" s="1"/>
  <c r="BS59" i="4"/>
  <c r="BS60" i="4"/>
  <c r="BS61" i="4"/>
  <c r="BS62" i="4"/>
  <c r="BT62" i="4" s="1"/>
  <c r="BS63" i="4"/>
  <c r="BT63" i="4" s="1"/>
  <c r="BS64" i="4"/>
  <c r="BS65" i="4"/>
  <c r="BS66" i="4"/>
  <c r="BS67" i="4"/>
  <c r="BS68" i="4"/>
  <c r="BT68" i="4" s="1"/>
  <c r="BS69" i="4"/>
  <c r="BS70" i="4"/>
  <c r="BT70" i="4" s="1"/>
  <c r="BS71" i="4"/>
  <c r="BS72" i="4"/>
  <c r="BT59" i="4"/>
  <c r="BT60" i="4"/>
  <c r="BT61" i="4"/>
  <c r="BT64" i="4"/>
  <c r="BT65" i="4"/>
  <c r="BT66" i="4"/>
  <c r="BT67" i="4"/>
  <c r="BT69" i="4"/>
  <c r="BT71" i="4"/>
  <c r="BT72" i="4"/>
  <c r="BW58" i="4"/>
  <c r="BW59" i="4"/>
  <c r="BW60" i="4"/>
  <c r="BW61" i="4"/>
  <c r="BX61" i="4" s="1"/>
  <c r="BW62" i="4"/>
  <c r="BX62" i="4" s="1"/>
  <c r="BW63" i="4"/>
  <c r="BW64" i="4"/>
  <c r="BX64" i="4" s="1"/>
  <c r="BW65" i="4"/>
  <c r="BW66" i="4"/>
  <c r="BW67" i="4"/>
  <c r="BW68" i="4"/>
  <c r="BX68" i="4" s="1"/>
  <c r="BW69" i="4"/>
  <c r="BX69" i="4" s="1"/>
  <c r="BW70" i="4"/>
  <c r="BW71" i="4"/>
  <c r="BW72" i="4"/>
  <c r="BX58" i="4"/>
  <c r="BX59" i="4"/>
  <c r="BX60" i="4"/>
  <c r="BX63" i="4"/>
  <c r="BX65" i="4"/>
  <c r="BX66" i="4"/>
  <c r="BX67" i="4"/>
  <c r="BX70" i="4"/>
  <c r="BX71" i="4"/>
  <c r="BX72" i="4"/>
  <c r="BZ58" i="4"/>
  <c r="CA58" i="4" s="1"/>
  <c r="BZ59" i="4"/>
  <c r="BZ60" i="4"/>
  <c r="BZ61" i="4"/>
  <c r="BZ62" i="4"/>
  <c r="CA62" i="4" s="1"/>
  <c r="BZ63" i="4"/>
  <c r="CA63" i="4" s="1"/>
  <c r="BZ64" i="4"/>
  <c r="BZ65" i="4"/>
  <c r="BZ66" i="4"/>
  <c r="BZ67" i="4"/>
  <c r="BZ68" i="4"/>
  <c r="CA68" i="4" s="1"/>
  <c r="BZ69" i="4"/>
  <c r="BZ70" i="4"/>
  <c r="CA70" i="4" s="1"/>
  <c r="BZ71" i="4"/>
  <c r="BZ72" i="4"/>
  <c r="CA59" i="4"/>
  <c r="CA60" i="4"/>
  <c r="CA61" i="4"/>
  <c r="CA64" i="4"/>
  <c r="CA65" i="4"/>
  <c r="CA66" i="4"/>
  <c r="CA67" i="4"/>
  <c r="CA69" i="4"/>
  <c r="CA71" i="4"/>
  <c r="CA72" i="4"/>
  <c r="CC58" i="4"/>
  <c r="CC59" i="4"/>
  <c r="CC60" i="4"/>
  <c r="CC61" i="4"/>
  <c r="CC62" i="4"/>
  <c r="CD62" i="4" s="1"/>
  <c r="CC63" i="4"/>
  <c r="CC64" i="4"/>
  <c r="CD64" i="4" s="1"/>
  <c r="CC65" i="4"/>
  <c r="CC66" i="4"/>
  <c r="CC67" i="4"/>
  <c r="CC68" i="4"/>
  <c r="CD68" i="4" s="1"/>
  <c r="CC69" i="4"/>
  <c r="CD69" i="4" s="1"/>
  <c r="CC70" i="4"/>
  <c r="CC71" i="4"/>
  <c r="CC72" i="4"/>
  <c r="CD58" i="4"/>
  <c r="CD59" i="4"/>
  <c r="CD60" i="4"/>
  <c r="CD61" i="4"/>
  <c r="CD63" i="4"/>
  <c r="CD65" i="4"/>
  <c r="CD66" i="4"/>
  <c r="CD67" i="4"/>
  <c r="CD70" i="4"/>
  <c r="CD71" i="4"/>
  <c r="CD72" i="4"/>
  <c r="CG58" i="4"/>
  <c r="CG59" i="4"/>
  <c r="CG60" i="4"/>
  <c r="CG61" i="4"/>
  <c r="CG62" i="4"/>
  <c r="CG63" i="4"/>
  <c r="CG64" i="4"/>
  <c r="CG65" i="4"/>
  <c r="CG66" i="4"/>
  <c r="CG67" i="4"/>
  <c r="CG68" i="4"/>
  <c r="CG69" i="4"/>
  <c r="CG70" i="4"/>
  <c r="CG71" i="4"/>
  <c r="CG72" i="4"/>
  <c r="CK58" i="4"/>
  <c r="CK59" i="4"/>
  <c r="CK60" i="4"/>
  <c r="CK61" i="4"/>
  <c r="CK62" i="4"/>
  <c r="CK63" i="4"/>
  <c r="CK64" i="4"/>
  <c r="CK65" i="4"/>
  <c r="CK66" i="4"/>
  <c r="CK67" i="4"/>
  <c r="CK68" i="4"/>
  <c r="CK69" i="4"/>
  <c r="CK70" i="4"/>
  <c r="CK71" i="4"/>
  <c r="CK72" i="4"/>
  <c r="CN58" i="4"/>
  <c r="CN59" i="4"/>
  <c r="CN60" i="4"/>
  <c r="CN61" i="4"/>
  <c r="CN62" i="4"/>
  <c r="CN63" i="4"/>
  <c r="CN64" i="4"/>
  <c r="CN65" i="4"/>
  <c r="CN66" i="4"/>
  <c r="CN67" i="4"/>
  <c r="CN68" i="4"/>
  <c r="CN69" i="4"/>
  <c r="CN70" i="4"/>
  <c r="CN71" i="4"/>
  <c r="CN72" i="4"/>
  <c r="CR58" i="4"/>
  <c r="CR59" i="4"/>
  <c r="CR60" i="4"/>
  <c r="CR61" i="4"/>
  <c r="CR62" i="4"/>
  <c r="CR63" i="4"/>
  <c r="CR64" i="4"/>
  <c r="CR65" i="4"/>
  <c r="CR66" i="4"/>
  <c r="CR67" i="4"/>
  <c r="CR68" i="4"/>
  <c r="CR69" i="4"/>
  <c r="CR70" i="4"/>
  <c r="CR71" i="4"/>
  <c r="CR72" i="4"/>
  <c r="CS58" i="4"/>
  <c r="CT58" i="4" s="1"/>
  <c r="CU58" i="4" s="1"/>
  <c r="CS59" i="4"/>
  <c r="CT59" i="4" s="1"/>
  <c r="CS60" i="4"/>
  <c r="CT60" i="4" s="1"/>
  <c r="CU60" i="4" s="1"/>
  <c r="CS61" i="4"/>
  <c r="CT61" i="4" s="1"/>
  <c r="CS62" i="4"/>
  <c r="CT62" i="4" s="1"/>
  <c r="CU62" i="4" s="1"/>
  <c r="CS63" i="4"/>
  <c r="CT63" i="4" s="1"/>
  <c r="CU63" i="4" s="1"/>
  <c r="CS64" i="4"/>
  <c r="CT64" i="4" s="1"/>
  <c r="CS65" i="4"/>
  <c r="CT65" i="4" s="1"/>
  <c r="CS66" i="4"/>
  <c r="CT66" i="4" s="1"/>
  <c r="CS67" i="4"/>
  <c r="CT67" i="4" s="1"/>
  <c r="CS68" i="4"/>
  <c r="CT68" i="4" s="1"/>
  <c r="CU68" i="4" s="1"/>
  <c r="CS69" i="4"/>
  <c r="CT69" i="4" s="1"/>
  <c r="CS70" i="4"/>
  <c r="CT70" i="4" s="1"/>
  <c r="CU70" i="4" s="1"/>
  <c r="CS71" i="4"/>
  <c r="CT71" i="4" s="1"/>
  <c r="CS72" i="4"/>
  <c r="CT72" i="4" s="1"/>
  <c r="CU72" i="4" s="1"/>
  <c r="CU59" i="4"/>
  <c r="CU61" i="4"/>
  <c r="CU64" i="4"/>
  <c r="CU65" i="4"/>
  <c r="CU66" i="4"/>
  <c r="CU67" i="4"/>
  <c r="CU69" i="4"/>
  <c r="CU71" i="4"/>
  <c r="CX58" i="4"/>
  <c r="CX59" i="4"/>
  <c r="CX60" i="4"/>
  <c r="CY60" i="4" s="1"/>
  <c r="CX61" i="4"/>
  <c r="CY61" i="4" s="1"/>
  <c r="CX62" i="4"/>
  <c r="CY62" i="4" s="1"/>
  <c r="CX63" i="4"/>
  <c r="CX64" i="4"/>
  <c r="CY64" i="4" s="1"/>
  <c r="CX65" i="4"/>
  <c r="CX66" i="4"/>
  <c r="CY66" i="4" s="1"/>
  <c r="CX67" i="4"/>
  <c r="CY67" i="4" s="1"/>
  <c r="CX68" i="4"/>
  <c r="CY68" i="4" s="1"/>
  <c r="CX69" i="4"/>
  <c r="CY69" i="4" s="1"/>
  <c r="CX70" i="4"/>
  <c r="CX71" i="4"/>
  <c r="CX72" i="4"/>
  <c r="CY72" i="4" s="1"/>
  <c r="CY58" i="4"/>
  <c r="CY59" i="4"/>
  <c r="CY63" i="4"/>
  <c r="CY65" i="4"/>
  <c r="CY70" i="4"/>
  <c r="CY71" i="4"/>
  <c r="CZ58" i="4"/>
  <c r="DB58" i="4" s="1"/>
  <c r="CZ59" i="4"/>
  <c r="DB59" i="4" s="1"/>
  <c r="CZ60" i="4"/>
  <c r="CZ61" i="4"/>
  <c r="CZ62" i="4"/>
  <c r="DB62" i="4" s="1"/>
  <c r="CZ63" i="4"/>
  <c r="CZ64" i="4"/>
  <c r="DB64" i="4" s="1"/>
  <c r="CZ65" i="4"/>
  <c r="CZ66" i="4"/>
  <c r="DB66" i="4" s="1"/>
  <c r="CZ67" i="4"/>
  <c r="CZ68" i="4"/>
  <c r="CZ69" i="4"/>
  <c r="CZ70" i="4"/>
  <c r="DB70" i="4" s="1"/>
  <c r="CZ71" i="4"/>
  <c r="DB71" i="4" s="1"/>
  <c r="CZ72" i="4"/>
  <c r="DB60" i="4"/>
  <c r="DB61" i="4"/>
  <c r="DB63" i="4"/>
  <c r="DB65" i="4"/>
  <c r="DB67" i="4"/>
  <c r="DB68" i="4"/>
  <c r="DB69" i="4"/>
  <c r="DB72" i="4"/>
  <c r="DD58" i="4"/>
  <c r="DE58" i="4" s="1"/>
  <c r="DD59" i="4"/>
  <c r="DD60" i="4"/>
  <c r="DE60" i="4" s="1"/>
  <c r="DD61" i="4"/>
  <c r="DD62" i="4"/>
  <c r="DD63" i="4"/>
  <c r="DD64" i="4"/>
  <c r="DE64" i="4" s="1"/>
  <c r="DD65" i="4"/>
  <c r="DE65" i="4" s="1"/>
  <c r="DD66" i="4"/>
  <c r="DD67" i="4"/>
  <c r="DD68" i="4"/>
  <c r="DE68" i="4" s="1"/>
  <c r="DD69" i="4"/>
  <c r="DD70" i="4"/>
  <c r="DE70" i="4" s="1"/>
  <c r="DD71" i="4"/>
  <c r="DD72" i="4"/>
  <c r="DE72" i="4" s="1"/>
  <c r="DE59" i="4"/>
  <c r="DE61" i="4"/>
  <c r="DE62" i="4"/>
  <c r="DE63" i="4"/>
  <c r="DE66" i="4"/>
  <c r="DE67" i="4"/>
  <c r="DE69" i="4"/>
  <c r="DE71" i="4"/>
  <c r="DG58" i="4"/>
  <c r="DH58" i="4" s="1"/>
  <c r="DG59" i="4"/>
  <c r="DH59" i="4" s="1"/>
  <c r="DG60" i="4"/>
  <c r="DG61" i="4"/>
  <c r="DG62" i="4"/>
  <c r="DH62" i="4" s="1"/>
  <c r="DG63" i="4"/>
  <c r="DG64" i="4"/>
  <c r="DH64" i="4" s="1"/>
  <c r="DG65" i="4"/>
  <c r="DG66" i="4"/>
  <c r="DH66" i="4" s="1"/>
  <c r="DG67" i="4"/>
  <c r="DG68" i="4"/>
  <c r="DH68" i="4" s="1"/>
  <c r="DG69" i="4"/>
  <c r="DH69" i="4" s="1"/>
  <c r="DG70" i="4"/>
  <c r="DH70" i="4" s="1"/>
  <c r="DG71" i="4"/>
  <c r="DH71" i="4" s="1"/>
  <c r="DG72" i="4"/>
  <c r="DH60" i="4"/>
  <c r="DH61" i="4"/>
  <c r="DH63" i="4"/>
  <c r="DH65" i="4"/>
  <c r="DH67" i="4"/>
  <c r="DH72" i="4"/>
  <c r="DN58" i="4"/>
  <c r="DO58" i="4" s="1"/>
  <c r="DN59" i="4"/>
  <c r="DN60" i="4"/>
  <c r="DN61" i="4"/>
  <c r="DR61" i="4" s="1"/>
  <c r="DN62" i="4"/>
  <c r="DR62" i="4" s="1"/>
  <c r="DS62" i="4" s="1"/>
  <c r="DN63" i="4"/>
  <c r="DO63" i="4" s="1"/>
  <c r="DN64" i="4"/>
  <c r="DO64" i="4" s="1"/>
  <c r="DN65" i="4"/>
  <c r="DN66" i="4"/>
  <c r="DN67" i="4"/>
  <c r="DN68" i="4"/>
  <c r="DN69" i="4"/>
  <c r="DR69" i="4" s="1"/>
  <c r="DS69" i="4" s="1"/>
  <c r="DN70" i="4"/>
  <c r="DO70" i="4" s="1"/>
  <c r="DN71" i="4"/>
  <c r="DN72" i="4"/>
  <c r="DR72" i="4" s="1"/>
  <c r="DO59" i="4"/>
  <c r="DO61" i="4"/>
  <c r="DO62" i="4"/>
  <c r="DO66" i="4"/>
  <c r="DO67" i="4"/>
  <c r="DO68" i="4"/>
  <c r="DO69" i="4"/>
  <c r="DO71" i="4"/>
  <c r="DO72" i="4"/>
  <c r="DR59" i="4"/>
  <c r="DS59" i="4" s="1"/>
  <c r="DR63" i="4"/>
  <c r="DR66" i="4"/>
  <c r="DS66" i="4" s="1"/>
  <c r="DR67" i="4"/>
  <c r="DR68" i="4"/>
  <c r="DS68" i="4" s="1"/>
  <c r="DR71" i="4"/>
  <c r="DS71" i="4" s="1"/>
  <c r="DS61" i="4"/>
  <c r="DS63" i="4"/>
  <c r="DS67" i="4"/>
  <c r="DS72" i="4"/>
  <c r="DT58" i="4"/>
  <c r="DX58" i="4" s="1"/>
  <c r="DT59" i="4"/>
  <c r="DT60" i="4"/>
  <c r="DX60" i="4" s="1"/>
  <c r="DT61" i="4"/>
  <c r="DT62" i="4"/>
  <c r="DX62" i="4" s="1"/>
  <c r="DT63" i="4"/>
  <c r="DX63" i="4" s="1"/>
  <c r="DT64" i="4"/>
  <c r="DX64" i="4" s="1"/>
  <c r="DT65" i="4"/>
  <c r="DX65" i="4" s="1"/>
  <c r="DT66" i="4"/>
  <c r="DT67" i="4"/>
  <c r="DT68" i="4"/>
  <c r="DT69" i="4"/>
  <c r="DT70" i="4"/>
  <c r="DX70" i="4" s="1"/>
  <c r="DT71" i="4"/>
  <c r="DT72" i="4"/>
  <c r="DX72" i="4" s="1"/>
  <c r="DX59" i="4"/>
  <c r="DX61" i="4"/>
  <c r="DX66" i="4"/>
  <c r="DX67" i="4"/>
  <c r="DX68" i="4"/>
  <c r="DX69" i="4"/>
  <c r="DX71" i="4"/>
  <c r="DY58" i="4"/>
  <c r="DY59" i="4"/>
  <c r="DY64" i="4"/>
  <c r="DY66" i="4"/>
  <c r="DY68" i="4"/>
  <c r="DY70" i="4"/>
  <c r="DY71" i="4"/>
  <c r="H47" i="4"/>
  <c r="H48" i="4"/>
  <c r="H49" i="4"/>
  <c r="I49" i="4" s="1"/>
  <c r="H50" i="4"/>
  <c r="I50" i="4" s="1"/>
  <c r="H51" i="4"/>
  <c r="H52" i="4"/>
  <c r="I52" i="4" s="1"/>
  <c r="H53" i="4"/>
  <c r="H54" i="4"/>
  <c r="H55" i="4"/>
  <c r="I55" i="4" s="1"/>
  <c r="H56" i="4"/>
  <c r="H57" i="4"/>
  <c r="I57" i="4" s="1"/>
  <c r="H88" i="4"/>
  <c r="I88" i="4" s="1"/>
  <c r="H232" i="4"/>
  <c r="I47" i="4"/>
  <c r="I48" i="4"/>
  <c r="I51" i="4"/>
  <c r="I53" i="4"/>
  <c r="I54" i="4"/>
  <c r="I56" i="4"/>
  <c r="I232" i="4"/>
  <c r="K47" i="4"/>
  <c r="K48" i="4"/>
  <c r="K49" i="4"/>
  <c r="K50" i="4"/>
  <c r="K51" i="4"/>
  <c r="K52" i="4"/>
  <c r="K53" i="4"/>
  <c r="K54" i="4"/>
  <c r="K55" i="4"/>
  <c r="K56" i="4"/>
  <c r="K57" i="4"/>
  <c r="K88" i="4"/>
  <c r="K232" i="4"/>
  <c r="L47" i="4"/>
  <c r="L48" i="4"/>
  <c r="L49" i="4"/>
  <c r="L50" i="4"/>
  <c r="L51" i="4"/>
  <c r="L52" i="4"/>
  <c r="L53" i="4"/>
  <c r="L54" i="4"/>
  <c r="L55" i="4"/>
  <c r="L56" i="4"/>
  <c r="L57" i="4"/>
  <c r="L88" i="4"/>
  <c r="L232" i="4"/>
  <c r="M47" i="4"/>
  <c r="M48" i="4"/>
  <c r="M49" i="4"/>
  <c r="M50" i="4"/>
  <c r="M51" i="4"/>
  <c r="M52" i="4"/>
  <c r="M53" i="4"/>
  <c r="M54" i="4"/>
  <c r="M55" i="4"/>
  <c r="M56" i="4"/>
  <c r="M57" i="4"/>
  <c r="M88" i="4"/>
  <c r="M232" i="4"/>
  <c r="N47" i="4"/>
  <c r="AZ47" i="4" s="1"/>
  <c r="N48" i="4"/>
  <c r="N49" i="4"/>
  <c r="AZ49" i="4" s="1"/>
  <c r="N50" i="4"/>
  <c r="N51" i="4"/>
  <c r="N52" i="4"/>
  <c r="N53" i="4"/>
  <c r="AZ53" i="4" s="1"/>
  <c r="N54" i="4"/>
  <c r="N55" i="4"/>
  <c r="N56" i="4"/>
  <c r="N57" i="4"/>
  <c r="AZ57" i="4" s="1"/>
  <c r="N88" i="4"/>
  <c r="N232" i="4"/>
  <c r="AZ232" i="4" s="1"/>
  <c r="AZ48" i="4"/>
  <c r="AZ50" i="4"/>
  <c r="AZ51" i="4"/>
  <c r="AZ52" i="4"/>
  <c r="AZ54" i="4"/>
  <c r="AZ55" i="4"/>
  <c r="AZ56" i="4"/>
  <c r="AZ88" i="4"/>
  <c r="BB47" i="4"/>
  <c r="BB48" i="4"/>
  <c r="BB49" i="4"/>
  <c r="BC49" i="4" s="1"/>
  <c r="BB50" i="4"/>
  <c r="BB51" i="4"/>
  <c r="BC51" i="4" s="1"/>
  <c r="BB52" i="4"/>
  <c r="BB53" i="4"/>
  <c r="BB54" i="4"/>
  <c r="BB55" i="4"/>
  <c r="BC55" i="4" s="1"/>
  <c r="BB56" i="4"/>
  <c r="BB57" i="4"/>
  <c r="BC57" i="4" s="1"/>
  <c r="BB88" i="4"/>
  <c r="BB232" i="4"/>
  <c r="BC47" i="4"/>
  <c r="BC48" i="4"/>
  <c r="BC50" i="4"/>
  <c r="BC52" i="4"/>
  <c r="BC53" i="4"/>
  <c r="BC54" i="4"/>
  <c r="BC56" i="4"/>
  <c r="BC88" i="4"/>
  <c r="BC232" i="4"/>
  <c r="BG47" i="4"/>
  <c r="BG48" i="4"/>
  <c r="BG49" i="4"/>
  <c r="BH49" i="4" s="1"/>
  <c r="BG50" i="4"/>
  <c r="BG51" i="4"/>
  <c r="BG52" i="4"/>
  <c r="BH52" i="4" s="1"/>
  <c r="BG53" i="4"/>
  <c r="BH53" i="4" s="1"/>
  <c r="BG54" i="4"/>
  <c r="BG55" i="4"/>
  <c r="BH55" i="4" s="1"/>
  <c r="BG56" i="4"/>
  <c r="BG57" i="4"/>
  <c r="BH57" i="4" s="1"/>
  <c r="BG88" i="4"/>
  <c r="BH88" i="4" s="1"/>
  <c r="BG232" i="4"/>
  <c r="BH47" i="4"/>
  <c r="BH48" i="4"/>
  <c r="BH50" i="4"/>
  <c r="BH51" i="4"/>
  <c r="BH54" i="4"/>
  <c r="BH56" i="4"/>
  <c r="BH232" i="4"/>
  <c r="BK47" i="4"/>
  <c r="BK48" i="4"/>
  <c r="BK49" i="4"/>
  <c r="BK50" i="4"/>
  <c r="BK51" i="4"/>
  <c r="BK52" i="4"/>
  <c r="BK53" i="4"/>
  <c r="BK54" i="4"/>
  <c r="BK55" i="4"/>
  <c r="BK56" i="4"/>
  <c r="BK57" i="4"/>
  <c r="BK88" i="4"/>
  <c r="BK232" i="4"/>
  <c r="BM47" i="4"/>
  <c r="BM48" i="4"/>
  <c r="BM49" i="4"/>
  <c r="BM50" i="4"/>
  <c r="BN50" i="4" s="1"/>
  <c r="BM51" i="4"/>
  <c r="BM52" i="4"/>
  <c r="BN52" i="4" s="1"/>
  <c r="BM53" i="4"/>
  <c r="BM54" i="4"/>
  <c r="BN54" i="4" s="1"/>
  <c r="BM55" i="4"/>
  <c r="BM56" i="4"/>
  <c r="BN56" i="4" s="1"/>
  <c r="BM57" i="4"/>
  <c r="BM88" i="4"/>
  <c r="BN88" i="4" s="1"/>
  <c r="BM232" i="4"/>
  <c r="BN47" i="4"/>
  <c r="BN48" i="4"/>
  <c r="BN49" i="4"/>
  <c r="BN51" i="4"/>
  <c r="BN53" i="4"/>
  <c r="BN55" i="4"/>
  <c r="BN57" i="4"/>
  <c r="BN232" i="4"/>
  <c r="BP47" i="4"/>
  <c r="BQ47" i="4" s="1"/>
  <c r="BP48" i="4"/>
  <c r="BQ48" i="4" s="1"/>
  <c r="BP49" i="4"/>
  <c r="BP50" i="4"/>
  <c r="BQ50" i="4" s="1"/>
  <c r="BP51" i="4"/>
  <c r="BP52" i="4"/>
  <c r="BP53" i="4"/>
  <c r="BQ53" i="4" s="1"/>
  <c r="BP54" i="4"/>
  <c r="BP55" i="4"/>
  <c r="BQ55" i="4" s="1"/>
  <c r="BP56" i="4"/>
  <c r="BQ56" i="4" s="1"/>
  <c r="BP57" i="4"/>
  <c r="BP88" i="4"/>
  <c r="BP232" i="4"/>
  <c r="BQ232" i="4" s="1"/>
  <c r="BQ49" i="4"/>
  <c r="BQ51" i="4"/>
  <c r="BQ52" i="4"/>
  <c r="BQ54" i="4"/>
  <c r="BQ57" i="4"/>
  <c r="BQ88" i="4"/>
  <c r="BS47" i="4"/>
  <c r="BS48" i="4"/>
  <c r="BT48" i="4" s="1"/>
  <c r="BS49" i="4"/>
  <c r="BS50" i="4"/>
  <c r="BS51" i="4"/>
  <c r="BS52" i="4"/>
  <c r="BS53" i="4"/>
  <c r="BS54" i="4"/>
  <c r="BT54" i="4" s="1"/>
  <c r="BS55" i="4"/>
  <c r="BS56" i="4"/>
  <c r="BS57" i="4"/>
  <c r="BS88" i="4"/>
  <c r="BT88" i="4" s="1"/>
  <c r="BS232" i="4"/>
  <c r="BT47" i="4"/>
  <c r="BT49" i="4"/>
  <c r="BT50" i="4"/>
  <c r="BT51" i="4"/>
  <c r="BT52" i="4"/>
  <c r="BT53" i="4"/>
  <c r="BT55" i="4"/>
  <c r="BT56" i="4"/>
  <c r="BT57" i="4"/>
  <c r="BT232" i="4"/>
  <c r="BW47" i="4"/>
  <c r="BW48" i="4"/>
  <c r="BW49" i="4"/>
  <c r="BX49" i="4" s="1"/>
  <c r="BW50" i="4"/>
  <c r="BW51" i="4"/>
  <c r="BW52" i="4"/>
  <c r="BX52" i="4" s="1"/>
  <c r="BW53" i="4"/>
  <c r="BW54" i="4"/>
  <c r="BW55" i="4"/>
  <c r="BW56" i="4"/>
  <c r="BX56" i="4" s="1"/>
  <c r="BW57" i="4"/>
  <c r="BW88" i="4"/>
  <c r="BX88" i="4" s="1"/>
  <c r="BW232" i="4"/>
  <c r="BX47" i="4"/>
  <c r="BX48" i="4"/>
  <c r="BX50" i="4"/>
  <c r="BX51" i="4"/>
  <c r="BX53" i="4"/>
  <c r="BX54" i="4"/>
  <c r="BX55" i="4"/>
  <c r="BX57" i="4"/>
  <c r="BX232" i="4"/>
  <c r="BZ47" i="4"/>
  <c r="BZ48" i="4"/>
  <c r="CA48" i="4" s="1"/>
  <c r="BZ49" i="4"/>
  <c r="BZ50" i="4"/>
  <c r="CA50" i="4" s="1"/>
  <c r="BZ51" i="4"/>
  <c r="BZ52" i="4"/>
  <c r="BZ53" i="4"/>
  <c r="BZ54" i="4"/>
  <c r="CA54" i="4" s="1"/>
  <c r="BZ55" i="4"/>
  <c r="BZ56" i="4"/>
  <c r="CA56" i="4" s="1"/>
  <c r="BZ57" i="4"/>
  <c r="BZ88" i="4"/>
  <c r="BZ232" i="4"/>
  <c r="CA47" i="4"/>
  <c r="CA49" i="4"/>
  <c r="CA51" i="4"/>
  <c r="CA52" i="4"/>
  <c r="CA53" i="4"/>
  <c r="CA55" i="4"/>
  <c r="CA57" i="4"/>
  <c r="CA88" i="4"/>
  <c r="CA232" i="4"/>
  <c r="CC47" i="4"/>
  <c r="CD47" i="4" s="1"/>
  <c r="CC48" i="4"/>
  <c r="CD48" i="4" s="1"/>
  <c r="CC49" i="4"/>
  <c r="CC50" i="4"/>
  <c r="CC51" i="4"/>
  <c r="CC52" i="4"/>
  <c r="CC53" i="4"/>
  <c r="CC54" i="4"/>
  <c r="CD54" i="4" s="1"/>
  <c r="CC55" i="4"/>
  <c r="CC56" i="4"/>
  <c r="CC57" i="4"/>
  <c r="CD57" i="4" s="1"/>
  <c r="CC88" i="4"/>
  <c r="CC232" i="4"/>
  <c r="CD232" i="4" s="1"/>
  <c r="CD49" i="4"/>
  <c r="CD50" i="4"/>
  <c r="CD51" i="4"/>
  <c r="CD52" i="4"/>
  <c r="CD53" i="4"/>
  <c r="CD55" i="4"/>
  <c r="CD56" i="4"/>
  <c r="CD88" i="4"/>
  <c r="CG47" i="4"/>
  <c r="CG48" i="4"/>
  <c r="CG49" i="4"/>
  <c r="CG50" i="4"/>
  <c r="CG51" i="4"/>
  <c r="CG52" i="4"/>
  <c r="CG53" i="4"/>
  <c r="CG54" i="4"/>
  <c r="CG55" i="4"/>
  <c r="CG56" i="4"/>
  <c r="CG57" i="4"/>
  <c r="CG88" i="4"/>
  <c r="CG232" i="4"/>
  <c r="CK47" i="4"/>
  <c r="CK48" i="4"/>
  <c r="CK49" i="4"/>
  <c r="CK50" i="4"/>
  <c r="CK51" i="4"/>
  <c r="CK52" i="4"/>
  <c r="CK53" i="4"/>
  <c r="CK54" i="4"/>
  <c r="CK55" i="4"/>
  <c r="CK56" i="4"/>
  <c r="CK57" i="4"/>
  <c r="CK88" i="4"/>
  <c r="CK232" i="4"/>
  <c r="CN47" i="4"/>
  <c r="CN48" i="4"/>
  <c r="CN49" i="4"/>
  <c r="CN50" i="4"/>
  <c r="CN51" i="4"/>
  <c r="CN52" i="4"/>
  <c r="CN53" i="4"/>
  <c r="CN54" i="4"/>
  <c r="CN55" i="4"/>
  <c r="CN56" i="4"/>
  <c r="CN57" i="4"/>
  <c r="CN88" i="4"/>
  <c r="CN232" i="4"/>
  <c r="CR47" i="4"/>
  <c r="CR48" i="4"/>
  <c r="CR49" i="4"/>
  <c r="CR50" i="4"/>
  <c r="CR51" i="4"/>
  <c r="CR52" i="4"/>
  <c r="CR53" i="4"/>
  <c r="CR54" i="4"/>
  <c r="CR55" i="4"/>
  <c r="CR56" i="4"/>
  <c r="CR57" i="4"/>
  <c r="CR88" i="4"/>
  <c r="CR232" i="4"/>
  <c r="CS47" i="4"/>
  <c r="CT47" i="4" s="1"/>
  <c r="CU47" i="4" s="1"/>
  <c r="CS48" i="4"/>
  <c r="CT48" i="4" s="1"/>
  <c r="CS49" i="4"/>
  <c r="CT49" i="4" s="1"/>
  <c r="CS50" i="4"/>
  <c r="CT50" i="4" s="1"/>
  <c r="CS51" i="4"/>
  <c r="CT51" i="4" s="1"/>
  <c r="CS52" i="4"/>
  <c r="CT52" i="4" s="1"/>
  <c r="CS53" i="4"/>
  <c r="CT53" i="4" s="1"/>
  <c r="CU53" i="4" s="1"/>
  <c r="CS54" i="4"/>
  <c r="CT54" i="4" s="1"/>
  <c r="CU54" i="4" s="1"/>
  <c r="CS55" i="4"/>
  <c r="CT55" i="4" s="1"/>
  <c r="CS56" i="4"/>
  <c r="CT56" i="4" s="1"/>
  <c r="CS57" i="4"/>
  <c r="CT57" i="4" s="1"/>
  <c r="CS88" i="4"/>
  <c r="CT88" i="4" s="1"/>
  <c r="CS232" i="4"/>
  <c r="CT232" i="4" s="1"/>
  <c r="CU48" i="4"/>
  <c r="CU49" i="4"/>
  <c r="CU50" i="4"/>
  <c r="CU51" i="4"/>
  <c r="CU52" i="4"/>
  <c r="CU55" i="4"/>
  <c r="CU56" i="4"/>
  <c r="CU57" i="4"/>
  <c r="CU88" i="4"/>
  <c r="CU232" i="4"/>
  <c r="CX47" i="4"/>
  <c r="CX48" i="4"/>
  <c r="CY48" i="4" s="1"/>
  <c r="CX49" i="4"/>
  <c r="CX50" i="4"/>
  <c r="CY50" i="4" s="1"/>
  <c r="CX51" i="4"/>
  <c r="CY51" i="4" s="1"/>
  <c r="CX52" i="4"/>
  <c r="CY52" i="4" s="1"/>
  <c r="CX53" i="4"/>
  <c r="CX54" i="4"/>
  <c r="CY54" i="4" s="1"/>
  <c r="CX55" i="4"/>
  <c r="CY55" i="4" s="1"/>
  <c r="CX56" i="4"/>
  <c r="CX57" i="4"/>
  <c r="CY57" i="4" s="1"/>
  <c r="CX88" i="4"/>
  <c r="CY88" i="4" s="1"/>
  <c r="CX232" i="4"/>
  <c r="CY47" i="4"/>
  <c r="CY49" i="4"/>
  <c r="CY53" i="4"/>
  <c r="CY56" i="4"/>
  <c r="CY232" i="4"/>
  <c r="CZ47" i="4"/>
  <c r="CZ48" i="4"/>
  <c r="DB48" i="4" s="1"/>
  <c r="CZ49" i="4"/>
  <c r="CZ50" i="4"/>
  <c r="DB50" i="4" s="1"/>
  <c r="CZ51" i="4"/>
  <c r="CZ52" i="4"/>
  <c r="CZ53" i="4"/>
  <c r="CZ54" i="4"/>
  <c r="CZ55" i="4"/>
  <c r="DB55" i="4" s="1"/>
  <c r="CZ56" i="4"/>
  <c r="CZ57" i="4"/>
  <c r="CZ88" i="4"/>
  <c r="CZ232" i="4"/>
  <c r="DB47" i="4"/>
  <c r="DB49" i="4"/>
  <c r="DB51" i="4"/>
  <c r="DB52" i="4"/>
  <c r="DB53" i="4"/>
  <c r="DB54" i="4"/>
  <c r="DB56" i="4"/>
  <c r="DB57" i="4"/>
  <c r="DB88" i="4"/>
  <c r="DB232" i="4"/>
  <c r="DD47" i="4"/>
  <c r="DE47" i="4" s="1"/>
  <c r="DD48" i="4"/>
  <c r="DD49" i="4"/>
  <c r="DE49" i="4" s="1"/>
  <c r="DD50" i="4"/>
  <c r="DD51" i="4"/>
  <c r="DD52" i="4"/>
  <c r="DD53" i="4"/>
  <c r="DE53" i="4" s="1"/>
  <c r="DD54" i="4"/>
  <c r="DD55" i="4"/>
  <c r="DD56" i="4"/>
  <c r="DD57" i="4"/>
  <c r="DD88" i="4"/>
  <c r="DD232" i="4"/>
  <c r="DE48" i="4"/>
  <c r="DE50" i="4"/>
  <c r="DE51" i="4"/>
  <c r="DE52" i="4"/>
  <c r="DE54" i="4"/>
  <c r="DE55" i="4"/>
  <c r="DE56" i="4"/>
  <c r="DE57" i="4"/>
  <c r="DE88" i="4"/>
  <c r="DE232" i="4"/>
  <c r="DG47" i="4"/>
  <c r="DG48" i="4"/>
  <c r="DH48" i="4" s="1"/>
  <c r="DG49" i="4"/>
  <c r="DG50" i="4"/>
  <c r="DG51" i="4"/>
  <c r="DH51" i="4" s="1"/>
  <c r="DG52" i="4"/>
  <c r="DG53" i="4"/>
  <c r="DG54" i="4"/>
  <c r="DH54" i="4" s="1"/>
  <c r="DG55" i="4"/>
  <c r="DG56" i="4"/>
  <c r="DG57" i="4"/>
  <c r="DG88" i="4"/>
  <c r="DG232" i="4"/>
  <c r="DH47" i="4"/>
  <c r="DH49" i="4"/>
  <c r="DH50" i="4"/>
  <c r="DH52" i="4"/>
  <c r="DH53" i="4"/>
  <c r="DH55" i="4"/>
  <c r="DH56" i="4"/>
  <c r="DH57" i="4"/>
  <c r="DH88" i="4"/>
  <c r="DH232" i="4"/>
  <c r="DN47" i="4"/>
  <c r="DO47" i="4" s="1"/>
  <c r="DN48" i="4"/>
  <c r="DR48" i="4" s="1"/>
  <c r="DN49" i="4"/>
  <c r="DO49" i="4" s="1"/>
  <c r="DN50" i="4"/>
  <c r="DN51" i="4"/>
  <c r="DN52" i="4"/>
  <c r="DN53" i="4"/>
  <c r="DR53" i="4" s="1"/>
  <c r="DS53" i="4" s="1"/>
  <c r="DN54" i="4"/>
  <c r="DN55" i="4"/>
  <c r="DN56" i="4"/>
  <c r="DN57" i="4"/>
  <c r="DN88" i="4"/>
  <c r="DN232" i="4"/>
  <c r="DO48" i="4"/>
  <c r="DO50" i="4"/>
  <c r="DO51" i="4"/>
  <c r="DO52" i="4"/>
  <c r="DO54" i="4"/>
  <c r="DO55" i="4"/>
  <c r="DO56" i="4"/>
  <c r="DO57" i="4"/>
  <c r="DO88" i="4"/>
  <c r="DO232" i="4"/>
  <c r="DR49" i="4"/>
  <c r="DR50" i="4"/>
  <c r="DR51" i="4"/>
  <c r="DR52" i="4"/>
  <c r="DR54" i="4"/>
  <c r="DR55" i="4"/>
  <c r="DR56" i="4"/>
  <c r="DR57" i="4"/>
  <c r="DR88" i="4"/>
  <c r="DR232" i="4"/>
  <c r="DS232" i="4" s="1"/>
  <c r="DS48" i="4"/>
  <c r="DS49" i="4"/>
  <c r="DS50" i="4"/>
  <c r="DS51" i="4"/>
  <c r="DS52" i="4"/>
  <c r="DS54" i="4"/>
  <c r="DS55" i="4"/>
  <c r="DS56" i="4"/>
  <c r="DS57" i="4"/>
  <c r="DS88" i="4"/>
  <c r="DT47" i="4"/>
  <c r="DX47" i="4" s="1"/>
  <c r="DT48" i="4"/>
  <c r="DT49" i="4"/>
  <c r="DT50" i="4"/>
  <c r="DT51" i="4"/>
  <c r="DT52" i="4"/>
  <c r="DT53" i="4"/>
  <c r="DX53" i="4" s="1"/>
  <c r="DT54" i="4"/>
  <c r="DT55" i="4"/>
  <c r="DX55" i="4" s="1"/>
  <c r="DT56" i="4"/>
  <c r="DT57" i="4"/>
  <c r="DX57" i="4" s="1"/>
  <c r="DT88" i="4"/>
  <c r="DT232" i="4"/>
  <c r="DX48" i="4"/>
  <c r="DX49" i="4"/>
  <c r="DX50" i="4"/>
  <c r="DX51" i="4"/>
  <c r="DX52" i="4"/>
  <c r="DX54" i="4"/>
  <c r="DX56" i="4"/>
  <c r="DX88" i="4"/>
  <c r="DX232" i="4"/>
  <c r="DY48" i="4"/>
  <c r="DY49" i="4"/>
  <c r="DY50" i="4"/>
  <c r="DY51" i="4"/>
  <c r="DY54" i="4"/>
  <c r="DY57" i="4"/>
  <c r="DY88" i="4"/>
  <c r="DY232" i="4"/>
  <c r="H44" i="4"/>
  <c r="I44" i="4" s="1"/>
  <c r="H45" i="4"/>
  <c r="I45" i="4" s="1"/>
  <c r="H46" i="4"/>
  <c r="H233" i="4"/>
  <c r="I233" i="4" s="1"/>
  <c r="H234" i="4"/>
  <c r="H235" i="4"/>
  <c r="I235" i="4" s="1"/>
  <c r="H236" i="4"/>
  <c r="H298" i="4"/>
  <c r="I46" i="4"/>
  <c r="I234" i="4"/>
  <c r="I236" i="4"/>
  <c r="I298" i="4"/>
  <c r="K44" i="4"/>
  <c r="K45" i="4"/>
  <c r="K46" i="4"/>
  <c r="K233" i="4"/>
  <c r="K234" i="4"/>
  <c r="K235" i="4"/>
  <c r="K236" i="4"/>
  <c r="K298" i="4"/>
  <c r="L44" i="4"/>
  <c r="L45" i="4"/>
  <c r="L46" i="4"/>
  <c r="L233" i="4"/>
  <c r="L234" i="4"/>
  <c r="L235" i="4"/>
  <c r="L236" i="4"/>
  <c r="L298" i="4"/>
  <c r="M44" i="4"/>
  <c r="M45" i="4"/>
  <c r="M46" i="4"/>
  <c r="M233" i="4"/>
  <c r="M234" i="4"/>
  <c r="M235" i="4"/>
  <c r="M236" i="4"/>
  <c r="M298" i="4"/>
  <c r="N44" i="4"/>
  <c r="N45" i="4"/>
  <c r="AZ45" i="4" s="1"/>
  <c r="N46" i="4"/>
  <c r="AZ46" i="4" s="1"/>
  <c r="N233" i="4"/>
  <c r="N234" i="4"/>
  <c r="N235" i="4"/>
  <c r="N236" i="4"/>
  <c r="N298" i="4"/>
  <c r="AZ298" i="4" s="1"/>
  <c r="AZ44" i="4"/>
  <c r="AZ233" i="4"/>
  <c r="AZ234" i="4"/>
  <c r="AZ235" i="4"/>
  <c r="AZ236" i="4"/>
  <c r="BB44" i="4"/>
  <c r="BB45" i="4"/>
  <c r="BB46" i="4"/>
  <c r="BB233" i="4"/>
  <c r="BC233" i="4" s="1"/>
  <c r="BB234" i="4"/>
  <c r="BC234" i="4" s="1"/>
  <c r="BB235" i="4"/>
  <c r="BB236" i="4"/>
  <c r="BC236" i="4" s="1"/>
  <c r="BB298" i="4"/>
  <c r="BC44" i="4"/>
  <c r="BC45" i="4"/>
  <c r="BC46" i="4"/>
  <c r="BC235" i="4"/>
  <c r="BC298" i="4"/>
  <c r="BG44" i="4"/>
  <c r="BH44" i="4" s="1"/>
  <c r="BG45" i="4"/>
  <c r="BH45" i="4" s="1"/>
  <c r="BG46" i="4"/>
  <c r="BG233" i="4"/>
  <c r="BH233" i="4" s="1"/>
  <c r="BG234" i="4"/>
  <c r="BG235" i="4"/>
  <c r="BH235" i="4" s="1"/>
  <c r="BG236" i="4"/>
  <c r="BG298" i="4"/>
  <c r="BH298" i="4" s="1"/>
  <c r="BH46" i="4"/>
  <c r="BH234" i="4"/>
  <c r="BH236" i="4"/>
  <c r="BK44" i="4"/>
  <c r="BK45" i="4"/>
  <c r="BK46" i="4"/>
  <c r="BK233" i="4"/>
  <c r="BK234" i="4"/>
  <c r="BK235" i="4"/>
  <c r="BK236" i="4"/>
  <c r="BK298" i="4"/>
  <c r="BM44" i="4"/>
  <c r="BN44" i="4" s="1"/>
  <c r="BM45" i="4"/>
  <c r="BM46" i="4"/>
  <c r="BN46" i="4" s="1"/>
  <c r="BM233" i="4"/>
  <c r="BM234" i="4"/>
  <c r="BN234" i="4" s="1"/>
  <c r="BM235" i="4"/>
  <c r="BM236" i="4"/>
  <c r="BN236" i="4" s="1"/>
  <c r="BM298" i="4"/>
  <c r="BN45" i="4"/>
  <c r="BN233" i="4"/>
  <c r="BN235" i="4"/>
  <c r="BN298" i="4"/>
  <c r="BP44" i="4"/>
  <c r="BQ44" i="4" s="1"/>
  <c r="BP45" i="4"/>
  <c r="BP46" i="4"/>
  <c r="BQ46" i="4" s="1"/>
  <c r="BP233" i="4"/>
  <c r="BP234" i="4"/>
  <c r="BP235" i="4"/>
  <c r="BQ235" i="4" s="1"/>
  <c r="BP236" i="4"/>
  <c r="BP298" i="4"/>
  <c r="BQ45" i="4"/>
  <c r="BQ233" i="4"/>
  <c r="BQ234" i="4"/>
  <c r="BQ236" i="4"/>
  <c r="BQ298" i="4"/>
  <c r="BS44" i="4"/>
  <c r="BS45" i="4"/>
  <c r="BT45" i="4" s="1"/>
  <c r="BS46" i="4"/>
  <c r="BS233" i="4"/>
  <c r="BS234" i="4"/>
  <c r="BT234" i="4" s="1"/>
  <c r="BS235" i="4"/>
  <c r="BT235" i="4" s="1"/>
  <c r="BS236" i="4"/>
  <c r="BS298" i="4"/>
  <c r="BT298" i="4" s="1"/>
  <c r="BT44" i="4"/>
  <c r="BT46" i="4"/>
  <c r="BT233" i="4"/>
  <c r="BT236" i="4"/>
  <c r="BW44" i="4"/>
  <c r="BX44" i="4" s="1"/>
  <c r="BW45" i="4"/>
  <c r="BW46" i="4"/>
  <c r="BX46" i="4" s="1"/>
  <c r="BW233" i="4"/>
  <c r="BW234" i="4"/>
  <c r="BX234" i="4" s="1"/>
  <c r="BW235" i="4"/>
  <c r="BW236" i="4"/>
  <c r="BX236" i="4" s="1"/>
  <c r="BW298" i="4"/>
  <c r="BX45" i="4"/>
  <c r="BX233" i="4"/>
  <c r="BX235" i="4"/>
  <c r="BX298" i="4"/>
  <c r="BZ44" i="4"/>
  <c r="CA44" i="4" s="1"/>
  <c r="BZ45" i="4"/>
  <c r="CA45" i="4" s="1"/>
  <c r="BZ46" i="4"/>
  <c r="CA46" i="4" s="1"/>
  <c r="BZ233" i="4"/>
  <c r="BZ234" i="4"/>
  <c r="BZ235" i="4"/>
  <c r="BZ236" i="4"/>
  <c r="CA236" i="4" s="1"/>
  <c r="BZ298" i="4"/>
  <c r="CA298" i="4" s="1"/>
  <c r="CA233" i="4"/>
  <c r="CA234" i="4"/>
  <c r="CA235" i="4"/>
  <c r="CC44" i="4"/>
  <c r="CC45" i="4"/>
  <c r="CD45" i="4" s="1"/>
  <c r="CC46" i="4"/>
  <c r="CC233" i="4"/>
  <c r="CD233" i="4" s="1"/>
  <c r="CC234" i="4"/>
  <c r="CC235" i="4"/>
  <c r="CC236" i="4"/>
  <c r="CD44" i="4"/>
  <c r="CD46" i="4"/>
  <c r="CD234" i="4"/>
  <c r="CD235" i="4"/>
  <c r="CD236" i="4"/>
  <c r="CD298" i="4"/>
  <c r="CG44" i="4"/>
  <c r="CG45" i="4"/>
  <c r="CG46" i="4"/>
  <c r="CG233" i="4"/>
  <c r="CG234" i="4"/>
  <c r="CG235" i="4"/>
  <c r="CG236" i="4"/>
  <c r="CG298" i="4"/>
  <c r="CK44" i="4"/>
  <c r="CK45" i="4"/>
  <c r="CK46" i="4"/>
  <c r="CK233" i="4"/>
  <c r="CK234" i="4"/>
  <c r="CK235" i="4"/>
  <c r="CK236" i="4"/>
  <c r="CK298" i="4"/>
  <c r="CN44" i="4"/>
  <c r="CN45" i="4"/>
  <c r="CN46" i="4"/>
  <c r="CN233" i="4"/>
  <c r="CN234" i="4"/>
  <c r="CN235" i="4"/>
  <c r="CN236" i="4"/>
  <c r="CN298" i="4"/>
  <c r="CR44" i="4"/>
  <c r="CR45" i="4"/>
  <c r="CR46" i="4"/>
  <c r="CR233" i="4"/>
  <c r="CR234" i="4"/>
  <c r="CR235" i="4"/>
  <c r="CR236" i="4"/>
  <c r="CR298" i="4"/>
  <c r="CS44" i="4"/>
  <c r="CT44" i="4" s="1"/>
  <c r="CS45" i="4"/>
  <c r="CT45" i="4" s="1"/>
  <c r="CU45" i="4" s="1"/>
  <c r="CS46" i="4"/>
  <c r="CT46" i="4" s="1"/>
  <c r="CS233" i="4"/>
  <c r="CT233" i="4" s="1"/>
  <c r="CU233" i="4" s="1"/>
  <c r="CS234" i="4"/>
  <c r="CT234" i="4" s="1"/>
  <c r="CU234" i="4" s="1"/>
  <c r="CS235" i="4"/>
  <c r="CT235" i="4" s="1"/>
  <c r="CS236" i="4"/>
  <c r="CT236" i="4" s="1"/>
  <c r="CS298" i="4"/>
  <c r="CT298" i="4" s="1"/>
  <c r="CU44" i="4"/>
  <c r="CU46" i="4"/>
  <c r="CU235" i="4"/>
  <c r="CU236" i="4"/>
  <c r="CU298" i="4"/>
  <c r="CX44" i="4"/>
  <c r="CY44" i="4" s="1"/>
  <c r="CX45" i="4"/>
  <c r="CY45" i="4" s="1"/>
  <c r="CX46" i="4"/>
  <c r="CX233" i="4"/>
  <c r="CX234" i="4"/>
  <c r="CY234" i="4" s="1"/>
  <c r="CX235" i="4"/>
  <c r="CX236" i="4"/>
  <c r="CY236" i="4" s="1"/>
  <c r="CX298" i="4"/>
  <c r="CY46" i="4"/>
  <c r="CY233" i="4"/>
  <c r="CY235" i="4"/>
  <c r="CY298" i="4"/>
  <c r="CZ44" i="4"/>
  <c r="CZ45" i="4"/>
  <c r="CZ46" i="4"/>
  <c r="CZ233" i="4"/>
  <c r="CZ234" i="4"/>
  <c r="DB234" i="4" s="1"/>
  <c r="CZ235" i="4"/>
  <c r="DB235" i="4" s="1"/>
  <c r="CZ236" i="4"/>
  <c r="DB236" i="4" s="1"/>
  <c r="CZ298" i="4"/>
  <c r="DB44" i="4"/>
  <c r="DB45" i="4"/>
  <c r="DB46" i="4"/>
  <c r="DB233" i="4"/>
  <c r="DB298" i="4"/>
  <c r="DD44" i="4"/>
  <c r="DE44" i="4" s="1"/>
  <c r="DD45" i="4"/>
  <c r="DE45" i="4" s="1"/>
  <c r="DD46" i="4"/>
  <c r="DE46" i="4" s="1"/>
  <c r="DD233" i="4"/>
  <c r="DD234" i="4"/>
  <c r="DE234" i="4" s="1"/>
  <c r="DD235" i="4"/>
  <c r="DD236" i="4"/>
  <c r="DE236" i="4" s="1"/>
  <c r="DD298" i="4"/>
  <c r="DE298" i="4" s="1"/>
  <c r="DE233" i="4"/>
  <c r="DE235" i="4"/>
  <c r="DG44" i="4"/>
  <c r="DH44" i="4" s="1"/>
  <c r="DG45" i="4"/>
  <c r="DG46" i="4"/>
  <c r="DH46" i="4" s="1"/>
  <c r="DG233" i="4"/>
  <c r="DH233" i="4" s="1"/>
  <c r="DG234" i="4"/>
  <c r="DG235" i="4"/>
  <c r="DG236" i="4"/>
  <c r="DG298" i="4"/>
  <c r="DH45" i="4"/>
  <c r="DH234" i="4"/>
  <c r="DH235" i="4"/>
  <c r="DH236" i="4"/>
  <c r="DH298" i="4"/>
  <c r="DN44" i="4"/>
  <c r="DN45" i="4"/>
  <c r="DN46" i="4"/>
  <c r="DN233" i="4"/>
  <c r="DR233" i="4" s="1"/>
  <c r="DS233" i="4" s="1"/>
  <c r="DN234" i="4"/>
  <c r="DO234" i="4" s="1"/>
  <c r="DN235" i="4"/>
  <c r="DO235" i="4" s="1"/>
  <c r="DN236" i="4"/>
  <c r="DO236" i="4" s="1"/>
  <c r="DN298" i="4"/>
  <c r="DO44" i="4"/>
  <c r="DO45" i="4"/>
  <c r="DO46" i="4"/>
  <c r="DO233" i="4"/>
  <c r="DO298" i="4"/>
  <c r="DR44" i="4"/>
  <c r="DS44" i="4" s="1"/>
  <c r="DR45" i="4"/>
  <c r="DS45" i="4" s="1"/>
  <c r="DR46" i="4"/>
  <c r="DS46" i="4" s="1"/>
  <c r="DR234" i="4"/>
  <c r="DS234" i="4" s="1"/>
  <c r="DR236" i="4"/>
  <c r="DS236" i="4" s="1"/>
  <c r="DR298" i="4"/>
  <c r="DS298" i="4" s="1"/>
  <c r="DT44" i="4"/>
  <c r="DX44" i="4" s="1"/>
  <c r="DT45" i="4"/>
  <c r="DT46" i="4"/>
  <c r="DX46" i="4" s="1"/>
  <c r="DT233" i="4"/>
  <c r="DX233" i="4" s="1"/>
  <c r="DT234" i="4"/>
  <c r="DT235" i="4"/>
  <c r="DT236" i="4"/>
  <c r="DT298" i="4"/>
  <c r="DX45" i="4"/>
  <c r="DX234" i="4"/>
  <c r="DX235" i="4"/>
  <c r="DX236" i="4"/>
  <c r="DX298" i="4"/>
  <c r="DY235" i="4"/>
  <c r="H299" i="4"/>
  <c r="H300" i="4"/>
  <c r="I299" i="4"/>
  <c r="I300" i="4"/>
  <c r="K299" i="4"/>
  <c r="K300" i="4"/>
  <c r="L299" i="4"/>
  <c r="L300" i="4"/>
  <c r="M299" i="4"/>
  <c r="M300" i="4"/>
  <c r="N299" i="4"/>
  <c r="N300" i="4"/>
  <c r="AZ299" i="4"/>
  <c r="AZ300" i="4"/>
  <c r="BB299" i="4"/>
  <c r="BC299" i="4" s="1"/>
  <c r="BB300" i="4"/>
  <c r="BC300" i="4" s="1"/>
  <c r="BG299" i="4"/>
  <c r="BG300" i="4"/>
  <c r="BH299" i="4"/>
  <c r="BH300" i="4"/>
  <c r="BK299" i="4"/>
  <c r="BK300" i="4"/>
  <c r="BM299" i="4"/>
  <c r="BM300" i="4"/>
  <c r="BN299" i="4"/>
  <c r="BN300" i="4"/>
  <c r="BP299" i="4"/>
  <c r="BQ299" i="4" s="1"/>
  <c r="BP300" i="4"/>
  <c r="BQ300" i="4"/>
  <c r="BS299" i="4"/>
  <c r="BT299" i="4" s="1"/>
  <c r="BS300" i="4"/>
  <c r="BT300" i="4" s="1"/>
  <c r="BW299" i="4"/>
  <c r="BW300" i="4"/>
  <c r="BX299" i="4"/>
  <c r="BX300" i="4"/>
  <c r="BZ299" i="4"/>
  <c r="CA299" i="4" s="1"/>
  <c r="BZ300" i="4"/>
  <c r="CA300" i="4"/>
  <c r="CC299" i="4"/>
  <c r="CD299" i="4" s="1"/>
  <c r="CC300" i="4"/>
  <c r="CD300" i="4" s="1"/>
  <c r="CG299" i="4"/>
  <c r="CG300" i="4"/>
  <c r="CK299" i="4"/>
  <c r="CK300" i="4"/>
  <c r="CN299" i="4"/>
  <c r="CN300" i="4"/>
  <c r="CR299" i="4"/>
  <c r="CR300" i="4"/>
  <c r="CS299" i="4"/>
  <c r="CT299" i="4" s="1"/>
  <c r="CU299" i="4" s="1"/>
  <c r="CS300" i="4"/>
  <c r="CT300" i="4" s="1"/>
  <c r="CU300" i="4" s="1"/>
  <c r="CX299" i="4"/>
  <c r="CX300" i="4"/>
  <c r="CY300" i="4" s="1"/>
  <c r="CY299" i="4"/>
  <c r="CZ299" i="4"/>
  <c r="DB299" i="4" s="1"/>
  <c r="CZ300" i="4"/>
  <c r="DB300" i="4" s="1"/>
  <c r="DD299" i="4"/>
  <c r="DD300" i="4"/>
  <c r="DE300" i="4" s="1"/>
  <c r="DE299" i="4"/>
  <c r="DG299" i="4"/>
  <c r="DG300" i="4"/>
  <c r="DH299" i="4"/>
  <c r="DH300" i="4"/>
  <c r="DN299" i="4"/>
  <c r="DO299" i="4" s="1"/>
  <c r="DN300" i="4"/>
  <c r="DO300" i="4" s="1"/>
  <c r="DR300" i="4"/>
  <c r="DS300" i="4" s="1"/>
  <c r="DT299" i="4"/>
  <c r="DT300" i="4"/>
  <c r="DX299" i="4"/>
  <c r="DX300" i="4"/>
  <c r="DY299" i="4"/>
  <c r="CZ6" i="4"/>
  <c r="AU7" i="4"/>
  <c r="D303" i="4"/>
  <c r="AX7" i="4"/>
  <c r="AR7" i="4"/>
  <c r="AO7" i="4"/>
  <c r="AL7" i="4"/>
  <c r="AI7" i="4"/>
  <c r="AF7" i="4"/>
  <c r="AC7" i="4"/>
  <c r="Z7" i="4"/>
  <c r="W7" i="4"/>
  <c r="T7" i="4"/>
  <c r="Q7" i="4"/>
  <c r="H36" i="4"/>
  <c r="I36" i="4" s="1"/>
  <c r="H37" i="4"/>
  <c r="H38" i="4"/>
  <c r="H39" i="4"/>
  <c r="H40" i="4"/>
  <c r="H41" i="4"/>
  <c r="I41" i="4" s="1"/>
  <c r="I37" i="4"/>
  <c r="I38" i="4"/>
  <c r="I39" i="4"/>
  <c r="I40" i="4"/>
  <c r="K36" i="4"/>
  <c r="K37" i="4"/>
  <c r="K38" i="4"/>
  <c r="K39" i="4"/>
  <c r="K40" i="4"/>
  <c r="K41" i="4"/>
  <c r="L36" i="4"/>
  <c r="L37" i="4"/>
  <c r="L38" i="4"/>
  <c r="L39" i="4"/>
  <c r="L40" i="4"/>
  <c r="L41" i="4"/>
  <c r="M36" i="4"/>
  <c r="M37" i="4"/>
  <c r="M38" i="4"/>
  <c r="M39" i="4"/>
  <c r="M40" i="4"/>
  <c r="M41" i="4"/>
  <c r="N36" i="4"/>
  <c r="N37" i="4"/>
  <c r="AZ37" i="4" s="1"/>
  <c r="N38" i="4"/>
  <c r="AZ38" i="4" s="1"/>
  <c r="N39" i="4"/>
  <c r="AZ39" i="4" s="1"/>
  <c r="N40" i="4"/>
  <c r="AZ40" i="4" s="1"/>
  <c r="N41" i="4"/>
  <c r="AZ36" i="4"/>
  <c r="AZ41" i="4"/>
  <c r="BB36" i="4"/>
  <c r="BB37" i="4"/>
  <c r="BC37" i="4" s="1"/>
  <c r="BB38" i="4"/>
  <c r="BC38" i="4" s="1"/>
  <c r="BB39" i="4"/>
  <c r="BC39" i="4" s="1"/>
  <c r="BB40" i="4"/>
  <c r="BC40" i="4" s="1"/>
  <c r="BB41" i="4"/>
  <c r="BC36" i="4"/>
  <c r="BC41" i="4"/>
  <c r="BG36" i="4"/>
  <c r="BG37" i="4"/>
  <c r="BH37" i="4" s="1"/>
  <c r="BG38" i="4"/>
  <c r="BH38" i="4" s="1"/>
  <c r="BG39" i="4"/>
  <c r="BH39" i="4" s="1"/>
  <c r="BG40" i="4"/>
  <c r="BH40" i="4" s="1"/>
  <c r="BG41" i="4"/>
  <c r="BH36" i="4"/>
  <c r="BH41" i="4"/>
  <c r="BK36" i="4"/>
  <c r="BK37" i="4"/>
  <c r="BK38" i="4"/>
  <c r="BK39" i="4"/>
  <c r="BK40" i="4"/>
  <c r="BK41" i="4"/>
  <c r="BM36" i="4"/>
  <c r="BN36" i="4" s="1"/>
  <c r="BM37" i="4"/>
  <c r="BM38" i="4"/>
  <c r="BM39" i="4"/>
  <c r="BM40" i="4"/>
  <c r="BM41" i="4"/>
  <c r="BN41" i="4" s="1"/>
  <c r="BN37" i="4"/>
  <c r="BN38" i="4"/>
  <c r="BN39" i="4"/>
  <c r="BN40" i="4"/>
  <c r="BP36" i="4"/>
  <c r="BQ36" i="4" s="1"/>
  <c r="BP37" i="4"/>
  <c r="BP38" i="4"/>
  <c r="BP39" i="4"/>
  <c r="BP40" i="4"/>
  <c r="BP41" i="4"/>
  <c r="BQ41" i="4" s="1"/>
  <c r="BQ37" i="4"/>
  <c r="BQ38" i="4"/>
  <c r="BQ39" i="4"/>
  <c r="BQ40" i="4"/>
  <c r="BS36" i="4"/>
  <c r="BT36" i="4" s="1"/>
  <c r="BS37" i="4"/>
  <c r="BS38" i="4"/>
  <c r="BS39" i="4"/>
  <c r="BS40" i="4"/>
  <c r="BS41" i="4"/>
  <c r="BT41" i="4" s="1"/>
  <c r="BT37" i="4"/>
  <c r="BT38" i="4"/>
  <c r="BT39" i="4"/>
  <c r="BT40" i="4"/>
  <c r="BW36" i="4"/>
  <c r="BX36" i="4" s="1"/>
  <c r="BW37" i="4"/>
  <c r="BW38" i="4"/>
  <c r="BW39" i="4"/>
  <c r="BW40" i="4"/>
  <c r="BW41" i="4"/>
  <c r="BX41" i="4" s="1"/>
  <c r="BX37" i="4"/>
  <c r="BX38" i="4"/>
  <c r="BX39" i="4"/>
  <c r="BX40" i="4"/>
  <c r="BZ36" i="4"/>
  <c r="CA36" i="4" s="1"/>
  <c r="BZ37" i="4"/>
  <c r="BZ38" i="4"/>
  <c r="BZ39" i="4"/>
  <c r="BZ40" i="4"/>
  <c r="BZ41" i="4"/>
  <c r="CA41" i="4" s="1"/>
  <c r="CA37" i="4"/>
  <c r="CA38" i="4"/>
  <c r="CA39" i="4"/>
  <c r="CA40" i="4"/>
  <c r="CC36" i="4"/>
  <c r="CD36" i="4" s="1"/>
  <c r="CC37" i="4"/>
  <c r="CC38" i="4"/>
  <c r="CC39" i="4"/>
  <c r="CC40" i="4"/>
  <c r="CC41" i="4"/>
  <c r="CD41" i="4" s="1"/>
  <c r="CD37" i="4"/>
  <c r="CD38" i="4"/>
  <c r="CD39" i="4"/>
  <c r="CD40" i="4"/>
  <c r="CG36" i="4"/>
  <c r="CG37" i="4"/>
  <c r="CG38" i="4"/>
  <c r="CG39" i="4"/>
  <c r="CG40" i="4"/>
  <c r="CG41" i="4"/>
  <c r="CK36" i="4"/>
  <c r="CK37" i="4"/>
  <c r="CK38" i="4"/>
  <c r="CK39" i="4"/>
  <c r="CK40" i="4"/>
  <c r="CK41" i="4"/>
  <c r="CN36" i="4"/>
  <c r="CN37" i="4"/>
  <c r="CN38" i="4"/>
  <c r="CN39" i="4"/>
  <c r="CN40" i="4"/>
  <c r="CN41" i="4"/>
  <c r="CR36" i="4"/>
  <c r="CR37" i="4"/>
  <c r="CR38" i="4"/>
  <c r="CR39" i="4"/>
  <c r="CR40" i="4"/>
  <c r="CR41" i="4"/>
  <c r="CS36" i="4"/>
  <c r="CT36" i="4" s="1"/>
  <c r="CU36" i="4" s="1"/>
  <c r="CS37" i="4"/>
  <c r="CT37" i="4" s="1"/>
  <c r="CS38" i="4"/>
  <c r="CT38" i="4" s="1"/>
  <c r="CS39" i="4"/>
  <c r="CT39" i="4" s="1"/>
  <c r="CS40" i="4"/>
  <c r="CT40" i="4" s="1"/>
  <c r="CS41" i="4"/>
  <c r="CT41" i="4" s="1"/>
  <c r="CU41" i="4" s="1"/>
  <c r="CU37" i="4"/>
  <c r="CU38" i="4"/>
  <c r="CU39" i="4"/>
  <c r="CU40" i="4"/>
  <c r="CX36" i="4"/>
  <c r="CY36" i="4" s="1"/>
  <c r="CX37" i="4"/>
  <c r="CX38" i="4"/>
  <c r="CY38" i="4" s="1"/>
  <c r="CX39" i="4"/>
  <c r="CX40" i="4"/>
  <c r="CY40" i="4" s="1"/>
  <c r="CX41" i="4"/>
  <c r="CY41" i="4" s="1"/>
  <c r="CY37" i="4"/>
  <c r="CY39" i="4"/>
  <c r="CZ36" i="4"/>
  <c r="DB36" i="4" s="1"/>
  <c r="CZ37" i="4"/>
  <c r="CZ38" i="4"/>
  <c r="DB38" i="4" s="1"/>
  <c r="CZ39" i="4"/>
  <c r="CZ40" i="4"/>
  <c r="CZ41" i="4"/>
  <c r="DB37" i="4"/>
  <c r="DB39" i="4"/>
  <c r="DB40" i="4"/>
  <c r="DB41" i="4"/>
  <c r="DD36" i="4"/>
  <c r="DE36" i="4" s="1"/>
  <c r="DD37" i="4"/>
  <c r="DD38" i="4"/>
  <c r="DE38" i="4" s="1"/>
  <c r="DD39" i="4"/>
  <c r="DD40" i="4"/>
  <c r="DD41" i="4"/>
  <c r="DE37" i="4"/>
  <c r="DE39" i="4"/>
  <c r="DE40" i="4"/>
  <c r="DE41" i="4"/>
  <c r="DG36" i="4"/>
  <c r="DH36" i="4" s="1"/>
  <c r="DG37" i="4"/>
  <c r="DG38" i="4"/>
  <c r="DH38" i="4" s="1"/>
  <c r="DG39" i="4"/>
  <c r="DG40" i="4"/>
  <c r="DG41" i="4"/>
  <c r="DH37" i="4"/>
  <c r="DH39" i="4"/>
  <c r="DH40" i="4"/>
  <c r="DH41" i="4"/>
  <c r="DN36" i="4"/>
  <c r="DR36" i="4" s="1"/>
  <c r="DS36" i="4" s="1"/>
  <c r="DN37" i="4"/>
  <c r="DN38" i="4"/>
  <c r="DR38" i="4" s="1"/>
  <c r="DS38" i="4" s="1"/>
  <c r="DN39" i="4"/>
  <c r="DN40" i="4"/>
  <c r="DR40" i="4" s="1"/>
  <c r="DS40" i="4" s="1"/>
  <c r="DN41" i="4"/>
  <c r="DO41" i="4" s="1"/>
  <c r="DO37" i="4"/>
  <c r="DO39" i="4"/>
  <c r="DO40" i="4"/>
  <c r="DR37" i="4"/>
  <c r="DR39" i="4"/>
  <c r="DR41" i="4"/>
  <c r="DS41" i="4" s="1"/>
  <c r="DS37" i="4"/>
  <c r="DS39" i="4"/>
  <c r="DT36" i="4"/>
  <c r="DX36" i="4" s="1"/>
  <c r="DT37" i="4"/>
  <c r="DT38" i="4"/>
  <c r="DX38" i="4" s="1"/>
  <c r="DT39" i="4"/>
  <c r="DT40" i="4"/>
  <c r="DT41" i="4"/>
  <c r="DX41" i="4" s="1"/>
  <c r="DX37" i="4"/>
  <c r="DX39" i="4"/>
  <c r="DX40" i="4"/>
  <c r="H11" i="4"/>
  <c r="I11" i="4"/>
  <c r="K11" i="4"/>
  <c r="L11" i="4"/>
  <c r="M11" i="4"/>
  <c r="N11" i="4"/>
  <c r="AZ11" i="4"/>
  <c r="BB11" i="4"/>
  <c r="BC11" i="4"/>
  <c r="BG11" i="4"/>
  <c r="BH11" i="4"/>
  <c r="BK11" i="4"/>
  <c r="BM11" i="4"/>
  <c r="BN11" i="4"/>
  <c r="BP11" i="4"/>
  <c r="BQ11" i="4"/>
  <c r="BS11" i="4"/>
  <c r="BT11" i="4" s="1"/>
  <c r="BW11" i="4"/>
  <c r="BX11" i="4" s="1"/>
  <c r="BZ11" i="4"/>
  <c r="CA11" i="4"/>
  <c r="CC11" i="4"/>
  <c r="CD11" i="4" s="1"/>
  <c r="CG11" i="4"/>
  <c r="CK11" i="4"/>
  <c r="CN11" i="4"/>
  <c r="CR11" i="4"/>
  <c r="CS11" i="4"/>
  <c r="CT11" i="4" s="1"/>
  <c r="CU11" i="4" s="1"/>
  <c r="CX11" i="4"/>
  <c r="CY11" i="4"/>
  <c r="CZ11" i="4"/>
  <c r="DB11" i="4"/>
  <c r="DD11" i="4"/>
  <c r="DE11" i="4"/>
  <c r="DG11" i="4"/>
  <c r="DH11" i="4"/>
  <c r="DN11" i="4"/>
  <c r="DR11" i="4" s="1"/>
  <c r="DS11" i="4" s="1"/>
  <c r="DO11" i="4"/>
  <c r="DT11" i="4"/>
  <c r="DX11" i="4"/>
  <c r="DY11" i="4"/>
  <c r="DT43" i="4"/>
  <c r="DX43" i="4" s="1"/>
  <c r="DN43" i="4"/>
  <c r="DG43" i="4"/>
  <c r="DH43" i="4" s="1"/>
  <c r="DD43" i="4"/>
  <c r="DE43" i="4" s="1"/>
  <c r="CZ43" i="4"/>
  <c r="DB43" i="4" s="1"/>
  <c r="CX43" i="4"/>
  <c r="CY43" i="4" s="1"/>
  <c r="CS43" i="4"/>
  <c r="CR43" i="4"/>
  <c r="CN43" i="4"/>
  <c r="CK43" i="4"/>
  <c r="CG43" i="4"/>
  <c r="CC43" i="4"/>
  <c r="CD43" i="4" s="1"/>
  <c r="BZ43" i="4"/>
  <c r="CA43" i="4" s="1"/>
  <c r="BW43" i="4"/>
  <c r="BS43" i="4"/>
  <c r="BT43" i="4" s="1"/>
  <c r="BP43" i="4"/>
  <c r="BQ43" i="4" s="1"/>
  <c r="BM43" i="4"/>
  <c r="BN43" i="4" s="1"/>
  <c r="BK43" i="4"/>
  <c r="BG43" i="4"/>
  <c r="BH43" i="4" s="1"/>
  <c r="BB43" i="4"/>
  <c r="BC43" i="4" s="1"/>
  <c r="O43" i="4"/>
  <c r="N43" i="4"/>
  <c r="AZ43" i="4" s="1"/>
  <c r="M43" i="4"/>
  <c r="L43" i="4"/>
  <c r="K43" i="4"/>
  <c r="H43" i="4"/>
  <c r="I43" i="4" s="1"/>
  <c r="DT42" i="4"/>
  <c r="DX42" i="4" s="1"/>
  <c r="DN42" i="4"/>
  <c r="DG42" i="4"/>
  <c r="DH42" i="4" s="1"/>
  <c r="DD42" i="4"/>
  <c r="DE42" i="4" s="1"/>
  <c r="CZ42" i="4"/>
  <c r="DB42" i="4" s="1"/>
  <c r="CX42" i="4"/>
  <c r="CY42" i="4" s="1"/>
  <c r="CS42" i="4"/>
  <c r="CR42" i="4"/>
  <c r="CN42" i="4"/>
  <c r="CK42" i="4"/>
  <c r="CG42" i="4"/>
  <c r="CC42" i="4"/>
  <c r="CD42" i="4" s="1"/>
  <c r="BZ42" i="4"/>
  <c r="CA42" i="4" s="1"/>
  <c r="BW42" i="4"/>
  <c r="BS42" i="4"/>
  <c r="BT42" i="4" s="1"/>
  <c r="BP42" i="4"/>
  <c r="BQ42" i="4" s="1"/>
  <c r="BM42" i="4"/>
  <c r="BN42" i="4" s="1"/>
  <c r="BK42" i="4"/>
  <c r="BG42" i="4"/>
  <c r="BH42" i="4" s="1"/>
  <c r="BB42" i="4"/>
  <c r="BC42" i="4" s="1"/>
  <c r="O42" i="4"/>
  <c r="N42" i="4"/>
  <c r="AZ42" i="4" s="1"/>
  <c r="M42" i="4"/>
  <c r="L42" i="4"/>
  <c r="K42" i="4"/>
  <c r="H42" i="4"/>
  <c r="I42" i="4" s="1"/>
  <c r="DT35" i="4"/>
  <c r="DX35" i="4" s="1"/>
  <c r="DN35" i="4"/>
  <c r="DG35" i="4"/>
  <c r="DH35" i="4" s="1"/>
  <c r="DD35" i="4"/>
  <c r="DE35" i="4" s="1"/>
  <c r="CZ35" i="4"/>
  <c r="DB35" i="4" s="1"/>
  <c r="CX35" i="4"/>
  <c r="CY35" i="4" s="1"/>
  <c r="CS35" i="4"/>
  <c r="CT35" i="4" s="1"/>
  <c r="CU35" i="4" s="1"/>
  <c r="CR35" i="4"/>
  <c r="CN35" i="4"/>
  <c r="CJ35" i="4"/>
  <c r="CF35" i="4"/>
  <c r="CG35" i="4" s="1"/>
  <c r="CC35" i="4"/>
  <c r="CD35" i="4" s="1"/>
  <c r="BZ35" i="4"/>
  <c r="CA35" i="4" s="1"/>
  <c r="BW35" i="4"/>
  <c r="BS35" i="4"/>
  <c r="BT35" i="4" s="1"/>
  <c r="BP35" i="4"/>
  <c r="BQ35" i="4" s="1"/>
  <c r="BM35" i="4"/>
  <c r="BN35" i="4" s="1"/>
  <c r="BJ35" i="4"/>
  <c r="BK35" i="4" s="1"/>
  <c r="BG35" i="4"/>
  <c r="BH35" i="4" s="1"/>
  <c r="BB35" i="4"/>
  <c r="BC35" i="4" s="1"/>
  <c r="O35" i="4"/>
  <c r="N35" i="4"/>
  <c r="AZ35" i="4" s="1"/>
  <c r="M35" i="4"/>
  <c r="L35" i="4"/>
  <c r="K35" i="4"/>
  <c r="H35" i="4"/>
  <c r="I35" i="4" s="1"/>
  <c r="EC47" i="4" l="1"/>
  <c r="EI47" i="4"/>
  <c r="EG47" i="4"/>
  <c r="EA47" i="4"/>
  <c r="EE47" i="4"/>
  <c r="DY47" i="4"/>
  <c r="EC63" i="4"/>
  <c r="EG63" i="4"/>
  <c r="EA63" i="4"/>
  <c r="EE63" i="4"/>
  <c r="EI63" i="4"/>
  <c r="DY63" i="4"/>
  <c r="EC233" i="4"/>
  <c r="EE233" i="4"/>
  <c r="EG233" i="4"/>
  <c r="EI233" i="4"/>
  <c r="EA233" i="4"/>
  <c r="DY233" i="4"/>
  <c r="EC62" i="4"/>
  <c r="EG62" i="4"/>
  <c r="EI62" i="4"/>
  <c r="EE62" i="4"/>
  <c r="EA62" i="4"/>
  <c r="DY62" i="4"/>
  <c r="EC38" i="4"/>
  <c r="EG38" i="4"/>
  <c r="EI38" i="4"/>
  <c r="EE38" i="4"/>
  <c r="EA38" i="4"/>
  <c r="DY38" i="4"/>
  <c r="EC36" i="4"/>
  <c r="EI36" i="4"/>
  <c r="EG36" i="4"/>
  <c r="EE36" i="4"/>
  <c r="EA36" i="4"/>
  <c r="DY36" i="4"/>
  <c r="EC46" i="4"/>
  <c r="EI46" i="4"/>
  <c r="EG46" i="4"/>
  <c r="EE46" i="4"/>
  <c r="EA46" i="4"/>
  <c r="DY46" i="4"/>
  <c r="EC72" i="4"/>
  <c r="EI72" i="4"/>
  <c r="EG72" i="4"/>
  <c r="EA72" i="4"/>
  <c r="EE72" i="4"/>
  <c r="DY72" i="4"/>
  <c r="EC60" i="4"/>
  <c r="EI60" i="4"/>
  <c r="EG60" i="4"/>
  <c r="EA60" i="4"/>
  <c r="EE60" i="4"/>
  <c r="DY60" i="4"/>
  <c r="EC55" i="4"/>
  <c r="EE55" i="4"/>
  <c r="EA55" i="4"/>
  <c r="EI55" i="4"/>
  <c r="EG55" i="4"/>
  <c r="DY55" i="4"/>
  <c r="EC44" i="4"/>
  <c r="EI44" i="4"/>
  <c r="EG44" i="4"/>
  <c r="EE44" i="4"/>
  <c r="EA44" i="4"/>
  <c r="DY44" i="4"/>
  <c r="EC53" i="4"/>
  <c r="EE53" i="4"/>
  <c r="EG53" i="4"/>
  <c r="EA53" i="4"/>
  <c r="EI53" i="4"/>
  <c r="DY53" i="4"/>
  <c r="EC41" i="4"/>
  <c r="EE41" i="4"/>
  <c r="EA41" i="4"/>
  <c r="EI41" i="4"/>
  <c r="EG41" i="4"/>
  <c r="DY41" i="4"/>
  <c r="EC40" i="4"/>
  <c r="EI40" i="4"/>
  <c r="EG40" i="4"/>
  <c r="EE40" i="4"/>
  <c r="EA40" i="4"/>
  <c r="EC298" i="4"/>
  <c r="EI298" i="4"/>
  <c r="EE298" i="4"/>
  <c r="EG298" i="4"/>
  <c r="EA298" i="4"/>
  <c r="EC83" i="4"/>
  <c r="EI83" i="4"/>
  <c r="EG83" i="4"/>
  <c r="EA83" i="4"/>
  <c r="EE83" i="4"/>
  <c r="DY83" i="4"/>
  <c r="EC300" i="4"/>
  <c r="EI300" i="4"/>
  <c r="EG300" i="4"/>
  <c r="EE300" i="4"/>
  <c r="EA300" i="4"/>
  <c r="EC236" i="4"/>
  <c r="EI236" i="4"/>
  <c r="EA236" i="4"/>
  <c r="EG236" i="4"/>
  <c r="EE236" i="4"/>
  <c r="EC51" i="4"/>
  <c r="EG51" i="4"/>
  <c r="EI51" i="4"/>
  <c r="EE51" i="4"/>
  <c r="EA51" i="4"/>
  <c r="EC101" i="4"/>
  <c r="EE101" i="4"/>
  <c r="EA101" i="4"/>
  <c r="EI101" i="4"/>
  <c r="EG101" i="4"/>
  <c r="DY101" i="4"/>
  <c r="DO136" i="4"/>
  <c r="DR136" i="4"/>
  <c r="DS136" i="4" s="1"/>
  <c r="EC130" i="4"/>
  <c r="EI130" i="4"/>
  <c r="EG130" i="4"/>
  <c r="EE130" i="4"/>
  <c r="EA130" i="4"/>
  <c r="DY130" i="4"/>
  <c r="EC118" i="4"/>
  <c r="EI118" i="4"/>
  <c r="EE118" i="4"/>
  <c r="EG118" i="4"/>
  <c r="EA118" i="4"/>
  <c r="DY118" i="4"/>
  <c r="DO53" i="4"/>
  <c r="EC39" i="4"/>
  <c r="EG39" i="4"/>
  <c r="EE39" i="4"/>
  <c r="EA39" i="4"/>
  <c r="EI39" i="4"/>
  <c r="EC299" i="4"/>
  <c r="EI299" i="4"/>
  <c r="EE299" i="4"/>
  <c r="EG299" i="4"/>
  <c r="EA299" i="4"/>
  <c r="EC235" i="4"/>
  <c r="EG235" i="4"/>
  <c r="EE235" i="4"/>
  <c r="EI235" i="4"/>
  <c r="EA235" i="4"/>
  <c r="DR235" i="4"/>
  <c r="DS235" i="4" s="1"/>
  <c r="EC50" i="4"/>
  <c r="EG50" i="4"/>
  <c r="EI50" i="4"/>
  <c r="EE50" i="4"/>
  <c r="EA50" i="4"/>
  <c r="EC59" i="4"/>
  <c r="EI59" i="4"/>
  <c r="EA59" i="4"/>
  <c r="EG59" i="4"/>
  <c r="EE59" i="4"/>
  <c r="EC80" i="4"/>
  <c r="EI80" i="4"/>
  <c r="EE80" i="4"/>
  <c r="EG80" i="4"/>
  <c r="EA80" i="4"/>
  <c r="EC98" i="4"/>
  <c r="EG98" i="4"/>
  <c r="EI98" i="4"/>
  <c r="EA98" i="4"/>
  <c r="EE98" i="4"/>
  <c r="EC108" i="4"/>
  <c r="EI108" i="4"/>
  <c r="EG108" i="4"/>
  <c r="EA108" i="4"/>
  <c r="EE108" i="4"/>
  <c r="EC132" i="4"/>
  <c r="EI132" i="4"/>
  <c r="EG132" i="4"/>
  <c r="EE132" i="4"/>
  <c r="EA132" i="4"/>
  <c r="DR113" i="4"/>
  <c r="DS113" i="4" s="1"/>
  <c r="EC82" i="4"/>
  <c r="EI82" i="4"/>
  <c r="EG82" i="4"/>
  <c r="EA82" i="4"/>
  <c r="EE82" i="4"/>
  <c r="DY82" i="4"/>
  <c r="EC234" i="4"/>
  <c r="EE234" i="4"/>
  <c r="EI234" i="4"/>
  <c r="EA234" i="4"/>
  <c r="EG234" i="4"/>
  <c r="EC49" i="4"/>
  <c r="EG49" i="4"/>
  <c r="EI49" i="4"/>
  <c r="EE49" i="4"/>
  <c r="EA49" i="4"/>
  <c r="DR58" i="4"/>
  <c r="DS58" i="4" s="1"/>
  <c r="DO36" i="4"/>
  <c r="DY298" i="4"/>
  <c r="EC48" i="4"/>
  <c r="EI48" i="4"/>
  <c r="EG48" i="4"/>
  <c r="EE48" i="4"/>
  <c r="EA48" i="4"/>
  <c r="DR70" i="4"/>
  <c r="DS70" i="4" s="1"/>
  <c r="EC96" i="4"/>
  <c r="EI96" i="4"/>
  <c r="EG96" i="4"/>
  <c r="EA96" i="4"/>
  <c r="EE96" i="4"/>
  <c r="DY96" i="4"/>
  <c r="EC160" i="4"/>
  <c r="EE160" i="4"/>
  <c r="EI160" i="4"/>
  <c r="EG160" i="4"/>
  <c r="EA160" i="4"/>
  <c r="DY160" i="4"/>
  <c r="EC61" i="4"/>
  <c r="EG61" i="4"/>
  <c r="EI61" i="4"/>
  <c r="EE61" i="4"/>
  <c r="EA61" i="4"/>
  <c r="DY61" i="4"/>
  <c r="EC131" i="4"/>
  <c r="EI131" i="4"/>
  <c r="EG131" i="4"/>
  <c r="EE131" i="4"/>
  <c r="EA131" i="4"/>
  <c r="DY131" i="4"/>
  <c r="EI35" i="4"/>
  <c r="EA35" i="4"/>
  <c r="EE35" i="4"/>
  <c r="EG35" i="4"/>
  <c r="DO38" i="4"/>
  <c r="EC37" i="4"/>
  <c r="EG37" i="4"/>
  <c r="EI37" i="4"/>
  <c r="EE37" i="4"/>
  <c r="EA37" i="4"/>
  <c r="EA42" i="4"/>
  <c r="EI42" i="4"/>
  <c r="EG42" i="4"/>
  <c r="EE42" i="4"/>
  <c r="DY236" i="4"/>
  <c r="DR47" i="4"/>
  <c r="DS47" i="4" s="1"/>
  <c r="EC71" i="4"/>
  <c r="EI71" i="4"/>
  <c r="EA71" i="4"/>
  <c r="EE71" i="4"/>
  <c r="EG71" i="4"/>
  <c r="EC70" i="4"/>
  <c r="EI70" i="4"/>
  <c r="EG70" i="4"/>
  <c r="EA70" i="4"/>
  <c r="EE70" i="4"/>
  <c r="EC58" i="4"/>
  <c r="EI58" i="4"/>
  <c r="EG58" i="4"/>
  <c r="EE58" i="4"/>
  <c r="EA58" i="4"/>
  <c r="DO65" i="4"/>
  <c r="DR65" i="4"/>
  <c r="DS65" i="4" s="1"/>
  <c r="EC45" i="4"/>
  <c r="EI45" i="4"/>
  <c r="EG45" i="4"/>
  <c r="EE45" i="4"/>
  <c r="EA45" i="4"/>
  <c r="EC232" i="4"/>
  <c r="EE232" i="4"/>
  <c r="EI232" i="4"/>
  <c r="EG232" i="4"/>
  <c r="EA232" i="4"/>
  <c r="EC69" i="4"/>
  <c r="EI69" i="4"/>
  <c r="EG69" i="4"/>
  <c r="EA69" i="4"/>
  <c r="EE69" i="4"/>
  <c r="EC119" i="4"/>
  <c r="EI119" i="4"/>
  <c r="EE119" i="4"/>
  <c r="EA119" i="4"/>
  <c r="EG119" i="4"/>
  <c r="DY119" i="4"/>
  <c r="EI43" i="4"/>
  <c r="EG43" i="4"/>
  <c r="EE43" i="4"/>
  <c r="EA43" i="4"/>
  <c r="DY40" i="4"/>
  <c r="DY39" i="4"/>
  <c r="DY234" i="4"/>
  <c r="EC88" i="4"/>
  <c r="EI88" i="4"/>
  <c r="EG88" i="4"/>
  <c r="EA88" i="4"/>
  <c r="EE88" i="4"/>
  <c r="EC87" i="4"/>
  <c r="EG87" i="4"/>
  <c r="EA87" i="4"/>
  <c r="EE87" i="4"/>
  <c r="EI87" i="4"/>
  <c r="DY87" i="4"/>
  <c r="EC75" i="4"/>
  <c r="EG75" i="4"/>
  <c r="EA75" i="4"/>
  <c r="EI75" i="4"/>
  <c r="EE75" i="4"/>
  <c r="DY75" i="4"/>
  <c r="DO86" i="4"/>
  <c r="DR86" i="4"/>
  <c r="DS86" i="4" s="1"/>
  <c r="DO74" i="4"/>
  <c r="DR74" i="4"/>
  <c r="DS74" i="4" s="1"/>
  <c r="EC93" i="4"/>
  <c r="EI93" i="4"/>
  <c r="EE93" i="4"/>
  <c r="EA93" i="4"/>
  <c r="EG93" i="4"/>
  <c r="DY93" i="4"/>
  <c r="EC137" i="4"/>
  <c r="EE137" i="4"/>
  <c r="EA137" i="4"/>
  <c r="EI137" i="4"/>
  <c r="EG137" i="4"/>
  <c r="DY137" i="4"/>
  <c r="EC52" i="4"/>
  <c r="EI52" i="4"/>
  <c r="EG52" i="4"/>
  <c r="EE52" i="4"/>
  <c r="EA52" i="4"/>
  <c r="EC110" i="4"/>
  <c r="EG110" i="4"/>
  <c r="EI110" i="4"/>
  <c r="EA110" i="4"/>
  <c r="EE110" i="4"/>
  <c r="DY110" i="4"/>
  <c r="EC11" i="4"/>
  <c r="EI11" i="4"/>
  <c r="EG11" i="4"/>
  <c r="EE11" i="4"/>
  <c r="EA11" i="4"/>
  <c r="DR299" i="4"/>
  <c r="DS299" i="4" s="1"/>
  <c r="EC56" i="4"/>
  <c r="EG56" i="4"/>
  <c r="EI56" i="4"/>
  <c r="EE56" i="4"/>
  <c r="EA56" i="4"/>
  <c r="DY56" i="4"/>
  <c r="EC57" i="4"/>
  <c r="EI57" i="4"/>
  <c r="EG57" i="4"/>
  <c r="EE57" i="4"/>
  <c r="EA57" i="4"/>
  <c r="DY69" i="4"/>
  <c r="EC67" i="4"/>
  <c r="EE67" i="4"/>
  <c r="EG67" i="4"/>
  <c r="EI67" i="4"/>
  <c r="EA67" i="4"/>
  <c r="DY67" i="4"/>
  <c r="EC86" i="4"/>
  <c r="EG86" i="4"/>
  <c r="EI86" i="4"/>
  <c r="EA86" i="4"/>
  <c r="EE86" i="4"/>
  <c r="DY86" i="4"/>
  <c r="EC74" i="4"/>
  <c r="EG74" i="4"/>
  <c r="EI74" i="4"/>
  <c r="EA74" i="4"/>
  <c r="EE74" i="4"/>
  <c r="DY74" i="4"/>
  <c r="EC231" i="4"/>
  <c r="EG231" i="4"/>
  <c r="EI231" i="4"/>
  <c r="EA231" i="4"/>
  <c r="EE231" i="4"/>
  <c r="DY231" i="4"/>
  <c r="DY98" i="4"/>
  <c r="EC89" i="4"/>
  <c r="EE89" i="4"/>
  <c r="EA89" i="4"/>
  <c r="EG89" i="4"/>
  <c r="EI89" i="4"/>
  <c r="DY89" i="4"/>
  <c r="EC92" i="4"/>
  <c r="EG92" i="4"/>
  <c r="EE92" i="4"/>
  <c r="EI92" i="4"/>
  <c r="EA92" i="4"/>
  <c r="DY92" i="4"/>
  <c r="DO92" i="4"/>
  <c r="DR92" i="4"/>
  <c r="DS92" i="4" s="1"/>
  <c r="EC136" i="4"/>
  <c r="EI136" i="4"/>
  <c r="EG136" i="4"/>
  <c r="EA136" i="4"/>
  <c r="EE136" i="4"/>
  <c r="DY136" i="4"/>
  <c r="EC123" i="4"/>
  <c r="EG123" i="4"/>
  <c r="EA123" i="4"/>
  <c r="EI123" i="4"/>
  <c r="EE123" i="4"/>
  <c r="DY123" i="4"/>
  <c r="DY37" i="4"/>
  <c r="EC66" i="4"/>
  <c r="EA66" i="4"/>
  <c r="EE66" i="4"/>
  <c r="EG66" i="4"/>
  <c r="EI66" i="4"/>
  <c r="DR64" i="4"/>
  <c r="DS64" i="4" s="1"/>
  <c r="EC113" i="4"/>
  <c r="EE113" i="4"/>
  <c r="EI113" i="4"/>
  <c r="EA113" i="4"/>
  <c r="EG113" i="4"/>
  <c r="DY113" i="4"/>
  <c r="DY52" i="4"/>
  <c r="EC100" i="4"/>
  <c r="EI100" i="4"/>
  <c r="EG100" i="4"/>
  <c r="EA100" i="4"/>
  <c r="EE100" i="4"/>
  <c r="DY100" i="4"/>
  <c r="DY45" i="4"/>
  <c r="EC54" i="4"/>
  <c r="EI54" i="4"/>
  <c r="EE54" i="4"/>
  <c r="EA54" i="4"/>
  <c r="EG54" i="4"/>
  <c r="EC65" i="4"/>
  <c r="EE65" i="4"/>
  <c r="EA65" i="4"/>
  <c r="EG65" i="4"/>
  <c r="EI65" i="4"/>
  <c r="DY65" i="4"/>
  <c r="DR60" i="4"/>
  <c r="DS60" i="4" s="1"/>
  <c r="DO60" i="4"/>
  <c r="EC111" i="4"/>
  <c r="EG111" i="4"/>
  <c r="EI111" i="4"/>
  <c r="EA111" i="4"/>
  <c r="EE111" i="4"/>
  <c r="DY111" i="4"/>
  <c r="DY132" i="4"/>
  <c r="DY300" i="4"/>
  <c r="EC64" i="4"/>
  <c r="EI64" i="4"/>
  <c r="EG64" i="4"/>
  <c r="EA64" i="4"/>
  <c r="EE64" i="4"/>
  <c r="DO125" i="4"/>
  <c r="DR125" i="4"/>
  <c r="DS125" i="4" s="1"/>
  <c r="EC84" i="4"/>
  <c r="EI84" i="4"/>
  <c r="EG84" i="4"/>
  <c r="EA84" i="4"/>
  <c r="EE84" i="4"/>
  <c r="EC102" i="4"/>
  <c r="EA102" i="4"/>
  <c r="EI102" i="4"/>
  <c r="EE102" i="4"/>
  <c r="EG102" i="4"/>
  <c r="EC90" i="4"/>
  <c r="EA90" i="4"/>
  <c r="EG90" i="4"/>
  <c r="EE90" i="4"/>
  <c r="EI90" i="4"/>
  <c r="EC134" i="4"/>
  <c r="EG134" i="4"/>
  <c r="EI134" i="4"/>
  <c r="EA134" i="4"/>
  <c r="EE134" i="4"/>
  <c r="EC133" i="4"/>
  <c r="EG133" i="4"/>
  <c r="EI133" i="4"/>
  <c r="EA133" i="4"/>
  <c r="EE133" i="4"/>
  <c r="EC114" i="4"/>
  <c r="EG114" i="4"/>
  <c r="EA114" i="4"/>
  <c r="EE114" i="4"/>
  <c r="EI114" i="4"/>
  <c r="DY114" i="4"/>
  <c r="EC144" i="4"/>
  <c r="EI144" i="4"/>
  <c r="EG144" i="4"/>
  <c r="EE144" i="4"/>
  <c r="EA144" i="4"/>
  <c r="DY144" i="4"/>
  <c r="EC146" i="4"/>
  <c r="EG146" i="4"/>
  <c r="EI146" i="4"/>
  <c r="EA146" i="4"/>
  <c r="EE146" i="4"/>
  <c r="DY146" i="4"/>
  <c r="DO82" i="4"/>
  <c r="DO100" i="4"/>
  <c r="DO110" i="4"/>
  <c r="EC159" i="4"/>
  <c r="EG159" i="4"/>
  <c r="EA159" i="4"/>
  <c r="EI159" i="4"/>
  <c r="EE159" i="4"/>
  <c r="DY159" i="4"/>
  <c r="DR169" i="4"/>
  <c r="DS169" i="4" s="1"/>
  <c r="DO169" i="4"/>
  <c r="DR157" i="4"/>
  <c r="DS157" i="4" s="1"/>
  <c r="DO157" i="4"/>
  <c r="EC81" i="4"/>
  <c r="EI81" i="4"/>
  <c r="EG81" i="4"/>
  <c r="EA81" i="4"/>
  <c r="EE81" i="4"/>
  <c r="EC99" i="4"/>
  <c r="EG99" i="4"/>
  <c r="EA99" i="4"/>
  <c r="EI99" i="4"/>
  <c r="EE99" i="4"/>
  <c r="EC109" i="4"/>
  <c r="EG109" i="4"/>
  <c r="EI109" i="4"/>
  <c r="EA109" i="4"/>
  <c r="EE109" i="4"/>
  <c r="EC162" i="4"/>
  <c r="EE162" i="4"/>
  <c r="EI162" i="4"/>
  <c r="EA162" i="4"/>
  <c r="EG162" i="4"/>
  <c r="EC150" i="4"/>
  <c r="EI150" i="4"/>
  <c r="EA150" i="4"/>
  <c r="EG150" i="4"/>
  <c r="EE150" i="4"/>
  <c r="DR168" i="4"/>
  <c r="DS168" i="4" s="1"/>
  <c r="DO168" i="4"/>
  <c r="DR156" i="4"/>
  <c r="DS156" i="4" s="1"/>
  <c r="DO156" i="4"/>
  <c r="EC222" i="4"/>
  <c r="EE222" i="4"/>
  <c r="EI222" i="4"/>
  <c r="EG222" i="4"/>
  <c r="EA222" i="4"/>
  <c r="DY222" i="4"/>
  <c r="EC182" i="4"/>
  <c r="EG182" i="4"/>
  <c r="EI182" i="4"/>
  <c r="EA182" i="4"/>
  <c r="EE182" i="4"/>
  <c r="DY182" i="4"/>
  <c r="EC126" i="4"/>
  <c r="EA126" i="4"/>
  <c r="EG126" i="4"/>
  <c r="EI126" i="4"/>
  <c r="EE126" i="4"/>
  <c r="DY126" i="4"/>
  <c r="EC228" i="4"/>
  <c r="EI228" i="4"/>
  <c r="EG228" i="4"/>
  <c r="EA228" i="4"/>
  <c r="EE228" i="4"/>
  <c r="DY228" i="4"/>
  <c r="EC142" i="4"/>
  <c r="EI142" i="4"/>
  <c r="EE142" i="4"/>
  <c r="EG142" i="4"/>
  <c r="EA142" i="4"/>
  <c r="DY142" i="4"/>
  <c r="DO227" i="4"/>
  <c r="DR227" i="4"/>
  <c r="DS227" i="4" s="1"/>
  <c r="DO141" i="4"/>
  <c r="DR141" i="4"/>
  <c r="DS141" i="4" s="1"/>
  <c r="EC189" i="4"/>
  <c r="EA189" i="4"/>
  <c r="EI189" i="4"/>
  <c r="EE189" i="4"/>
  <c r="EG189" i="4"/>
  <c r="DY189" i="4"/>
  <c r="EC79" i="4"/>
  <c r="EI79" i="4"/>
  <c r="EE79" i="4"/>
  <c r="EG79" i="4"/>
  <c r="EA79" i="4"/>
  <c r="EC97" i="4"/>
  <c r="EG97" i="4"/>
  <c r="EI97" i="4"/>
  <c r="EA97" i="4"/>
  <c r="EE97" i="4"/>
  <c r="EC107" i="4"/>
  <c r="EI107" i="4"/>
  <c r="EA107" i="4"/>
  <c r="EG107" i="4"/>
  <c r="EE107" i="4"/>
  <c r="EC125" i="4"/>
  <c r="EE125" i="4"/>
  <c r="EA125" i="4"/>
  <c r="EG125" i="4"/>
  <c r="EI125" i="4"/>
  <c r="DR133" i="4"/>
  <c r="DS133" i="4" s="1"/>
  <c r="DO133" i="4"/>
  <c r="DR121" i="4"/>
  <c r="DS121" i="4" s="1"/>
  <c r="DO121" i="4"/>
  <c r="EC227" i="4"/>
  <c r="EI227" i="4"/>
  <c r="EG227" i="4"/>
  <c r="EA227" i="4"/>
  <c r="EE227" i="4"/>
  <c r="EC141" i="4"/>
  <c r="EI141" i="4"/>
  <c r="EE141" i="4"/>
  <c r="EG141" i="4"/>
  <c r="EA141" i="4"/>
  <c r="DO226" i="4"/>
  <c r="DR226" i="4"/>
  <c r="DS226" i="4" s="1"/>
  <c r="DO140" i="4"/>
  <c r="DR140" i="4"/>
  <c r="DS140" i="4" s="1"/>
  <c r="EC220" i="4"/>
  <c r="EE220" i="4"/>
  <c r="EI220" i="4"/>
  <c r="EG220" i="4"/>
  <c r="EA220" i="4"/>
  <c r="DY220" i="4"/>
  <c r="EC180" i="4"/>
  <c r="EI180" i="4"/>
  <c r="EG180" i="4"/>
  <c r="EA180" i="4"/>
  <c r="EE180" i="4"/>
  <c r="DY180" i="4"/>
  <c r="EC68" i="4"/>
  <c r="EG68" i="4"/>
  <c r="EI68" i="4"/>
  <c r="EA68" i="4"/>
  <c r="EE68" i="4"/>
  <c r="EC78" i="4"/>
  <c r="EA78" i="4"/>
  <c r="EI78" i="4"/>
  <c r="EE78" i="4"/>
  <c r="EG78" i="4"/>
  <c r="DR87" i="4"/>
  <c r="DS87" i="4" s="1"/>
  <c r="DR75" i="4"/>
  <c r="DS75" i="4" s="1"/>
  <c r="DR93" i="4"/>
  <c r="DS93" i="4" s="1"/>
  <c r="EC230" i="4"/>
  <c r="EG230" i="4"/>
  <c r="EI230" i="4"/>
  <c r="EE230" i="4"/>
  <c r="EA230" i="4"/>
  <c r="EC106" i="4"/>
  <c r="EI106" i="4"/>
  <c r="EE106" i="4"/>
  <c r="EG106" i="4"/>
  <c r="EA106" i="4"/>
  <c r="DR137" i="4"/>
  <c r="DS137" i="4" s="1"/>
  <c r="EC129" i="4"/>
  <c r="EI129" i="4"/>
  <c r="EG129" i="4"/>
  <c r="EE129" i="4"/>
  <c r="EA129" i="4"/>
  <c r="DY129" i="4"/>
  <c r="EC117" i="4"/>
  <c r="EI117" i="4"/>
  <c r="EE117" i="4"/>
  <c r="EG117" i="4"/>
  <c r="EA117" i="4"/>
  <c r="DY117" i="4"/>
  <c r="DY141" i="4"/>
  <c r="DY150" i="4"/>
  <c r="EC219" i="4"/>
  <c r="EG219" i="4"/>
  <c r="EE219" i="4"/>
  <c r="EA219" i="4"/>
  <c r="EI219" i="4"/>
  <c r="DY219" i="4"/>
  <c r="EC77" i="4"/>
  <c r="EE77" i="4"/>
  <c r="EA77" i="4"/>
  <c r="EI77" i="4"/>
  <c r="EG77" i="4"/>
  <c r="EC95" i="4"/>
  <c r="EI95" i="4"/>
  <c r="EA95" i="4"/>
  <c r="EG95" i="4"/>
  <c r="EE95" i="4"/>
  <c r="EC139" i="4"/>
  <c r="EI139" i="4"/>
  <c r="EE139" i="4"/>
  <c r="EG139" i="4"/>
  <c r="EA139" i="4"/>
  <c r="EC105" i="4"/>
  <c r="EI105" i="4"/>
  <c r="EE105" i="4"/>
  <c r="EG105" i="4"/>
  <c r="EA105" i="4"/>
  <c r="EC128" i="4"/>
  <c r="EG128" i="4"/>
  <c r="EI128" i="4"/>
  <c r="EE128" i="4"/>
  <c r="EA128" i="4"/>
  <c r="EC116" i="4"/>
  <c r="EE116" i="4"/>
  <c r="EG116" i="4"/>
  <c r="EI116" i="4"/>
  <c r="EA116" i="4"/>
  <c r="EC225" i="4"/>
  <c r="EA225" i="4"/>
  <c r="EI225" i="4"/>
  <c r="EG225" i="4"/>
  <c r="EE225" i="4"/>
  <c r="DY225" i="4"/>
  <c r="EC170" i="4"/>
  <c r="EG170" i="4"/>
  <c r="EI170" i="4"/>
  <c r="EE170" i="4"/>
  <c r="EA170" i="4"/>
  <c r="DY170" i="4"/>
  <c r="EC158" i="4"/>
  <c r="EG158" i="4"/>
  <c r="EI158" i="4"/>
  <c r="EE158" i="4"/>
  <c r="EA158" i="4"/>
  <c r="DY158" i="4"/>
  <c r="EC76" i="4"/>
  <c r="EI76" i="4"/>
  <c r="EG76" i="4"/>
  <c r="EA76" i="4"/>
  <c r="EE76" i="4"/>
  <c r="EC94" i="4"/>
  <c r="EI94" i="4"/>
  <c r="EG94" i="4"/>
  <c r="EA94" i="4"/>
  <c r="EE94" i="4"/>
  <c r="EC138" i="4"/>
  <c r="EI138" i="4"/>
  <c r="EA138" i="4"/>
  <c r="EE138" i="4"/>
  <c r="EG138" i="4"/>
  <c r="EC104" i="4"/>
  <c r="EI104" i="4"/>
  <c r="EE104" i="4"/>
  <c r="EG104" i="4"/>
  <c r="EA104" i="4"/>
  <c r="EC121" i="4"/>
  <c r="EG121" i="4"/>
  <c r="EI121" i="4"/>
  <c r="EA121" i="4"/>
  <c r="EE121" i="4"/>
  <c r="EC127" i="4"/>
  <c r="EG127" i="4"/>
  <c r="EI127" i="4"/>
  <c r="EE127" i="4"/>
  <c r="EA127" i="4"/>
  <c r="EC115" i="4"/>
  <c r="EE115" i="4"/>
  <c r="EI115" i="4"/>
  <c r="EG115" i="4"/>
  <c r="EA115" i="4"/>
  <c r="EC169" i="4"/>
  <c r="EG169" i="4"/>
  <c r="EI169" i="4"/>
  <c r="EE169" i="4"/>
  <c r="EA169" i="4"/>
  <c r="DY169" i="4"/>
  <c r="EC157" i="4"/>
  <c r="EG157" i="4"/>
  <c r="EI157" i="4"/>
  <c r="EE157" i="4"/>
  <c r="EA157" i="4"/>
  <c r="DY157" i="4"/>
  <c r="DR220" i="4"/>
  <c r="DS220" i="4" s="1"/>
  <c r="DO220" i="4"/>
  <c r="DR180" i="4"/>
  <c r="DS180" i="4" s="1"/>
  <c r="DO180" i="4"/>
  <c r="DY84" i="4"/>
  <c r="DY102" i="4"/>
  <c r="DY90" i="4"/>
  <c r="DY134" i="4"/>
  <c r="DY116" i="4"/>
  <c r="EC120" i="4"/>
  <c r="EI120" i="4"/>
  <c r="EG120" i="4"/>
  <c r="EA120" i="4"/>
  <c r="EE120" i="4"/>
  <c r="EC223" i="4"/>
  <c r="EG223" i="4"/>
  <c r="EE223" i="4"/>
  <c r="EA223" i="4"/>
  <c r="EI223" i="4"/>
  <c r="DY223" i="4"/>
  <c r="EC168" i="4"/>
  <c r="EI168" i="4"/>
  <c r="EG168" i="4"/>
  <c r="EA168" i="4"/>
  <c r="EE168" i="4"/>
  <c r="DY168" i="4"/>
  <c r="EC156" i="4"/>
  <c r="EI156" i="4"/>
  <c r="EG156" i="4"/>
  <c r="EE156" i="4"/>
  <c r="EA156" i="4"/>
  <c r="DY156" i="4"/>
  <c r="DY115" i="4"/>
  <c r="DO122" i="4"/>
  <c r="DR128" i="4"/>
  <c r="DS128" i="4" s="1"/>
  <c r="DO128" i="4"/>
  <c r="DR116" i="4"/>
  <c r="DS116" i="4" s="1"/>
  <c r="DO116" i="4"/>
  <c r="EC148" i="4"/>
  <c r="EI148" i="4"/>
  <c r="EG148" i="4"/>
  <c r="EA148" i="4"/>
  <c r="EE148" i="4"/>
  <c r="DY148" i="4"/>
  <c r="EC167" i="4"/>
  <c r="EI167" i="4"/>
  <c r="EG167" i="4"/>
  <c r="EE167" i="4"/>
  <c r="EA167" i="4"/>
  <c r="DY167" i="4"/>
  <c r="EC155" i="4"/>
  <c r="EI155" i="4"/>
  <c r="EE155" i="4"/>
  <c r="EA155" i="4"/>
  <c r="EG155" i="4"/>
  <c r="DY155" i="4"/>
  <c r="EC85" i="4"/>
  <c r="EG85" i="4"/>
  <c r="EI85" i="4"/>
  <c r="EA85" i="4"/>
  <c r="EE85" i="4"/>
  <c r="EC73" i="4"/>
  <c r="EG73" i="4"/>
  <c r="EI73" i="4"/>
  <c r="EA73" i="4"/>
  <c r="EE73" i="4"/>
  <c r="EC103" i="4"/>
  <c r="EI103" i="4"/>
  <c r="EE103" i="4"/>
  <c r="EG103" i="4"/>
  <c r="EA103" i="4"/>
  <c r="EC91" i="4"/>
  <c r="EG91" i="4"/>
  <c r="EE91" i="4"/>
  <c r="EI91" i="4"/>
  <c r="EA91" i="4"/>
  <c r="EC135" i="4"/>
  <c r="EG135" i="4"/>
  <c r="EI135" i="4"/>
  <c r="EA135" i="4"/>
  <c r="EE135" i="4"/>
  <c r="EC124" i="4"/>
  <c r="EI124" i="4"/>
  <c r="EG124" i="4"/>
  <c r="EA124" i="4"/>
  <c r="EE124" i="4"/>
  <c r="DY124" i="4"/>
  <c r="EC112" i="4"/>
  <c r="EI112" i="4"/>
  <c r="EG112" i="4"/>
  <c r="EA112" i="4"/>
  <c r="EE112" i="4"/>
  <c r="DY112" i="4"/>
  <c r="EC145" i="4"/>
  <c r="EG145" i="4"/>
  <c r="EI145" i="4"/>
  <c r="EE145" i="4"/>
  <c r="EA145" i="4"/>
  <c r="DY145" i="4"/>
  <c r="EC147" i="4"/>
  <c r="EG147" i="4"/>
  <c r="EA147" i="4"/>
  <c r="EE147" i="4"/>
  <c r="EI147" i="4"/>
  <c r="DY147" i="4"/>
  <c r="EC154" i="4"/>
  <c r="EI154" i="4"/>
  <c r="EE154" i="4"/>
  <c r="EA154" i="4"/>
  <c r="EG154" i="4"/>
  <c r="DY154" i="4"/>
  <c r="DR209" i="4"/>
  <c r="DS209" i="4" s="1"/>
  <c r="DO209" i="4"/>
  <c r="DR197" i="4"/>
  <c r="DS197" i="4" s="1"/>
  <c r="DO197" i="4"/>
  <c r="EC269" i="4"/>
  <c r="EE269" i="4"/>
  <c r="EG269" i="4"/>
  <c r="EI269" i="4"/>
  <c r="EA269" i="4"/>
  <c r="DY269" i="4"/>
  <c r="EC257" i="4"/>
  <c r="EE257" i="4"/>
  <c r="EG257" i="4"/>
  <c r="EA257" i="4"/>
  <c r="EI257" i="4"/>
  <c r="DY257" i="4"/>
  <c r="EC289" i="4"/>
  <c r="EG289" i="4"/>
  <c r="EI289" i="4"/>
  <c r="EA289" i="4"/>
  <c r="EE289" i="4"/>
  <c r="DY289" i="4"/>
  <c r="EC277" i="4"/>
  <c r="EG277" i="4"/>
  <c r="EI277" i="4"/>
  <c r="EA277" i="4"/>
  <c r="EE277" i="4"/>
  <c r="DY277" i="4"/>
  <c r="EC229" i="4"/>
  <c r="EG229" i="4"/>
  <c r="EI229" i="4"/>
  <c r="EE229" i="4"/>
  <c r="EA229" i="4"/>
  <c r="EC143" i="4"/>
  <c r="EI143" i="4"/>
  <c r="EE143" i="4"/>
  <c r="EA143" i="4"/>
  <c r="EG143" i="4"/>
  <c r="EC171" i="4"/>
  <c r="EG171" i="4"/>
  <c r="EI171" i="4"/>
  <c r="EE171" i="4"/>
  <c r="EA171" i="4"/>
  <c r="EC203" i="4"/>
  <c r="EI203" i="4"/>
  <c r="EE203" i="4"/>
  <c r="EG203" i="4"/>
  <c r="EA203" i="4"/>
  <c r="DY203" i="4"/>
  <c r="DO196" i="4"/>
  <c r="DR196" i="4"/>
  <c r="DS196" i="4" s="1"/>
  <c r="DO146" i="4"/>
  <c r="DR162" i="4"/>
  <c r="DS162" i="4" s="1"/>
  <c r="EC185" i="4"/>
  <c r="EE185" i="4"/>
  <c r="EG185" i="4"/>
  <c r="EA185" i="4"/>
  <c r="EI185" i="4"/>
  <c r="DY185" i="4"/>
  <c r="EC202" i="4"/>
  <c r="EI202" i="4"/>
  <c r="EA202" i="4"/>
  <c r="EE202" i="4"/>
  <c r="EG202" i="4"/>
  <c r="DY202" i="4"/>
  <c r="EC211" i="4"/>
  <c r="EG211" i="4"/>
  <c r="EE211" i="4"/>
  <c r="EI211" i="4"/>
  <c r="EA211" i="4"/>
  <c r="EC199" i="4"/>
  <c r="EE199" i="4"/>
  <c r="EG199" i="4"/>
  <c r="EA199" i="4"/>
  <c r="EI199" i="4"/>
  <c r="DY171" i="4"/>
  <c r="DO155" i="4"/>
  <c r="EC218" i="4"/>
  <c r="EG218" i="4"/>
  <c r="EI218" i="4"/>
  <c r="EE218" i="4"/>
  <c r="EA218" i="4"/>
  <c r="EC178" i="4"/>
  <c r="EI178" i="4"/>
  <c r="EE178" i="4"/>
  <c r="EG178" i="4"/>
  <c r="EA178" i="4"/>
  <c r="EC210" i="4"/>
  <c r="EE210" i="4"/>
  <c r="EI210" i="4"/>
  <c r="EA210" i="4"/>
  <c r="EG210" i="4"/>
  <c r="EC198" i="4"/>
  <c r="EE198" i="4"/>
  <c r="EI198" i="4"/>
  <c r="EG198" i="4"/>
  <c r="EA198" i="4"/>
  <c r="EC226" i="4"/>
  <c r="EI226" i="4"/>
  <c r="EG226" i="4"/>
  <c r="EA226" i="4"/>
  <c r="EE226" i="4"/>
  <c r="EC140" i="4"/>
  <c r="EI140" i="4"/>
  <c r="EE140" i="4"/>
  <c r="EG140" i="4"/>
  <c r="EA140" i="4"/>
  <c r="EC181" i="4"/>
  <c r="EG181" i="4"/>
  <c r="EI181" i="4"/>
  <c r="EA181" i="4"/>
  <c r="EE181" i="4"/>
  <c r="EC209" i="4"/>
  <c r="EE209" i="4"/>
  <c r="EG209" i="4"/>
  <c r="EI209" i="4"/>
  <c r="EA209" i="4"/>
  <c r="DY209" i="4"/>
  <c r="EC197" i="4"/>
  <c r="EE197" i="4"/>
  <c r="EG197" i="4"/>
  <c r="EA197" i="4"/>
  <c r="EI197" i="4"/>
  <c r="DY197" i="4"/>
  <c r="DR225" i="4"/>
  <c r="DS225" i="4" s="1"/>
  <c r="EC164" i="4"/>
  <c r="EI164" i="4"/>
  <c r="EG164" i="4"/>
  <c r="EE164" i="4"/>
  <c r="EA164" i="4"/>
  <c r="EC152" i="4"/>
  <c r="EG152" i="4"/>
  <c r="EE152" i="4"/>
  <c r="EI152" i="4"/>
  <c r="EA152" i="4"/>
  <c r="DO167" i="4"/>
  <c r="DY178" i="4"/>
  <c r="EC188" i="4"/>
  <c r="EA188" i="4"/>
  <c r="EE188" i="4"/>
  <c r="EG188" i="4"/>
  <c r="EI188" i="4"/>
  <c r="DY188" i="4"/>
  <c r="EC176" i="4"/>
  <c r="EI176" i="4"/>
  <c r="EG176" i="4"/>
  <c r="EE176" i="4"/>
  <c r="EA176" i="4"/>
  <c r="DY176" i="4"/>
  <c r="DY199" i="4"/>
  <c r="DO208" i="4"/>
  <c r="EC243" i="4"/>
  <c r="EG243" i="4"/>
  <c r="EI243" i="4"/>
  <c r="EE243" i="4"/>
  <c r="EA243" i="4"/>
  <c r="DY243" i="4"/>
  <c r="EC224" i="4"/>
  <c r="EG224" i="4"/>
  <c r="EA224" i="4"/>
  <c r="EE224" i="4"/>
  <c r="EI224" i="4"/>
  <c r="EC166" i="4"/>
  <c r="EI166" i="4"/>
  <c r="EG166" i="4"/>
  <c r="EE166" i="4"/>
  <c r="EA166" i="4"/>
  <c r="EC153" i="4"/>
  <c r="EI153" i="4"/>
  <c r="EG153" i="4"/>
  <c r="EE153" i="4"/>
  <c r="EA153" i="4"/>
  <c r="DY153" i="4"/>
  <c r="EC179" i="4"/>
  <c r="EI179" i="4"/>
  <c r="EA179" i="4"/>
  <c r="EG179" i="4"/>
  <c r="EE179" i="4"/>
  <c r="DY179" i="4"/>
  <c r="EC191" i="4"/>
  <c r="EI191" i="4"/>
  <c r="EE191" i="4"/>
  <c r="EG191" i="4"/>
  <c r="EA191" i="4"/>
  <c r="DY191" i="4"/>
  <c r="EC207" i="4"/>
  <c r="EG207" i="4"/>
  <c r="EA207" i="4"/>
  <c r="EI207" i="4"/>
  <c r="EE207" i="4"/>
  <c r="DY207" i="4"/>
  <c r="EC195" i="4"/>
  <c r="EG195" i="4"/>
  <c r="EA195" i="4"/>
  <c r="EI195" i="4"/>
  <c r="EE195" i="4"/>
  <c r="DY195" i="4"/>
  <c r="EC165" i="4"/>
  <c r="EA165" i="4"/>
  <c r="EI165" i="4"/>
  <c r="EG165" i="4"/>
  <c r="EE165" i="4"/>
  <c r="EC151" i="4"/>
  <c r="EG151" i="4"/>
  <c r="EE151" i="4"/>
  <c r="EI151" i="4"/>
  <c r="EA151" i="4"/>
  <c r="EC177" i="4"/>
  <c r="EA177" i="4"/>
  <c r="EI177" i="4"/>
  <c r="EG177" i="4"/>
  <c r="EE177" i="4"/>
  <c r="DY177" i="4"/>
  <c r="EC190" i="4"/>
  <c r="EI190" i="4"/>
  <c r="EE190" i="4"/>
  <c r="EG190" i="4"/>
  <c r="EA190" i="4"/>
  <c r="DY190" i="4"/>
  <c r="EC206" i="4"/>
  <c r="EG206" i="4"/>
  <c r="EI206" i="4"/>
  <c r="EE206" i="4"/>
  <c r="EA206" i="4"/>
  <c r="DY206" i="4"/>
  <c r="EC194" i="4"/>
  <c r="EG194" i="4"/>
  <c r="EI194" i="4"/>
  <c r="EE194" i="4"/>
  <c r="EA194" i="4"/>
  <c r="DY194" i="4"/>
  <c r="DY166" i="4"/>
  <c r="EC163" i="4"/>
  <c r="EE163" i="4"/>
  <c r="EI163" i="4"/>
  <c r="EG163" i="4"/>
  <c r="EA163" i="4"/>
  <c r="DR154" i="4"/>
  <c r="DS154" i="4" s="1"/>
  <c r="DO149" i="4"/>
  <c r="EC221" i="4"/>
  <c r="EE221" i="4"/>
  <c r="EG221" i="4"/>
  <c r="EA221" i="4"/>
  <c r="EI221" i="4"/>
  <c r="EC215" i="4"/>
  <c r="EI215" i="4"/>
  <c r="EA215" i="4"/>
  <c r="EG215" i="4"/>
  <c r="EE215" i="4"/>
  <c r="DY215" i="4"/>
  <c r="EC217" i="4"/>
  <c r="EG217" i="4"/>
  <c r="EI217" i="4"/>
  <c r="EE217" i="4"/>
  <c r="EA217" i="4"/>
  <c r="DY217" i="4"/>
  <c r="EC205" i="4"/>
  <c r="EG205" i="4"/>
  <c r="EI205" i="4"/>
  <c r="EE205" i="4"/>
  <c r="EA205" i="4"/>
  <c r="DY205" i="4"/>
  <c r="EC193" i="4"/>
  <c r="EG193" i="4"/>
  <c r="EI193" i="4"/>
  <c r="EE193" i="4"/>
  <c r="EA193" i="4"/>
  <c r="DY193" i="4"/>
  <c r="DY229" i="4"/>
  <c r="DY143" i="4"/>
  <c r="DY165" i="4"/>
  <c r="EC149" i="4"/>
  <c r="EE149" i="4"/>
  <c r="EA149" i="4"/>
  <c r="EG149" i="4"/>
  <c r="EI149" i="4"/>
  <c r="EC184" i="4"/>
  <c r="EE184" i="4"/>
  <c r="EI184" i="4"/>
  <c r="EG184" i="4"/>
  <c r="EA184" i="4"/>
  <c r="DY184" i="4"/>
  <c r="EC172" i="4"/>
  <c r="EE172" i="4"/>
  <c r="EI172" i="4"/>
  <c r="EG172" i="4"/>
  <c r="EA172" i="4"/>
  <c r="DY172" i="4"/>
  <c r="EC214" i="4"/>
  <c r="EI214" i="4"/>
  <c r="EE214" i="4"/>
  <c r="EA214" i="4"/>
  <c r="EG214" i="4"/>
  <c r="DY214" i="4"/>
  <c r="EC216" i="4"/>
  <c r="EI216" i="4"/>
  <c r="EG216" i="4"/>
  <c r="EA216" i="4"/>
  <c r="EE216" i="4"/>
  <c r="DY216" i="4"/>
  <c r="EC204" i="4"/>
  <c r="EI204" i="4"/>
  <c r="EG204" i="4"/>
  <c r="EE204" i="4"/>
  <c r="EA204" i="4"/>
  <c r="DY204" i="4"/>
  <c r="EC192" i="4"/>
  <c r="EI192" i="4"/>
  <c r="EG192" i="4"/>
  <c r="EE192" i="4"/>
  <c r="EA192" i="4"/>
  <c r="DY192" i="4"/>
  <c r="EC122" i="4"/>
  <c r="EG122" i="4"/>
  <c r="EI122" i="4"/>
  <c r="EA122" i="4"/>
  <c r="EE122" i="4"/>
  <c r="DY151" i="4"/>
  <c r="EC161" i="4"/>
  <c r="EE161" i="4"/>
  <c r="EG161" i="4"/>
  <c r="EA161" i="4"/>
  <c r="EI161" i="4"/>
  <c r="DR166" i="4"/>
  <c r="DS166" i="4" s="1"/>
  <c r="DO161" i="4"/>
  <c r="EC173" i="4"/>
  <c r="EE173" i="4"/>
  <c r="EG173" i="4"/>
  <c r="EI173" i="4"/>
  <c r="EA173" i="4"/>
  <c r="DY173" i="4"/>
  <c r="DR188" i="4"/>
  <c r="DS188" i="4" s="1"/>
  <c r="EC213" i="4"/>
  <c r="EA213" i="4"/>
  <c r="EI213" i="4"/>
  <c r="EE213" i="4"/>
  <c r="EG213" i="4"/>
  <c r="EC201" i="4"/>
  <c r="EA201" i="4"/>
  <c r="EI201" i="4"/>
  <c r="EG201" i="4"/>
  <c r="EE201" i="4"/>
  <c r="EC291" i="4"/>
  <c r="EG291" i="4"/>
  <c r="EI291" i="4"/>
  <c r="EA291" i="4"/>
  <c r="EE291" i="4"/>
  <c r="EC272" i="4"/>
  <c r="EI272" i="4"/>
  <c r="EG272" i="4"/>
  <c r="EA272" i="4"/>
  <c r="EE272" i="4"/>
  <c r="DY272" i="4"/>
  <c r="EC242" i="4"/>
  <c r="EG242" i="4"/>
  <c r="EI242" i="4"/>
  <c r="EE242" i="4"/>
  <c r="EA242" i="4"/>
  <c r="DY242" i="4"/>
  <c r="EC212" i="4"/>
  <c r="EI212" i="4"/>
  <c r="EE212" i="4"/>
  <c r="EA212" i="4"/>
  <c r="EG212" i="4"/>
  <c r="EC200" i="4"/>
  <c r="EA200" i="4"/>
  <c r="EG200" i="4"/>
  <c r="EI200" i="4"/>
  <c r="EE200" i="4"/>
  <c r="DY291" i="4"/>
  <c r="EC273" i="4"/>
  <c r="EA273" i="4"/>
  <c r="EI273" i="4"/>
  <c r="EG273" i="4"/>
  <c r="EE273" i="4"/>
  <c r="DY273" i="4"/>
  <c r="EC252" i="4"/>
  <c r="EI252" i="4"/>
  <c r="EG252" i="4"/>
  <c r="EA252" i="4"/>
  <c r="EE252" i="4"/>
  <c r="EC240" i="4"/>
  <c r="EI240" i="4"/>
  <c r="EG240" i="4"/>
  <c r="EA240" i="4"/>
  <c r="EE240" i="4"/>
  <c r="DO246" i="4"/>
  <c r="DR246" i="4"/>
  <c r="DS246" i="4" s="1"/>
  <c r="DO184" i="4"/>
  <c r="DO172" i="4"/>
  <c r="DR202" i="4"/>
  <c r="DS202" i="4" s="1"/>
  <c r="DR297" i="4"/>
  <c r="DS297" i="4" s="1"/>
  <c r="DO297" i="4"/>
  <c r="DY240" i="4"/>
  <c r="DO245" i="4"/>
  <c r="DR245" i="4"/>
  <c r="DS245" i="4" s="1"/>
  <c r="EC187" i="4"/>
  <c r="EE187" i="4"/>
  <c r="EA187" i="4"/>
  <c r="EG187" i="4"/>
  <c r="EI187" i="4"/>
  <c r="EC175" i="4"/>
  <c r="EE175" i="4"/>
  <c r="EA175" i="4"/>
  <c r="EI175" i="4"/>
  <c r="EG175" i="4"/>
  <c r="DR201" i="4"/>
  <c r="DS201" i="4" s="1"/>
  <c r="EC250" i="4"/>
  <c r="EI250" i="4"/>
  <c r="EE250" i="4"/>
  <c r="EG250" i="4"/>
  <c r="EA250" i="4"/>
  <c r="DY250" i="4"/>
  <c r="EC238" i="4"/>
  <c r="EI238" i="4"/>
  <c r="EA238" i="4"/>
  <c r="EG238" i="4"/>
  <c r="EE238" i="4"/>
  <c r="DY238" i="4"/>
  <c r="EC263" i="4"/>
  <c r="EI263" i="4"/>
  <c r="EE263" i="4"/>
  <c r="EA263" i="4"/>
  <c r="EG263" i="4"/>
  <c r="EC186" i="4"/>
  <c r="EE186" i="4"/>
  <c r="EI186" i="4"/>
  <c r="EA186" i="4"/>
  <c r="EG186" i="4"/>
  <c r="EC174" i="4"/>
  <c r="EE174" i="4"/>
  <c r="EI174" i="4"/>
  <c r="EA174" i="4"/>
  <c r="EG174" i="4"/>
  <c r="EC208" i="4"/>
  <c r="EE208" i="4"/>
  <c r="EI208" i="4"/>
  <c r="EG208" i="4"/>
  <c r="EA208" i="4"/>
  <c r="EC196" i="4"/>
  <c r="EE196" i="4"/>
  <c r="EI196" i="4"/>
  <c r="EG196" i="4"/>
  <c r="EA196" i="4"/>
  <c r="EC237" i="4"/>
  <c r="EA237" i="4"/>
  <c r="EI237" i="4"/>
  <c r="EG237" i="4"/>
  <c r="EE237" i="4"/>
  <c r="DY237" i="4"/>
  <c r="EC249" i="4"/>
  <c r="EA249" i="4"/>
  <c r="EI249" i="4"/>
  <c r="EE249" i="4"/>
  <c r="EG249" i="4"/>
  <c r="DY249" i="4"/>
  <c r="EC297" i="4"/>
  <c r="EA297" i="4"/>
  <c r="EI297" i="4"/>
  <c r="EE297" i="4"/>
  <c r="EG297" i="4"/>
  <c r="DY297" i="4"/>
  <c r="EC296" i="4"/>
  <c r="EI296" i="4"/>
  <c r="EE296" i="4"/>
  <c r="EG296" i="4"/>
  <c r="EA296" i="4"/>
  <c r="DY296" i="4"/>
  <c r="EC247" i="4"/>
  <c r="EG247" i="4"/>
  <c r="EE247" i="4"/>
  <c r="EI247" i="4"/>
  <c r="EA247" i="4"/>
  <c r="DY247" i="4"/>
  <c r="EC183" i="4"/>
  <c r="EG183" i="4"/>
  <c r="EA183" i="4"/>
  <c r="EE183" i="4"/>
  <c r="EI183" i="4"/>
  <c r="DY213" i="4"/>
  <c r="DY201" i="4"/>
  <c r="EC245" i="4"/>
  <c r="EE245" i="4"/>
  <c r="EG245" i="4"/>
  <c r="EI245" i="4"/>
  <c r="EA245" i="4"/>
  <c r="DY245" i="4"/>
  <c r="EC246" i="4"/>
  <c r="EE246" i="4"/>
  <c r="EI246" i="4"/>
  <c r="EG246" i="4"/>
  <c r="EA246" i="4"/>
  <c r="DY246" i="4"/>
  <c r="DY183" i="4"/>
  <c r="DY212" i="4"/>
  <c r="DY200" i="4"/>
  <c r="DR195" i="4"/>
  <c r="DS195" i="4" s="1"/>
  <c r="EC294" i="4"/>
  <c r="EE294" i="4"/>
  <c r="EI294" i="4"/>
  <c r="EA294" i="4"/>
  <c r="EG294" i="4"/>
  <c r="DY294" i="4"/>
  <c r="EC244" i="4"/>
  <c r="EE244" i="4"/>
  <c r="EI244" i="4"/>
  <c r="EG244" i="4"/>
  <c r="EA244" i="4"/>
  <c r="DY244" i="4"/>
  <c r="DO273" i="4"/>
  <c r="DO272" i="4"/>
  <c r="DO242" i="4"/>
  <c r="EC261" i="4"/>
  <c r="EA261" i="4"/>
  <c r="EI261" i="4"/>
  <c r="EE261" i="4"/>
  <c r="EG261" i="4"/>
  <c r="DY261" i="4"/>
  <c r="DR269" i="4"/>
  <c r="DS269" i="4" s="1"/>
  <c r="EC290" i="4"/>
  <c r="EG290" i="4"/>
  <c r="EI290" i="4"/>
  <c r="EA290" i="4"/>
  <c r="EE290" i="4"/>
  <c r="DY290" i="4"/>
  <c r="EC278" i="4"/>
  <c r="EG278" i="4"/>
  <c r="EI278" i="4"/>
  <c r="EA278" i="4"/>
  <c r="EE278" i="4"/>
  <c r="DY278" i="4"/>
  <c r="EC258" i="4"/>
  <c r="EE258" i="4"/>
  <c r="EI258" i="4"/>
  <c r="EG258" i="4"/>
  <c r="EA258" i="4"/>
  <c r="EC287" i="4"/>
  <c r="EI287" i="4"/>
  <c r="EA287" i="4"/>
  <c r="EE287" i="4"/>
  <c r="EG287" i="4"/>
  <c r="DY287" i="4"/>
  <c r="EC286" i="4"/>
  <c r="EI286" i="4"/>
  <c r="EG286" i="4"/>
  <c r="EE286" i="4"/>
  <c r="EA286" i="4"/>
  <c r="DY286" i="4"/>
  <c r="DO288" i="4"/>
  <c r="DR288" i="4"/>
  <c r="DS288" i="4" s="1"/>
  <c r="DO276" i="4"/>
  <c r="DR276" i="4"/>
  <c r="DS276" i="4" s="1"/>
  <c r="EC253" i="4"/>
  <c r="EG253" i="4"/>
  <c r="EI253" i="4"/>
  <c r="EA253" i="4"/>
  <c r="EE253" i="4"/>
  <c r="EC241" i="4"/>
  <c r="EG241" i="4"/>
  <c r="EI241" i="4"/>
  <c r="EA241" i="4"/>
  <c r="EE241" i="4"/>
  <c r="DO287" i="4"/>
  <c r="DR287" i="4"/>
  <c r="DS287" i="4" s="1"/>
  <c r="DO275" i="4"/>
  <c r="DR275" i="4"/>
  <c r="DS275" i="4" s="1"/>
  <c r="DR243" i="4"/>
  <c r="DS243" i="4" s="1"/>
  <c r="DR263" i="4"/>
  <c r="DS263" i="4" s="1"/>
  <c r="EC295" i="4"/>
  <c r="EI295" i="4"/>
  <c r="EG295" i="4"/>
  <c r="EE295" i="4"/>
  <c r="EA295" i="4"/>
  <c r="EC251" i="4"/>
  <c r="EI251" i="4"/>
  <c r="EG251" i="4"/>
  <c r="EA251" i="4"/>
  <c r="EE251" i="4"/>
  <c r="EC239" i="4"/>
  <c r="EI239" i="4"/>
  <c r="EA239" i="4"/>
  <c r="EG239" i="4"/>
  <c r="EE239" i="4"/>
  <c r="EC270" i="4"/>
  <c r="EE270" i="4"/>
  <c r="EI270" i="4"/>
  <c r="EG270" i="4"/>
  <c r="EA270" i="4"/>
  <c r="DO294" i="4"/>
  <c r="DY270" i="4"/>
  <c r="EC268" i="4"/>
  <c r="EE268" i="4"/>
  <c r="EI268" i="4"/>
  <c r="EG268" i="4"/>
  <c r="EA268" i="4"/>
  <c r="EC256" i="4"/>
  <c r="EE256" i="4"/>
  <c r="EI256" i="4"/>
  <c r="EG256" i="4"/>
  <c r="EA256" i="4"/>
  <c r="EC293" i="4"/>
  <c r="EE293" i="4"/>
  <c r="EI293" i="4"/>
  <c r="EG293" i="4"/>
  <c r="EA293" i="4"/>
  <c r="EC264" i="4"/>
  <c r="EI264" i="4"/>
  <c r="EG264" i="4"/>
  <c r="EE264" i="4"/>
  <c r="EA264" i="4"/>
  <c r="EC267" i="4"/>
  <c r="EG267" i="4"/>
  <c r="EA267" i="4"/>
  <c r="EI267" i="4"/>
  <c r="EE267" i="4"/>
  <c r="EC255" i="4"/>
  <c r="EG255" i="4"/>
  <c r="EE255" i="4"/>
  <c r="EI255" i="4"/>
  <c r="EA255" i="4"/>
  <c r="EC281" i="4"/>
  <c r="EE281" i="4"/>
  <c r="EG281" i="4"/>
  <c r="EI281" i="4"/>
  <c r="EA281" i="4"/>
  <c r="EC292" i="4"/>
  <c r="EE292" i="4"/>
  <c r="EI292" i="4"/>
  <c r="EG292" i="4"/>
  <c r="EA292" i="4"/>
  <c r="EC248" i="4"/>
  <c r="EI248" i="4"/>
  <c r="EE248" i="4"/>
  <c r="EG248" i="4"/>
  <c r="EA248" i="4"/>
  <c r="DY268" i="4"/>
  <c r="EC266" i="4"/>
  <c r="EG266" i="4"/>
  <c r="EI266" i="4"/>
  <c r="EE266" i="4"/>
  <c r="EA266" i="4"/>
  <c r="DY266" i="4"/>
  <c r="EC254" i="4"/>
  <c r="EG254" i="4"/>
  <c r="EI254" i="4"/>
  <c r="EA254" i="4"/>
  <c r="EE254" i="4"/>
  <c r="DY254" i="4"/>
  <c r="EC275" i="4"/>
  <c r="EI275" i="4"/>
  <c r="EG275" i="4"/>
  <c r="EA275" i="4"/>
  <c r="EE275" i="4"/>
  <c r="DY275" i="4"/>
  <c r="EC280" i="4"/>
  <c r="EE280" i="4"/>
  <c r="EI280" i="4"/>
  <c r="EG280" i="4"/>
  <c r="EA280" i="4"/>
  <c r="DY280" i="4"/>
  <c r="EC262" i="4"/>
  <c r="EI262" i="4"/>
  <c r="EE262" i="4"/>
  <c r="EA262" i="4"/>
  <c r="EG262" i="4"/>
  <c r="DY262" i="4"/>
  <c r="EC265" i="4"/>
  <c r="EG265" i="4"/>
  <c r="EI265" i="4"/>
  <c r="EE265" i="4"/>
  <c r="EA265" i="4"/>
  <c r="DY265" i="4"/>
  <c r="EC274" i="4"/>
  <c r="EI274" i="4"/>
  <c r="EA274" i="4"/>
  <c r="EG274" i="4"/>
  <c r="EE274" i="4"/>
  <c r="DY274" i="4"/>
  <c r="EC279" i="4"/>
  <c r="EG279" i="4"/>
  <c r="EA279" i="4"/>
  <c r="EI279" i="4"/>
  <c r="EE279" i="4"/>
  <c r="DY279" i="4"/>
  <c r="EC288" i="4"/>
  <c r="EI288" i="4"/>
  <c r="EG288" i="4"/>
  <c r="EA288" i="4"/>
  <c r="EE288" i="4"/>
  <c r="EC276" i="4"/>
  <c r="EI276" i="4"/>
  <c r="EG276" i="4"/>
  <c r="EA276" i="4"/>
  <c r="EE276" i="4"/>
  <c r="EC285" i="4"/>
  <c r="EA285" i="4"/>
  <c r="EI285" i="4"/>
  <c r="EG285" i="4"/>
  <c r="EE285" i="4"/>
  <c r="EC260" i="4"/>
  <c r="EG260" i="4"/>
  <c r="EA260" i="4"/>
  <c r="EE260" i="4"/>
  <c r="EI260" i="4"/>
  <c r="EC284" i="4"/>
  <c r="EI284" i="4"/>
  <c r="EG284" i="4"/>
  <c r="EE284" i="4"/>
  <c r="EA284" i="4"/>
  <c r="EC271" i="4"/>
  <c r="EG271" i="4"/>
  <c r="EE271" i="4"/>
  <c r="EI271" i="4"/>
  <c r="EA271" i="4"/>
  <c r="EC259" i="4"/>
  <c r="EG259" i="4"/>
  <c r="EE259" i="4"/>
  <c r="EA259" i="4"/>
  <c r="EI259" i="4"/>
  <c r="EC283" i="4"/>
  <c r="EG283" i="4"/>
  <c r="EE283" i="4"/>
  <c r="EI283" i="4"/>
  <c r="EA283" i="4"/>
  <c r="DR286" i="4"/>
  <c r="DS286" i="4" s="1"/>
  <c r="DR274" i="4"/>
  <c r="DS274" i="4" s="1"/>
  <c r="EC282" i="4"/>
  <c r="EE282" i="4"/>
  <c r="EI282" i="4"/>
  <c r="EG282" i="4"/>
  <c r="EA282" i="4"/>
  <c r="DY288" i="4"/>
  <c r="DY276" i="4"/>
  <c r="DY260" i="4"/>
  <c r="DY285" i="4"/>
  <c r="DY271" i="4"/>
  <c r="DY259" i="4"/>
  <c r="DY284" i="4"/>
  <c r="DY35" i="4"/>
  <c r="EC35" i="4"/>
  <c r="DY42" i="4"/>
  <c r="EC42" i="4"/>
  <c r="DY43" i="4"/>
  <c r="EC43" i="4"/>
  <c r="CK35" i="4"/>
  <c r="CW35" i="4"/>
  <c r="CW11" i="4"/>
  <c r="CW300" i="4"/>
  <c r="CW299" i="4"/>
  <c r="CW298" i="4"/>
  <c r="CW297" i="4"/>
  <c r="CW296" i="4"/>
  <c r="CW295" i="4"/>
  <c r="CW294" i="4"/>
  <c r="CW293" i="4"/>
  <c r="CW292" i="4"/>
  <c r="CW291" i="4"/>
  <c r="CW290" i="4"/>
  <c r="CW289" i="4"/>
  <c r="CW288" i="4"/>
  <c r="CW287" i="4"/>
  <c r="CW286" i="4"/>
  <c r="CW285" i="4"/>
  <c r="CW284" i="4"/>
  <c r="CW283" i="4"/>
  <c r="CW282" i="4"/>
  <c r="CW281" i="4"/>
  <c r="CW280" i="4"/>
  <c r="CW279" i="4"/>
  <c r="CW278" i="4"/>
  <c r="CW277" i="4"/>
  <c r="CW276" i="4"/>
  <c r="CW275" i="4"/>
  <c r="CW274" i="4"/>
  <c r="CW273" i="4"/>
  <c r="CW272" i="4"/>
  <c r="CW271" i="4"/>
  <c r="CW270" i="4"/>
  <c r="CW269" i="4"/>
  <c r="CW268" i="4"/>
  <c r="CW267" i="4"/>
  <c r="CW266" i="4"/>
  <c r="CW265" i="4"/>
  <c r="CW264" i="4"/>
  <c r="CW263" i="4"/>
  <c r="CW262" i="4"/>
  <c r="CW261" i="4"/>
  <c r="CW260" i="4"/>
  <c r="CW259" i="4"/>
  <c r="CW258" i="4"/>
  <c r="CW257" i="4"/>
  <c r="CW256" i="4"/>
  <c r="CW255" i="4"/>
  <c r="CW254" i="4"/>
  <c r="CW253" i="4"/>
  <c r="CW252" i="4"/>
  <c r="CW251" i="4"/>
  <c r="CW250" i="4"/>
  <c r="CW249" i="4"/>
  <c r="CW248" i="4"/>
  <c r="CW247" i="4"/>
  <c r="CW246" i="4"/>
  <c r="CW245" i="4"/>
  <c r="CW244" i="4"/>
  <c r="CW243" i="4"/>
  <c r="CW242" i="4"/>
  <c r="CW241" i="4"/>
  <c r="CW240" i="4"/>
  <c r="CW239" i="4"/>
  <c r="CW238" i="4"/>
  <c r="CW237" i="4"/>
  <c r="CW236" i="4"/>
  <c r="CW235" i="4"/>
  <c r="CW234" i="4"/>
  <c r="CW233" i="4"/>
  <c r="CW232" i="4"/>
  <c r="CW231" i="4"/>
  <c r="CW230" i="4"/>
  <c r="CW229" i="4"/>
  <c r="CW228" i="4"/>
  <c r="CW227" i="4"/>
  <c r="CW226" i="4"/>
  <c r="CW225" i="4"/>
  <c r="CW224" i="4"/>
  <c r="CW223" i="4"/>
  <c r="CW222" i="4"/>
  <c r="CW221" i="4"/>
  <c r="CW220" i="4"/>
  <c r="CW219" i="4"/>
  <c r="CW218" i="4"/>
  <c r="CW217" i="4"/>
  <c r="CW216" i="4"/>
  <c r="CW215" i="4"/>
  <c r="CW214" i="4"/>
  <c r="CW213" i="4"/>
  <c r="CW212" i="4"/>
  <c r="CW211" i="4"/>
  <c r="CW210" i="4"/>
  <c r="CW209" i="4"/>
  <c r="CW208" i="4"/>
  <c r="CW207" i="4"/>
  <c r="CW206" i="4"/>
  <c r="CW205" i="4"/>
  <c r="CW204" i="4"/>
  <c r="CW203" i="4"/>
  <c r="CW202" i="4"/>
  <c r="CW201" i="4"/>
  <c r="CW200" i="4"/>
  <c r="CW199" i="4"/>
  <c r="CW198" i="4"/>
  <c r="CW197" i="4"/>
  <c r="CW196" i="4"/>
  <c r="CW195" i="4"/>
  <c r="CW194" i="4"/>
  <c r="CW193" i="4"/>
  <c r="CW192" i="4"/>
  <c r="CW191" i="4"/>
  <c r="CW190" i="4"/>
  <c r="CW189" i="4"/>
  <c r="CW188" i="4"/>
  <c r="CW187" i="4"/>
  <c r="CW186" i="4"/>
  <c r="CW185" i="4"/>
  <c r="CW184" i="4"/>
  <c r="CW183" i="4"/>
  <c r="CW182" i="4"/>
  <c r="CW181" i="4"/>
  <c r="CW180" i="4"/>
  <c r="CW179" i="4"/>
  <c r="CW178" i="4"/>
  <c r="CW177" i="4"/>
  <c r="CW176" i="4"/>
  <c r="CW175" i="4"/>
  <c r="CW174" i="4"/>
  <c r="CW173" i="4"/>
  <c r="CW172" i="4"/>
  <c r="CW171" i="4"/>
  <c r="CW170" i="4"/>
  <c r="CW169" i="4"/>
  <c r="CW168" i="4"/>
  <c r="CW167" i="4"/>
  <c r="CW166" i="4"/>
  <c r="CW165" i="4"/>
  <c r="CW164" i="4"/>
  <c r="CW163" i="4"/>
  <c r="CW162" i="4"/>
  <c r="CW161" i="4"/>
  <c r="CW160" i="4"/>
  <c r="CW159" i="4"/>
  <c r="CW158" i="4"/>
  <c r="CW157" i="4"/>
  <c r="CW156" i="4"/>
  <c r="CW155" i="4"/>
  <c r="CW154" i="4"/>
  <c r="CW153" i="4"/>
  <c r="CW152" i="4"/>
  <c r="CW151" i="4"/>
  <c r="CW150" i="4"/>
  <c r="CW149" i="4"/>
  <c r="CW148" i="4"/>
  <c r="CW147" i="4"/>
  <c r="CW146" i="4"/>
  <c r="CW145" i="4"/>
  <c r="CW144" i="4"/>
  <c r="CW143" i="4"/>
  <c r="CW142" i="4"/>
  <c r="CW141" i="4"/>
  <c r="CW140" i="4"/>
  <c r="CW139" i="4"/>
  <c r="CW138" i="4"/>
  <c r="CW137" i="4"/>
  <c r="CW136" i="4"/>
  <c r="CW135" i="4"/>
  <c r="CW134" i="4"/>
  <c r="CW133" i="4"/>
  <c r="CW132" i="4"/>
  <c r="CW131" i="4"/>
  <c r="CW130" i="4"/>
  <c r="CW129" i="4"/>
  <c r="CW128" i="4"/>
  <c r="CW127" i="4"/>
  <c r="CW126" i="4"/>
  <c r="CW125" i="4"/>
  <c r="CW124" i="4"/>
  <c r="CW123" i="4"/>
  <c r="CW122" i="4"/>
  <c r="CW121" i="4"/>
  <c r="CW120" i="4"/>
  <c r="CW119" i="4"/>
  <c r="CW118" i="4"/>
  <c r="CW117" i="4"/>
  <c r="CW116" i="4"/>
  <c r="CW115" i="4"/>
  <c r="CW114" i="4"/>
  <c r="CW113" i="4"/>
  <c r="CW112" i="4"/>
  <c r="CW111" i="4"/>
  <c r="CW110" i="4"/>
  <c r="CW109" i="4"/>
  <c r="CW108" i="4"/>
  <c r="CW107" i="4"/>
  <c r="CW106" i="4"/>
  <c r="CW105" i="4"/>
  <c r="CW104" i="4"/>
  <c r="CW103" i="4"/>
  <c r="CW102" i="4"/>
  <c r="CW101" i="4"/>
  <c r="CW100" i="4"/>
  <c r="CW99" i="4"/>
  <c r="CW98" i="4"/>
  <c r="CW97" i="4"/>
  <c r="CW96" i="4"/>
  <c r="CW95" i="4"/>
  <c r="CW94" i="4"/>
  <c r="CW93" i="4"/>
  <c r="CW92" i="4"/>
  <c r="CW91" i="4"/>
  <c r="CW90" i="4"/>
  <c r="CW89" i="4"/>
  <c r="CW88" i="4"/>
  <c r="CW87" i="4"/>
  <c r="CW86" i="4"/>
  <c r="CW85" i="4"/>
  <c r="CW84" i="4"/>
  <c r="CW83" i="4"/>
  <c r="CW82" i="4"/>
  <c r="CW81" i="4"/>
  <c r="CW80" i="4"/>
  <c r="CW79" i="4"/>
  <c r="CW78" i="4"/>
  <c r="CW77" i="4"/>
  <c r="CW76" i="4"/>
  <c r="CW75" i="4"/>
  <c r="CW74" i="4"/>
  <c r="CW73" i="4"/>
  <c r="CW72" i="4"/>
  <c r="CW71" i="4"/>
  <c r="CW70" i="4"/>
  <c r="CW69" i="4"/>
  <c r="CW68" i="4"/>
  <c r="CW67" i="4"/>
  <c r="CW66" i="4"/>
  <c r="CW65" i="4"/>
  <c r="CW64" i="4"/>
  <c r="CW63" i="4"/>
  <c r="CW62" i="4"/>
  <c r="CW61" i="4"/>
  <c r="CW60" i="4"/>
  <c r="CW59" i="4"/>
  <c r="CW58" i="4"/>
  <c r="CW57" i="4"/>
  <c r="CW56" i="4"/>
  <c r="CW55" i="4"/>
  <c r="CW54" i="4"/>
  <c r="CW53" i="4"/>
  <c r="CW52" i="4"/>
  <c r="CW51" i="4"/>
  <c r="CW50" i="4"/>
  <c r="CW49" i="4"/>
  <c r="CW48" i="4"/>
  <c r="CW47" i="4"/>
  <c r="CW46" i="4"/>
  <c r="CW45" i="4"/>
  <c r="CW44" i="4"/>
  <c r="CW43" i="4"/>
  <c r="CW42" i="4"/>
  <c r="CW41" i="4"/>
  <c r="CW40" i="4"/>
  <c r="CW39" i="4"/>
  <c r="CW38" i="4"/>
  <c r="CW37" i="4"/>
  <c r="CW36" i="4"/>
  <c r="CT42" i="4"/>
  <c r="CU42" i="4" s="1"/>
  <c r="CT43" i="4"/>
  <c r="CU43" i="4" s="1"/>
  <c r="BX35" i="4"/>
  <c r="DR35" i="4"/>
  <c r="DS35" i="4" s="1"/>
  <c r="DO35" i="4"/>
  <c r="BX42" i="4"/>
  <c r="DR42" i="4"/>
  <c r="DS42" i="4" s="1"/>
  <c r="DO42" i="4"/>
  <c r="BX43" i="4"/>
  <c r="DR43" i="4"/>
  <c r="DS43" i="4" s="1"/>
  <c r="DO43" i="4"/>
  <c r="CX10" i="4" l="1"/>
  <c r="CX12" i="4"/>
  <c r="CX13" i="4"/>
  <c r="CX14" i="4"/>
  <c r="CX15" i="4"/>
  <c r="CX16" i="4"/>
  <c r="CX17" i="4"/>
  <c r="CX18" i="4"/>
  <c r="CX19" i="4"/>
  <c r="CX20" i="4"/>
  <c r="CX21" i="4"/>
  <c r="CX22" i="4"/>
  <c r="CX23" i="4"/>
  <c r="CX24" i="4"/>
  <c r="CX25" i="4"/>
  <c r="CX26" i="4"/>
  <c r="CX27" i="4"/>
  <c r="CX28" i="4"/>
  <c r="CX29" i="4"/>
  <c r="CX30" i="4"/>
  <c r="CX31" i="4"/>
  <c r="CX32" i="4"/>
  <c r="CX33" i="4"/>
  <c r="CX34" i="4"/>
  <c r="DG10" i="4"/>
  <c r="DG12" i="4"/>
  <c r="DG13" i="4"/>
  <c r="DG14" i="4"/>
  <c r="DG15" i="4"/>
  <c r="DG16" i="4"/>
  <c r="DG17" i="4"/>
  <c r="DG18" i="4"/>
  <c r="DG19" i="4"/>
  <c r="DG20" i="4"/>
  <c r="DG21" i="4"/>
  <c r="DG22" i="4"/>
  <c r="DG23" i="4"/>
  <c r="DG24" i="4"/>
  <c r="DG25" i="4"/>
  <c r="DG26" i="4"/>
  <c r="DG27" i="4"/>
  <c r="DG28" i="4"/>
  <c r="DG29" i="4"/>
  <c r="DG30" i="4"/>
  <c r="DG31" i="4"/>
  <c r="DG32" i="4"/>
  <c r="DG33" i="4"/>
  <c r="DG34" i="4"/>
  <c r="N10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AU5" i="4"/>
  <c r="CS10" i="4"/>
  <c r="CS12" i="4"/>
  <c r="CT12" i="4" s="1"/>
  <c r="CT13" i="4"/>
  <c r="CS14" i="4"/>
  <c r="CT14" i="4" s="1"/>
  <c r="CS15" i="4"/>
  <c r="CT15" i="4" s="1"/>
  <c r="CS16" i="4"/>
  <c r="CT16" i="4" s="1"/>
  <c r="CS17" i="4"/>
  <c r="CT17" i="4" s="1"/>
  <c r="CS18" i="4"/>
  <c r="CT18" i="4" s="1"/>
  <c r="CS19" i="4"/>
  <c r="CT19" i="4" s="1"/>
  <c r="CS20" i="4"/>
  <c r="CT20" i="4" s="1"/>
  <c r="CU20" i="4" s="1"/>
  <c r="CS21" i="4"/>
  <c r="CT21" i="4" s="1"/>
  <c r="CS22" i="4"/>
  <c r="CT22" i="4" s="1"/>
  <c r="CS23" i="4"/>
  <c r="CT23" i="4" s="1"/>
  <c r="CS24" i="4"/>
  <c r="CT24" i="4" s="1"/>
  <c r="CS25" i="4"/>
  <c r="CT25" i="4" s="1"/>
  <c r="CS26" i="4"/>
  <c r="CT26" i="4" s="1"/>
  <c r="CS27" i="4"/>
  <c r="CT27" i="4" s="1"/>
  <c r="CS28" i="4"/>
  <c r="CT28" i="4" s="1"/>
  <c r="CS29" i="4"/>
  <c r="CT29" i="4" s="1"/>
  <c r="CS30" i="4"/>
  <c r="CT30" i="4" s="1"/>
  <c r="CS31" i="4"/>
  <c r="CT31" i="4" s="1"/>
  <c r="CS32" i="4"/>
  <c r="CT32" i="4" s="1"/>
  <c r="CU32" i="4" s="1"/>
  <c r="CS33" i="4"/>
  <c r="CT33" i="4" s="1"/>
  <c r="CS34" i="4"/>
  <c r="CT34" i="4" s="1"/>
  <c r="CO4" i="4"/>
  <c r="CI3" i="4"/>
  <c r="CJ10" i="4" s="1"/>
  <c r="CJ12" i="4"/>
  <c r="CJ13" i="4"/>
  <c r="CJ14" i="4"/>
  <c r="CJ15" i="4"/>
  <c r="CJ16" i="4"/>
  <c r="CJ17" i="4"/>
  <c r="CJ18" i="4"/>
  <c r="CK18" i="4" s="1"/>
  <c r="CJ19" i="4"/>
  <c r="CK19" i="4" s="1"/>
  <c r="CJ20" i="4"/>
  <c r="CJ21" i="4"/>
  <c r="CJ22" i="4"/>
  <c r="CJ23" i="4"/>
  <c r="CJ24" i="4"/>
  <c r="CJ25" i="4"/>
  <c r="CJ26" i="4"/>
  <c r="CJ27" i="4"/>
  <c r="CJ28" i="4"/>
  <c r="CK28" i="4" s="1"/>
  <c r="CJ29" i="4"/>
  <c r="CJ30" i="4"/>
  <c r="CK30" i="4" s="1"/>
  <c r="CJ31" i="4"/>
  <c r="CK31" i="4" s="1"/>
  <c r="CJ32" i="4"/>
  <c r="CK32" i="4" s="1"/>
  <c r="CJ33" i="4"/>
  <c r="CJ34" i="4"/>
  <c r="CS3" i="4"/>
  <c r="CU12" i="4"/>
  <c r="CU13" i="4"/>
  <c r="CU14" i="4"/>
  <c r="CU15" i="4"/>
  <c r="CU16" i="4"/>
  <c r="CU17" i="4"/>
  <c r="CU18" i="4"/>
  <c r="CU19" i="4"/>
  <c r="CU21" i="4"/>
  <c r="CU22" i="4"/>
  <c r="CU23" i="4"/>
  <c r="CU24" i="4"/>
  <c r="CU25" i="4"/>
  <c r="CU26" i="4"/>
  <c r="CU27" i="4"/>
  <c r="CU28" i="4"/>
  <c r="CU29" i="4"/>
  <c r="CU30" i="4"/>
  <c r="CU31" i="4"/>
  <c r="CU33" i="4"/>
  <c r="CU34" i="4"/>
  <c r="BW10" i="4"/>
  <c r="CR12" i="4"/>
  <c r="CR13" i="4"/>
  <c r="CR14" i="4"/>
  <c r="CR15" i="4"/>
  <c r="CR16" i="4"/>
  <c r="CR17" i="4"/>
  <c r="CR18" i="4"/>
  <c r="CR19" i="4"/>
  <c r="CR20" i="4"/>
  <c r="CR21" i="4"/>
  <c r="CR22" i="4"/>
  <c r="CR23" i="4"/>
  <c r="CR24" i="4"/>
  <c r="CR25" i="4"/>
  <c r="CR26" i="4"/>
  <c r="CR27" i="4"/>
  <c r="CR28" i="4"/>
  <c r="CR29" i="4"/>
  <c r="CR30" i="4"/>
  <c r="CR31" i="4"/>
  <c r="CR32" i="4"/>
  <c r="CR33" i="4"/>
  <c r="CR34" i="4"/>
  <c r="CN12" i="4"/>
  <c r="CN13" i="4"/>
  <c r="CN14" i="4"/>
  <c r="CN15" i="4"/>
  <c r="CN16" i="4"/>
  <c r="CN17" i="4"/>
  <c r="CN18" i="4"/>
  <c r="CN19" i="4"/>
  <c r="CN20" i="4"/>
  <c r="CN21" i="4"/>
  <c r="CN22" i="4"/>
  <c r="CN23" i="4"/>
  <c r="CN24" i="4"/>
  <c r="CN25" i="4"/>
  <c r="CN26" i="4"/>
  <c r="CN27" i="4"/>
  <c r="CN28" i="4"/>
  <c r="CN29" i="4"/>
  <c r="CN30" i="4"/>
  <c r="CN31" i="4"/>
  <c r="CN32" i="4"/>
  <c r="CN33" i="4"/>
  <c r="CN34" i="4"/>
  <c r="CK34" i="4"/>
  <c r="CF34" i="4"/>
  <c r="CG34" i="4" s="1"/>
  <c r="CK33" i="4"/>
  <c r="CF33" i="4"/>
  <c r="CG33" i="4" s="1"/>
  <c r="CF32" i="4"/>
  <c r="CG32" i="4" s="1"/>
  <c r="CF31" i="4"/>
  <c r="CG31" i="4" s="1"/>
  <c r="CF30" i="4"/>
  <c r="CG30" i="4" s="1"/>
  <c r="CK29" i="4"/>
  <c r="CF29" i="4"/>
  <c r="CG29" i="4" s="1"/>
  <c r="CF28" i="4"/>
  <c r="CG28" i="4" s="1"/>
  <c r="CK27" i="4"/>
  <c r="CF27" i="4"/>
  <c r="CG27" i="4" s="1"/>
  <c r="CK26" i="4"/>
  <c r="CF26" i="4"/>
  <c r="CG26" i="4" s="1"/>
  <c r="CK25" i="4"/>
  <c r="CF25" i="4"/>
  <c r="CG25" i="4" s="1"/>
  <c r="CK24" i="4"/>
  <c r="CF24" i="4"/>
  <c r="CG24" i="4" s="1"/>
  <c r="CK23" i="4"/>
  <c r="CF23" i="4"/>
  <c r="CG23" i="4" s="1"/>
  <c r="CK22" i="4"/>
  <c r="CF22" i="4"/>
  <c r="CG22" i="4" s="1"/>
  <c r="CK21" i="4"/>
  <c r="CF21" i="4"/>
  <c r="CG21" i="4" s="1"/>
  <c r="CK20" i="4"/>
  <c r="CF20" i="4"/>
  <c r="CG20" i="4" s="1"/>
  <c r="CF19" i="4"/>
  <c r="CG19" i="4" s="1"/>
  <c r="CF18" i="4"/>
  <c r="CG18" i="4" s="1"/>
  <c r="CK17" i="4"/>
  <c r="CF17" i="4"/>
  <c r="CG17" i="4" s="1"/>
  <c r="CK16" i="4"/>
  <c r="CF16" i="4"/>
  <c r="CG16" i="4" s="1"/>
  <c r="CK15" i="4"/>
  <c r="CF15" i="4"/>
  <c r="CG15" i="4" s="1"/>
  <c r="CK14" i="4"/>
  <c r="CF14" i="4"/>
  <c r="CG14" i="4" s="1"/>
  <c r="CK13" i="4"/>
  <c r="CF13" i="4"/>
  <c r="CG13" i="4" s="1"/>
  <c r="CK12" i="4"/>
  <c r="CF12" i="4"/>
  <c r="CG12" i="4" s="1"/>
  <c r="DD17" i="4"/>
  <c r="DE17" i="4" s="1"/>
  <c r="DD15" i="4"/>
  <c r="DE15" i="4" s="1"/>
  <c r="DD13" i="4"/>
  <c r="DD12" i="4"/>
  <c r="DD14" i="4"/>
  <c r="DD16" i="4"/>
  <c r="DD18" i="4"/>
  <c r="DE18" i="4" s="1"/>
  <c r="DD19" i="4"/>
  <c r="DE19" i="4" s="1"/>
  <c r="DD20" i="4"/>
  <c r="DD21" i="4"/>
  <c r="DE21" i="4" s="1"/>
  <c r="DD22" i="4"/>
  <c r="DE22" i="4" s="1"/>
  <c r="DD23" i="4"/>
  <c r="DD24" i="4"/>
  <c r="DE24" i="4" s="1"/>
  <c r="DD25" i="4"/>
  <c r="DE25" i="4" s="1"/>
  <c r="DD26" i="4"/>
  <c r="DD27" i="4"/>
  <c r="DD28" i="4"/>
  <c r="DD29" i="4"/>
  <c r="DD30" i="4"/>
  <c r="DD31" i="4"/>
  <c r="DE31" i="4" s="1"/>
  <c r="DD32" i="4"/>
  <c r="DD33" i="4"/>
  <c r="DE33" i="4" s="1"/>
  <c r="DD34" i="4"/>
  <c r="DE34" i="4" s="1"/>
  <c r="DD10" i="4"/>
  <c r="DD5" i="4"/>
  <c r="DD4" i="4"/>
  <c r="DE16" i="4"/>
  <c r="DE20" i="4"/>
  <c r="DE23" i="4"/>
  <c r="DE26" i="4"/>
  <c r="DE27" i="4"/>
  <c r="DE28" i="4"/>
  <c r="DE29" i="4"/>
  <c r="DE30" i="4"/>
  <c r="DE32" i="4"/>
  <c r="DE12" i="4"/>
  <c r="DE13" i="4"/>
  <c r="BJ10" i="4"/>
  <c r="BP10" i="4"/>
  <c r="CW10" i="4" l="1"/>
  <c r="DC6" i="4"/>
  <c r="DD301" i="4"/>
  <c r="CJ301" i="4"/>
  <c r="N6" i="4"/>
  <c r="DG301" i="4"/>
  <c r="DF6" i="4"/>
  <c r="CP301" i="4"/>
  <c r="CO6" i="4"/>
  <c r="CV6" i="4"/>
  <c r="CX301" i="4"/>
  <c r="CM10" i="4"/>
  <c r="CN10" i="4" s="1"/>
  <c r="CL7" i="4" s="1"/>
  <c r="CL1" i="4" s="1"/>
  <c r="CT10" i="4"/>
  <c r="CK10" i="4"/>
  <c r="CR10" i="4"/>
  <c r="CO7" i="4"/>
  <c r="CO1" i="4" s="1"/>
  <c r="DE10" i="4"/>
  <c r="DE14" i="4"/>
  <c r="DC7" i="4" s="1"/>
  <c r="DC1" i="4" s="1"/>
  <c r="DT10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10" i="4"/>
  <c r="CS6" i="4" l="1"/>
  <c r="CT301" i="4"/>
  <c r="CM301" i="4"/>
  <c r="CL6" i="4"/>
  <c r="CU10" i="4"/>
  <c r="CS7" i="4" s="1"/>
  <c r="CS1" i="4" s="1"/>
  <c r="AX5" i="4"/>
  <c r="AL5" i="4"/>
  <c r="AI5" i="4"/>
  <c r="AF5" i="4"/>
  <c r="AC5" i="4"/>
  <c r="Z5" i="4"/>
  <c r="W5" i="4"/>
  <c r="T5" i="4"/>
  <c r="Q5" i="4"/>
  <c r="BZ13" i="4"/>
  <c r="BZ15" i="4"/>
  <c r="BZ17" i="4"/>
  <c r="BZ18" i="4"/>
  <c r="BZ19" i="4"/>
  <c r="BZ20" i="4"/>
  <c r="BZ21" i="4"/>
  <c r="BZ22" i="4"/>
  <c r="BZ23" i="4"/>
  <c r="BZ24" i="4"/>
  <c r="BZ25" i="4"/>
  <c r="BZ26" i="4"/>
  <c r="BZ27" i="4"/>
  <c r="BZ28" i="4"/>
  <c r="BZ29" i="4"/>
  <c r="BZ30" i="4"/>
  <c r="BZ31" i="4"/>
  <c r="BZ32" i="4"/>
  <c r="BZ33" i="4"/>
  <c r="BZ34" i="4"/>
  <c r="DT34" i="4"/>
  <c r="DX34" i="4" s="1"/>
  <c r="DN34" i="4"/>
  <c r="DR34" i="4" s="1"/>
  <c r="DH34" i="4"/>
  <c r="CZ34" i="4"/>
  <c r="CY34" i="4"/>
  <c r="CC34" i="4"/>
  <c r="BW34" i="4"/>
  <c r="CW34" i="4" s="1"/>
  <c r="BS34" i="4"/>
  <c r="BP34" i="4"/>
  <c r="BQ34" i="4" s="1"/>
  <c r="BM34" i="4"/>
  <c r="BN34" i="4" s="1"/>
  <c r="BJ34" i="4"/>
  <c r="BK34" i="4" s="1"/>
  <c r="BG34" i="4"/>
  <c r="BH34" i="4" s="1"/>
  <c r="BB34" i="4"/>
  <c r="BC34" i="4" s="1"/>
  <c r="AZ34" i="4"/>
  <c r="L34" i="4"/>
  <c r="M34" i="4" s="1"/>
  <c r="K34" i="4"/>
  <c r="H34" i="4"/>
  <c r="I34" i="4" s="1"/>
  <c r="DT33" i="4"/>
  <c r="DX33" i="4" s="1"/>
  <c r="DN33" i="4"/>
  <c r="DR33" i="4" s="1"/>
  <c r="DH33" i="4"/>
  <c r="CZ33" i="4"/>
  <c r="CY33" i="4"/>
  <c r="CC33" i="4"/>
  <c r="BW33" i="4"/>
  <c r="CW33" i="4" s="1"/>
  <c r="BS33" i="4"/>
  <c r="BP33" i="4"/>
  <c r="BQ33" i="4" s="1"/>
  <c r="BM33" i="4"/>
  <c r="BN33" i="4" s="1"/>
  <c r="BJ33" i="4"/>
  <c r="BK33" i="4" s="1"/>
  <c r="BG33" i="4"/>
  <c r="BH33" i="4" s="1"/>
  <c r="BB33" i="4"/>
  <c r="BC33" i="4" s="1"/>
  <c r="AZ33" i="4"/>
  <c r="M33" i="4"/>
  <c r="L33" i="4"/>
  <c r="K33" i="4"/>
  <c r="H33" i="4"/>
  <c r="I33" i="4" s="1"/>
  <c r="DT32" i="4"/>
  <c r="DX32" i="4" s="1"/>
  <c r="DN32" i="4"/>
  <c r="DR32" i="4" s="1"/>
  <c r="DH32" i="4"/>
  <c r="CZ32" i="4"/>
  <c r="CY32" i="4"/>
  <c r="CC32" i="4"/>
  <c r="BW32" i="4"/>
  <c r="CW32" i="4" s="1"/>
  <c r="BS32" i="4"/>
  <c r="BP32" i="4"/>
  <c r="BQ32" i="4" s="1"/>
  <c r="BM32" i="4"/>
  <c r="BN32" i="4" s="1"/>
  <c r="BJ32" i="4"/>
  <c r="BK32" i="4" s="1"/>
  <c r="BG32" i="4"/>
  <c r="BH32" i="4" s="1"/>
  <c r="BB32" i="4"/>
  <c r="BC32" i="4" s="1"/>
  <c r="AZ32" i="4"/>
  <c r="L32" i="4"/>
  <c r="M32" i="4" s="1"/>
  <c r="K32" i="4"/>
  <c r="H32" i="4"/>
  <c r="I32" i="4" s="1"/>
  <c r="DT31" i="4"/>
  <c r="DX31" i="4" s="1"/>
  <c r="DN31" i="4"/>
  <c r="DR31" i="4" s="1"/>
  <c r="DH31" i="4"/>
  <c r="CZ31" i="4"/>
  <c r="CY31" i="4"/>
  <c r="CC31" i="4"/>
  <c r="BW31" i="4"/>
  <c r="CW31" i="4" s="1"/>
  <c r="BS31" i="4"/>
  <c r="BP31" i="4"/>
  <c r="BQ31" i="4" s="1"/>
  <c r="BM31" i="4"/>
  <c r="BN31" i="4" s="1"/>
  <c r="BJ31" i="4"/>
  <c r="BK31" i="4" s="1"/>
  <c r="BG31" i="4"/>
  <c r="BH31" i="4" s="1"/>
  <c r="BB31" i="4"/>
  <c r="BC31" i="4" s="1"/>
  <c r="AZ31" i="4"/>
  <c r="L31" i="4"/>
  <c r="M31" i="4" s="1"/>
  <c r="K31" i="4"/>
  <c r="H31" i="4"/>
  <c r="I31" i="4" s="1"/>
  <c r="DT30" i="4"/>
  <c r="DX30" i="4" s="1"/>
  <c r="DN30" i="4"/>
  <c r="DR30" i="4" s="1"/>
  <c r="DH30" i="4"/>
  <c r="CZ30" i="4"/>
  <c r="CY30" i="4"/>
  <c r="CC30" i="4"/>
  <c r="BW30" i="4"/>
  <c r="CW30" i="4" s="1"/>
  <c r="BS30" i="4"/>
  <c r="BP30" i="4"/>
  <c r="BQ30" i="4" s="1"/>
  <c r="BM30" i="4"/>
  <c r="BN30" i="4" s="1"/>
  <c r="BJ30" i="4"/>
  <c r="BK30" i="4" s="1"/>
  <c r="BG30" i="4"/>
  <c r="BH30" i="4" s="1"/>
  <c r="BB30" i="4"/>
  <c r="BC30" i="4" s="1"/>
  <c r="AZ30" i="4"/>
  <c r="M30" i="4"/>
  <c r="L30" i="4"/>
  <c r="K30" i="4"/>
  <c r="H30" i="4"/>
  <c r="I30" i="4" s="1"/>
  <c r="DT29" i="4"/>
  <c r="DX29" i="4" s="1"/>
  <c r="DN29" i="4"/>
  <c r="DR29" i="4" s="1"/>
  <c r="DH29" i="4"/>
  <c r="CZ29" i="4"/>
  <c r="CY29" i="4"/>
  <c r="CC29" i="4"/>
  <c r="BW29" i="4"/>
  <c r="CW29" i="4" s="1"/>
  <c r="BS29" i="4"/>
  <c r="BP29" i="4"/>
  <c r="BQ29" i="4" s="1"/>
  <c r="BM29" i="4"/>
  <c r="BN29" i="4" s="1"/>
  <c r="BJ29" i="4"/>
  <c r="BK29" i="4" s="1"/>
  <c r="BG29" i="4"/>
  <c r="BH29" i="4" s="1"/>
  <c r="BB29" i="4"/>
  <c r="BC29" i="4" s="1"/>
  <c r="AZ29" i="4"/>
  <c r="L29" i="4"/>
  <c r="M29" i="4" s="1"/>
  <c r="K29" i="4"/>
  <c r="H29" i="4"/>
  <c r="I29" i="4" s="1"/>
  <c r="DT28" i="4"/>
  <c r="DX28" i="4" s="1"/>
  <c r="DN28" i="4"/>
  <c r="DR28" i="4" s="1"/>
  <c r="DH28" i="4"/>
  <c r="CZ28" i="4"/>
  <c r="CY28" i="4"/>
  <c r="CC28" i="4"/>
  <c r="BW28" i="4"/>
  <c r="CW28" i="4" s="1"/>
  <c r="BS28" i="4"/>
  <c r="BP28" i="4"/>
  <c r="BQ28" i="4" s="1"/>
  <c r="BM28" i="4"/>
  <c r="BN28" i="4" s="1"/>
  <c r="BJ28" i="4"/>
  <c r="BK28" i="4" s="1"/>
  <c r="BG28" i="4"/>
  <c r="BH28" i="4" s="1"/>
  <c r="BB28" i="4"/>
  <c r="BC28" i="4" s="1"/>
  <c r="AZ28" i="4"/>
  <c r="M28" i="4"/>
  <c r="L28" i="4"/>
  <c r="K28" i="4"/>
  <c r="H28" i="4"/>
  <c r="I28" i="4" s="1"/>
  <c r="DT27" i="4"/>
  <c r="DX27" i="4" s="1"/>
  <c r="DN27" i="4"/>
  <c r="DR27" i="4" s="1"/>
  <c r="DH27" i="4"/>
  <c r="CZ27" i="4"/>
  <c r="CY27" i="4"/>
  <c r="CC27" i="4"/>
  <c r="BW27" i="4"/>
  <c r="CW27" i="4" s="1"/>
  <c r="BS27" i="4"/>
  <c r="BP27" i="4"/>
  <c r="BQ27" i="4" s="1"/>
  <c r="BM27" i="4"/>
  <c r="BN27" i="4" s="1"/>
  <c r="BJ27" i="4"/>
  <c r="BK27" i="4" s="1"/>
  <c r="BG27" i="4"/>
  <c r="BH27" i="4" s="1"/>
  <c r="BB27" i="4"/>
  <c r="BC27" i="4" s="1"/>
  <c r="AZ27" i="4"/>
  <c r="L27" i="4"/>
  <c r="M27" i="4" s="1"/>
  <c r="K27" i="4"/>
  <c r="H27" i="4"/>
  <c r="I27" i="4" s="1"/>
  <c r="DT26" i="4"/>
  <c r="DX26" i="4" s="1"/>
  <c r="DN26" i="4"/>
  <c r="DR26" i="4" s="1"/>
  <c r="DH26" i="4"/>
  <c r="CZ26" i="4"/>
  <c r="CY26" i="4"/>
  <c r="CC26" i="4"/>
  <c r="BW26" i="4"/>
  <c r="CW26" i="4" s="1"/>
  <c r="BS26" i="4"/>
  <c r="BP26" i="4"/>
  <c r="BQ26" i="4" s="1"/>
  <c r="BM26" i="4"/>
  <c r="BN26" i="4" s="1"/>
  <c r="BJ26" i="4"/>
  <c r="BK26" i="4" s="1"/>
  <c r="BG26" i="4"/>
  <c r="BH26" i="4" s="1"/>
  <c r="BB26" i="4"/>
  <c r="BC26" i="4" s="1"/>
  <c r="AZ26" i="4"/>
  <c r="L26" i="4"/>
  <c r="M26" i="4" s="1"/>
  <c r="K26" i="4"/>
  <c r="H26" i="4"/>
  <c r="I26" i="4" s="1"/>
  <c r="DT25" i="4"/>
  <c r="DX25" i="4" s="1"/>
  <c r="DN25" i="4"/>
  <c r="DR25" i="4" s="1"/>
  <c r="DH25" i="4"/>
  <c r="CZ25" i="4"/>
  <c r="CY25" i="4"/>
  <c r="CC25" i="4"/>
  <c r="BW25" i="4"/>
  <c r="CW25" i="4" s="1"/>
  <c r="BS25" i="4"/>
  <c r="BP25" i="4"/>
  <c r="BQ25" i="4" s="1"/>
  <c r="BM25" i="4"/>
  <c r="BN25" i="4" s="1"/>
  <c r="BJ25" i="4"/>
  <c r="BK25" i="4" s="1"/>
  <c r="BG25" i="4"/>
  <c r="BH25" i="4" s="1"/>
  <c r="BB25" i="4"/>
  <c r="BC25" i="4" s="1"/>
  <c r="AZ25" i="4"/>
  <c r="M25" i="4"/>
  <c r="L25" i="4"/>
  <c r="K25" i="4"/>
  <c r="H25" i="4"/>
  <c r="I25" i="4" s="1"/>
  <c r="DT24" i="4"/>
  <c r="DX24" i="4" s="1"/>
  <c r="DN24" i="4"/>
  <c r="DR24" i="4" s="1"/>
  <c r="DH24" i="4"/>
  <c r="CZ24" i="4"/>
  <c r="CY24" i="4"/>
  <c r="CC24" i="4"/>
  <c r="BW24" i="4"/>
  <c r="CW24" i="4" s="1"/>
  <c r="BS24" i="4"/>
  <c r="BP24" i="4"/>
  <c r="BQ24" i="4" s="1"/>
  <c r="BM24" i="4"/>
  <c r="BN24" i="4" s="1"/>
  <c r="BJ24" i="4"/>
  <c r="BK24" i="4" s="1"/>
  <c r="BG24" i="4"/>
  <c r="BH24" i="4" s="1"/>
  <c r="BB24" i="4"/>
  <c r="BC24" i="4" s="1"/>
  <c r="AZ24" i="4"/>
  <c r="L24" i="4"/>
  <c r="M24" i="4" s="1"/>
  <c r="K24" i="4"/>
  <c r="H24" i="4"/>
  <c r="I24" i="4" s="1"/>
  <c r="DT23" i="4"/>
  <c r="DX23" i="4" s="1"/>
  <c r="DN23" i="4"/>
  <c r="DR23" i="4" s="1"/>
  <c r="DH23" i="4"/>
  <c r="CZ23" i="4"/>
  <c r="CY23" i="4"/>
  <c r="CC23" i="4"/>
  <c r="BW23" i="4"/>
  <c r="CW23" i="4" s="1"/>
  <c r="BS23" i="4"/>
  <c r="BP23" i="4"/>
  <c r="BQ23" i="4" s="1"/>
  <c r="BM23" i="4"/>
  <c r="BN23" i="4" s="1"/>
  <c r="BJ23" i="4"/>
  <c r="BK23" i="4" s="1"/>
  <c r="BG23" i="4"/>
  <c r="BH23" i="4" s="1"/>
  <c r="BB23" i="4"/>
  <c r="BC23" i="4" s="1"/>
  <c r="L23" i="4"/>
  <c r="M23" i="4" s="1"/>
  <c r="K23" i="4"/>
  <c r="H23" i="4"/>
  <c r="I23" i="4" s="1"/>
  <c r="DT22" i="4"/>
  <c r="DX22" i="4" s="1"/>
  <c r="DN22" i="4"/>
  <c r="DR22" i="4" s="1"/>
  <c r="DH22" i="4"/>
  <c r="CZ22" i="4"/>
  <c r="CY22" i="4"/>
  <c r="CC22" i="4"/>
  <c r="BW22" i="4"/>
  <c r="CW22" i="4" s="1"/>
  <c r="BS22" i="4"/>
  <c r="BP22" i="4"/>
  <c r="BQ22" i="4" s="1"/>
  <c r="BM22" i="4"/>
  <c r="BN22" i="4" s="1"/>
  <c r="BJ22" i="4"/>
  <c r="BK22" i="4" s="1"/>
  <c r="BG22" i="4"/>
  <c r="BH22" i="4" s="1"/>
  <c r="BB22" i="4"/>
  <c r="BC22" i="4" s="1"/>
  <c r="AZ22" i="4"/>
  <c r="M22" i="4"/>
  <c r="L22" i="4"/>
  <c r="K22" i="4"/>
  <c r="H22" i="4"/>
  <c r="I22" i="4" s="1"/>
  <c r="DT21" i="4"/>
  <c r="DX21" i="4" s="1"/>
  <c r="DN21" i="4"/>
  <c r="DR21" i="4" s="1"/>
  <c r="DH21" i="4"/>
  <c r="CZ21" i="4"/>
  <c r="CY21" i="4"/>
  <c r="CC21" i="4"/>
  <c r="BW21" i="4"/>
  <c r="CW21" i="4" s="1"/>
  <c r="BS21" i="4"/>
  <c r="BP21" i="4"/>
  <c r="BQ21" i="4" s="1"/>
  <c r="BM21" i="4"/>
  <c r="BN21" i="4" s="1"/>
  <c r="BJ21" i="4"/>
  <c r="BK21" i="4" s="1"/>
  <c r="BG21" i="4"/>
  <c r="BH21" i="4" s="1"/>
  <c r="BB21" i="4"/>
  <c r="BC21" i="4" s="1"/>
  <c r="AZ21" i="4"/>
  <c r="L21" i="4"/>
  <c r="M21" i="4" s="1"/>
  <c r="K21" i="4"/>
  <c r="H21" i="4"/>
  <c r="I21" i="4" s="1"/>
  <c r="DT20" i="4"/>
  <c r="DX20" i="4" s="1"/>
  <c r="DN20" i="4"/>
  <c r="DR20" i="4" s="1"/>
  <c r="DH20" i="4"/>
  <c r="CZ20" i="4"/>
  <c r="CY20" i="4"/>
  <c r="CC20" i="4"/>
  <c r="BW20" i="4"/>
  <c r="CW20" i="4" s="1"/>
  <c r="BS20" i="4"/>
  <c r="BP20" i="4"/>
  <c r="BQ20" i="4" s="1"/>
  <c r="BM20" i="4"/>
  <c r="BN20" i="4" s="1"/>
  <c r="BJ20" i="4"/>
  <c r="BK20" i="4" s="1"/>
  <c r="BG20" i="4"/>
  <c r="BH20" i="4" s="1"/>
  <c r="BB20" i="4"/>
  <c r="BC20" i="4" s="1"/>
  <c r="AZ20" i="4"/>
  <c r="L20" i="4"/>
  <c r="M20" i="4" s="1"/>
  <c r="K20" i="4"/>
  <c r="H20" i="4"/>
  <c r="I20" i="4" s="1"/>
  <c r="DT19" i="4"/>
  <c r="DX19" i="4" s="1"/>
  <c r="DN19" i="4"/>
  <c r="DR19" i="4" s="1"/>
  <c r="DH19" i="4"/>
  <c r="CZ19" i="4"/>
  <c r="CY19" i="4"/>
  <c r="CC19" i="4"/>
  <c r="BW19" i="4"/>
  <c r="CW19" i="4" s="1"/>
  <c r="BS19" i="4"/>
  <c r="BP19" i="4"/>
  <c r="BQ19" i="4" s="1"/>
  <c r="BM19" i="4"/>
  <c r="BN19" i="4" s="1"/>
  <c r="BJ19" i="4"/>
  <c r="BK19" i="4" s="1"/>
  <c r="BG19" i="4"/>
  <c r="BH19" i="4" s="1"/>
  <c r="BB19" i="4"/>
  <c r="BC19" i="4" s="1"/>
  <c r="AZ19" i="4"/>
  <c r="L19" i="4"/>
  <c r="M19" i="4" s="1"/>
  <c r="K19" i="4"/>
  <c r="H19" i="4"/>
  <c r="I19" i="4" s="1"/>
  <c r="DT18" i="4"/>
  <c r="DX18" i="4" s="1"/>
  <c r="DN18" i="4"/>
  <c r="DR18" i="4" s="1"/>
  <c r="DH18" i="4"/>
  <c r="CZ18" i="4"/>
  <c r="CY18" i="4"/>
  <c r="CC18" i="4"/>
  <c r="BW18" i="4"/>
  <c r="CW18" i="4" s="1"/>
  <c r="BS18" i="4"/>
  <c r="BP18" i="4"/>
  <c r="BQ18" i="4" s="1"/>
  <c r="BM18" i="4"/>
  <c r="BN18" i="4" s="1"/>
  <c r="BJ18" i="4"/>
  <c r="BK18" i="4" s="1"/>
  <c r="BG18" i="4"/>
  <c r="BH18" i="4" s="1"/>
  <c r="BB18" i="4"/>
  <c r="BC18" i="4" s="1"/>
  <c r="AZ18" i="4"/>
  <c r="L18" i="4"/>
  <c r="M18" i="4" s="1"/>
  <c r="K18" i="4"/>
  <c r="H18" i="4"/>
  <c r="I18" i="4" s="1"/>
  <c r="DT17" i="4"/>
  <c r="DX17" i="4" s="1"/>
  <c r="DN17" i="4"/>
  <c r="DR17" i="4" s="1"/>
  <c r="DH17" i="4"/>
  <c r="CZ17" i="4"/>
  <c r="CY17" i="4"/>
  <c r="CC17" i="4"/>
  <c r="BW17" i="4"/>
  <c r="CW17" i="4" s="1"/>
  <c r="BS17" i="4"/>
  <c r="BP17" i="4"/>
  <c r="BQ17" i="4" s="1"/>
  <c r="BM17" i="4"/>
  <c r="BN17" i="4" s="1"/>
  <c r="BJ17" i="4"/>
  <c r="BK17" i="4" s="1"/>
  <c r="BG17" i="4"/>
  <c r="BH17" i="4" s="1"/>
  <c r="BB17" i="4"/>
  <c r="BC17" i="4" s="1"/>
  <c r="AZ17" i="4"/>
  <c r="L17" i="4"/>
  <c r="M17" i="4" s="1"/>
  <c r="K17" i="4"/>
  <c r="H17" i="4"/>
  <c r="I17" i="4" s="1"/>
  <c r="DT16" i="4"/>
  <c r="DX16" i="4" s="1"/>
  <c r="DN16" i="4"/>
  <c r="DR16" i="4" s="1"/>
  <c r="DH16" i="4"/>
  <c r="CZ16" i="4"/>
  <c r="BW16" i="4"/>
  <c r="CW16" i="4" s="1"/>
  <c r="BS16" i="4"/>
  <c r="BP16" i="4"/>
  <c r="BQ16" i="4" s="1"/>
  <c r="BM16" i="4"/>
  <c r="BN16" i="4" s="1"/>
  <c r="BJ16" i="4"/>
  <c r="BK16" i="4" s="1"/>
  <c r="BG16" i="4"/>
  <c r="BH16" i="4" s="1"/>
  <c r="BB16" i="4"/>
  <c r="BC16" i="4" s="1"/>
  <c r="AZ16" i="4"/>
  <c r="L16" i="4"/>
  <c r="M16" i="4" s="1"/>
  <c r="K16" i="4"/>
  <c r="H16" i="4"/>
  <c r="I16" i="4" s="1"/>
  <c r="DT15" i="4"/>
  <c r="DX15" i="4" s="1"/>
  <c r="DN15" i="4"/>
  <c r="DR15" i="4" s="1"/>
  <c r="DH15" i="4"/>
  <c r="CZ15" i="4"/>
  <c r="CY15" i="4"/>
  <c r="CC15" i="4"/>
  <c r="BW15" i="4"/>
  <c r="CW15" i="4" s="1"/>
  <c r="BS15" i="4"/>
  <c r="BP15" i="4"/>
  <c r="BQ15" i="4" s="1"/>
  <c r="BM15" i="4"/>
  <c r="BN15" i="4" s="1"/>
  <c r="BJ15" i="4"/>
  <c r="BK15" i="4" s="1"/>
  <c r="BG15" i="4"/>
  <c r="BH15" i="4" s="1"/>
  <c r="BB15" i="4"/>
  <c r="BC15" i="4" s="1"/>
  <c r="AZ15" i="4"/>
  <c r="L15" i="4"/>
  <c r="M15" i="4" s="1"/>
  <c r="K15" i="4"/>
  <c r="H15" i="4"/>
  <c r="I15" i="4" s="1"/>
  <c r="DT14" i="4"/>
  <c r="DX14" i="4" s="1"/>
  <c r="DN14" i="4"/>
  <c r="DR14" i="4" s="1"/>
  <c r="DH14" i="4"/>
  <c r="CZ14" i="4"/>
  <c r="BW14" i="4"/>
  <c r="CW14" i="4" s="1"/>
  <c r="BS14" i="4"/>
  <c r="BP14" i="4"/>
  <c r="BQ14" i="4" s="1"/>
  <c r="BM14" i="4"/>
  <c r="BN14" i="4" s="1"/>
  <c r="BJ14" i="4"/>
  <c r="BK14" i="4" s="1"/>
  <c r="BG14" i="4"/>
  <c r="BH14" i="4" s="1"/>
  <c r="BB14" i="4"/>
  <c r="BC14" i="4" s="1"/>
  <c r="AZ14" i="4"/>
  <c r="L14" i="4"/>
  <c r="M14" i="4" s="1"/>
  <c r="K14" i="4"/>
  <c r="H14" i="4"/>
  <c r="I14" i="4" s="1"/>
  <c r="DT13" i="4"/>
  <c r="DX13" i="4" s="1"/>
  <c r="DN13" i="4"/>
  <c r="DR13" i="4" s="1"/>
  <c r="DH13" i="4"/>
  <c r="CZ13" i="4"/>
  <c r="CY13" i="4"/>
  <c r="CC13" i="4"/>
  <c r="BW13" i="4"/>
  <c r="CW13" i="4" s="1"/>
  <c r="BS13" i="4"/>
  <c r="BP13" i="4"/>
  <c r="BQ13" i="4" s="1"/>
  <c r="BM13" i="4"/>
  <c r="BN13" i="4" s="1"/>
  <c r="BJ13" i="4"/>
  <c r="BK13" i="4" s="1"/>
  <c r="BG13" i="4"/>
  <c r="BH13" i="4" s="1"/>
  <c r="BB13" i="4"/>
  <c r="BC13" i="4" s="1"/>
  <c r="AZ13" i="4"/>
  <c r="L13" i="4"/>
  <c r="M13" i="4" s="1"/>
  <c r="K13" i="4"/>
  <c r="H13" i="4"/>
  <c r="I13" i="4" s="1"/>
  <c r="DT12" i="4"/>
  <c r="DX12" i="4" s="1"/>
  <c r="DN12" i="4"/>
  <c r="DR12" i="4" s="1"/>
  <c r="DH12" i="4"/>
  <c r="CZ12" i="4"/>
  <c r="BW12" i="4"/>
  <c r="CW12" i="4" s="1"/>
  <c r="BS12" i="4"/>
  <c r="BP12" i="4"/>
  <c r="BM12" i="4"/>
  <c r="BN12" i="4" s="1"/>
  <c r="BJ12" i="4"/>
  <c r="BG12" i="4"/>
  <c r="BH12" i="4" s="1"/>
  <c r="BB12" i="4"/>
  <c r="BC12" i="4" s="1"/>
  <c r="AZ12" i="4"/>
  <c r="L12" i="4"/>
  <c r="M12" i="4" s="1"/>
  <c r="K12" i="4"/>
  <c r="H12" i="4"/>
  <c r="I12" i="4" s="1"/>
  <c r="DX10" i="4"/>
  <c r="DN10" i="4"/>
  <c r="DH10" i="4"/>
  <c r="CZ10" i="4"/>
  <c r="BM10" i="4"/>
  <c r="BG10" i="4"/>
  <c r="BB10" i="4"/>
  <c r="L10" i="4"/>
  <c r="M10" i="4" s="1"/>
  <c r="K10" i="4"/>
  <c r="H10" i="4"/>
  <c r="I10" i="4" s="1"/>
  <c r="AR5" i="4"/>
  <c r="AO5" i="4"/>
  <c r="BR3" i="4"/>
  <c r="BO3" i="4"/>
  <c r="BL3" i="4"/>
  <c r="BY8" i="2"/>
  <c r="BY9" i="2"/>
  <c r="BY10" i="2"/>
  <c r="BY11" i="2"/>
  <c r="BY12" i="2"/>
  <c r="BY13" i="2"/>
  <c r="BY14" i="2"/>
  <c r="BY15" i="2"/>
  <c r="BY16" i="2"/>
  <c r="BY17" i="2"/>
  <c r="BY18" i="2"/>
  <c r="BY19" i="2"/>
  <c r="BY20" i="2"/>
  <c r="BY21" i="2"/>
  <c r="BY22" i="2"/>
  <c r="BY23" i="2"/>
  <c r="BY24" i="2"/>
  <c r="BY25" i="2"/>
  <c r="BY26" i="2"/>
  <c r="BY27" i="2"/>
  <c r="BY28" i="2"/>
  <c r="BY29" i="2"/>
  <c r="BY30" i="2"/>
  <c r="BY31" i="2"/>
  <c r="BY32" i="2"/>
  <c r="BY33" i="2"/>
  <c r="BY34" i="2"/>
  <c r="BY35" i="2"/>
  <c r="BY36" i="2"/>
  <c r="BY37" i="2"/>
  <c r="BY38" i="2"/>
  <c r="CN1" i="2"/>
  <c r="CD1" i="2"/>
  <c r="A40" i="2"/>
  <c r="CQ38" i="2"/>
  <c r="CU38" i="2" s="1"/>
  <c r="CV38" i="2" s="1"/>
  <c r="CL38" i="2"/>
  <c r="CE38" i="2"/>
  <c r="CF38" i="2" s="1"/>
  <c r="CA38" i="2"/>
  <c r="CC38" i="2" s="1"/>
  <c r="BZ38" i="2"/>
  <c r="BW38" i="2"/>
  <c r="BU38" i="2"/>
  <c r="BV38" i="2" s="1"/>
  <c r="BR38" i="2"/>
  <c r="BS38" i="2" s="1"/>
  <c r="BO38" i="2"/>
  <c r="BK38" i="2"/>
  <c r="BL38" i="2" s="1"/>
  <c r="BH38" i="2"/>
  <c r="BI38" i="2" s="1"/>
  <c r="BE38" i="2"/>
  <c r="BF38" i="2" s="1"/>
  <c r="BB38" i="2"/>
  <c r="BC38" i="2" s="1"/>
  <c r="AY38" i="2"/>
  <c r="AZ38" i="2" s="1"/>
  <c r="N38" i="2"/>
  <c r="AW38" i="2" s="1"/>
  <c r="M38" i="2"/>
  <c r="L38" i="2"/>
  <c r="K38" i="2"/>
  <c r="H38" i="2"/>
  <c r="I38" i="2" s="1"/>
  <c r="CQ37" i="2"/>
  <c r="CU37" i="2" s="1"/>
  <c r="CV37" i="2" s="1"/>
  <c r="CL37" i="2"/>
  <c r="CE37" i="2"/>
  <c r="CF37" i="2" s="1"/>
  <c r="CA37" i="2"/>
  <c r="CC37" i="2" s="1"/>
  <c r="BZ37" i="2"/>
  <c r="BW37" i="2"/>
  <c r="BU37" i="2"/>
  <c r="BV37" i="2" s="1"/>
  <c r="BR37" i="2"/>
  <c r="BS37" i="2" s="1"/>
  <c r="BO37" i="2"/>
  <c r="BK37" i="2"/>
  <c r="BL37" i="2" s="1"/>
  <c r="BH37" i="2"/>
  <c r="BI37" i="2" s="1"/>
  <c r="BE37" i="2"/>
  <c r="BF37" i="2" s="1"/>
  <c r="BB37" i="2"/>
  <c r="BC37" i="2" s="1"/>
  <c r="AY37" i="2"/>
  <c r="AZ37" i="2" s="1"/>
  <c r="N37" i="2"/>
  <c r="AW37" i="2" s="1"/>
  <c r="M37" i="2"/>
  <c r="L37" i="2"/>
  <c r="K37" i="2"/>
  <c r="H37" i="2"/>
  <c r="I37" i="2" s="1"/>
  <c r="CQ36" i="2"/>
  <c r="CU36" i="2" s="1"/>
  <c r="CV36" i="2" s="1"/>
  <c r="CL36" i="2"/>
  <c r="CE36" i="2"/>
  <c r="CF36" i="2" s="1"/>
  <c r="CA36" i="2"/>
  <c r="CC36" i="2" s="1"/>
  <c r="BZ36" i="2"/>
  <c r="BW36" i="2"/>
  <c r="BU36" i="2"/>
  <c r="BV36" i="2" s="1"/>
  <c r="BR36" i="2"/>
  <c r="BS36" i="2" s="1"/>
  <c r="BO36" i="2"/>
  <c r="BK36" i="2"/>
  <c r="BL36" i="2" s="1"/>
  <c r="BH36" i="2"/>
  <c r="BI36" i="2" s="1"/>
  <c r="BE36" i="2"/>
  <c r="BF36" i="2" s="1"/>
  <c r="BB36" i="2"/>
  <c r="BC36" i="2" s="1"/>
  <c r="AY36" i="2"/>
  <c r="AZ36" i="2" s="1"/>
  <c r="N36" i="2"/>
  <c r="AW36" i="2" s="1"/>
  <c r="M36" i="2"/>
  <c r="L36" i="2"/>
  <c r="K36" i="2"/>
  <c r="H36" i="2"/>
  <c r="I36" i="2" s="1"/>
  <c r="CQ35" i="2"/>
  <c r="CU35" i="2" s="1"/>
  <c r="CV35" i="2" s="1"/>
  <c r="CL35" i="2"/>
  <c r="CE35" i="2"/>
  <c r="CF35" i="2" s="1"/>
  <c r="CA35" i="2"/>
  <c r="CC35" i="2" s="1"/>
  <c r="BZ35" i="2"/>
  <c r="BW35" i="2"/>
  <c r="BU35" i="2"/>
  <c r="BV35" i="2" s="1"/>
  <c r="BR35" i="2"/>
  <c r="BS35" i="2" s="1"/>
  <c r="BO35" i="2"/>
  <c r="BK35" i="2"/>
  <c r="BL35" i="2" s="1"/>
  <c r="BH35" i="2"/>
  <c r="BI35" i="2" s="1"/>
  <c r="BE35" i="2"/>
  <c r="BF35" i="2" s="1"/>
  <c r="BB35" i="2"/>
  <c r="BC35" i="2" s="1"/>
  <c r="AY35" i="2"/>
  <c r="AZ35" i="2" s="1"/>
  <c r="N35" i="2"/>
  <c r="AW35" i="2" s="1"/>
  <c r="M35" i="2"/>
  <c r="L35" i="2"/>
  <c r="K35" i="2"/>
  <c r="H35" i="2"/>
  <c r="I35" i="2" s="1"/>
  <c r="CQ34" i="2"/>
  <c r="CU34" i="2" s="1"/>
  <c r="CV34" i="2" s="1"/>
  <c r="CL34" i="2"/>
  <c r="CE34" i="2"/>
  <c r="CF34" i="2" s="1"/>
  <c r="CA34" i="2"/>
  <c r="CC34" i="2" s="1"/>
  <c r="BZ34" i="2"/>
  <c r="BW34" i="2"/>
  <c r="BU34" i="2"/>
  <c r="BV34" i="2" s="1"/>
  <c r="BR34" i="2"/>
  <c r="BS34" i="2" s="1"/>
  <c r="BO34" i="2"/>
  <c r="BK34" i="2"/>
  <c r="BL34" i="2" s="1"/>
  <c r="BH34" i="2"/>
  <c r="BI34" i="2" s="1"/>
  <c r="BE34" i="2"/>
  <c r="BF34" i="2" s="1"/>
  <c r="BB34" i="2"/>
  <c r="BC34" i="2" s="1"/>
  <c r="AY34" i="2"/>
  <c r="AZ34" i="2" s="1"/>
  <c r="N34" i="2"/>
  <c r="AW34" i="2" s="1"/>
  <c r="M34" i="2"/>
  <c r="L34" i="2"/>
  <c r="K34" i="2"/>
  <c r="H34" i="2"/>
  <c r="I34" i="2" s="1"/>
  <c r="CQ33" i="2"/>
  <c r="CU33" i="2" s="1"/>
  <c r="CV33" i="2" s="1"/>
  <c r="CL33" i="2"/>
  <c r="CE33" i="2"/>
  <c r="CF33" i="2" s="1"/>
  <c r="CA33" i="2"/>
  <c r="CC33" i="2" s="1"/>
  <c r="BZ33" i="2"/>
  <c r="BW33" i="2"/>
  <c r="BU33" i="2"/>
  <c r="BV33" i="2" s="1"/>
  <c r="BR33" i="2"/>
  <c r="BS33" i="2" s="1"/>
  <c r="BO33" i="2"/>
  <c r="BK33" i="2"/>
  <c r="BL33" i="2" s="1"/>
  <c r="BH33" i="2"/>
  <c r="BI33" i="2" s="1"/>
  <c r="BE33" i="2"/>
  <c r="BF33" i="2" s="1"/>
  <c r="BB33" i="2"/>
  <c r="BC33" i="2" s="1"/>
  <c r="AY33" i="2"/>
  <c r="AZ33" i="2" s="1"/>
  <c r="N33" i="2"/>
  <c r="AW33" i="2" s="1"/>
  <c r="M33" i="2"/>
  <c r="L33" i="2"/>
  <c r="K33" i="2"/>
  <c r="H33" i="2"/>
  <c r="I33" i="2" s="1"/>
  <c r="CQ32" i="2"/>
  <c r="CU32" i="2" s="1"/>
  <c r="CV32" i="2" s="1"/>
  <c r="CL32" i="2"/>
  <c r="CE32" i="2"/>
  <c r="CF32" i="2" s="1"/>
  <c r="CA32" i="2"/>
  <c r="CC32" i="2" s="1"/>
  <c r="BZ32" i="2"/>
  <c r="BW32" i="2"/>
  <c r="BU32" i="2"/>
  <c r="BV32" i="2" s="1"/>
  <c r="BR32" i="2"/>
  <c r="BS32" i="2" s="1"/>
  <c r="BO32" i="2"/>
  <c r="BK32" i="2"/>
  <c r="BL32" i="2" s="1"/>
  <c r="BH32" i="2"/>
  <c r="BI32" i="2" s="1"/>
  <c r="BE32" i="2"/>
  <c r="BF32" i="2" s="1"/>
  <c r="BB32" i="2"/>
  <c r="BC32" i="2" s="1"/>
  <c r="AY32" i="2"/>
  <c r="AZ32" i="2" s="1"/>
  <c r="N32" i="2"/>
  <c r="AW32" i="2" s="1"/>
  <c r="M32" i="2"/>
  <c r="L32" i="2"/>
  <c r="K32" i="2"/>
  <c r="H32" i="2"/>
  <c r="I32" i="2" s="1"/>
  <c r="CQ31" i="2"/>
  <c r="CU31" i="2" s="1"/>
  <c r="CV31" i="2" s="1"/>
  <c r="CL31" i="2"/>
  <c r="CE31" i="2"/>
  <c r="CF31" i="2" s="1"/>
  <c r="CA31" i="2"/>
  <c r="CC31" i="2" s="1"/>
  <c r="BZ31" i="2"/>
  <c r="BW31" i="2"/>
  <c r="BU31" i="2"/>
  <c r="BV31" i="2" s="1"/>
  <c r="BR31" i="2"/>
  <c r="BS31" i="2" s="1"/>
  <c r="BO31" i="2"/>
  <c r="BK31" i="2"/>
  <c r="BL31" i="2" s="1"/>
  <c r="BH31" i="2"/>
  <c r="BI31" i="2" s="1"/>
  <c r="BE31" i="2"/>
  <c r="BF31" i="2" s="1"/>
  <c r="BB31" i="2"/>
  <c r="BC31" i="2" s="1"/>
  <c r="AY31" i="2"/>
  <c r="AZ31" i="2" s="1"/>
  <c r="N31" i="2"/>
  <c r="AW31" i="2" s="1"/>
  <c r="M31" i="2"/>
  <c r="L31" i="2"/>
  <c r="K31" i="2"/>
  <c r="H31" i="2"/>
  <c r="I31" i="2" s="1"/>
  <c r="CQ30" i="2"/>
  <c r="CU30" i="2" s="1"/>
  <c r="CV30" i="2" s="1"/>
  <c r="CL30" i="2"/>
  <c r="CE30" i="2"/>
  <c r="CF30" i="2" s="1"/>
  <c r="CA30" i="2"/>
  <c r="CC30" i="2" s="1"/>
  <c r="BZ30" i="2"/>
  <c r="BW30" i="2"/>
  <c r="BU30" i="2"/>
  <c r="BV30" i="2" s="1"/>
  <c r="BR30" i="2"/>
  <c r="BS30" i="2" s="1"/>
  <c r="BO30" i="2"/>
  <c r="BK30" i="2"/>
  <c r="BL30" i="2" s="1"/>
  <c r="BH30" i="2"/>
  <c r="BI30" i="2" s="1"/>
  <c r="BE30" i="2"/>
  <c r="BF30" i="2" s="1"/>
  <c r="BB30" i="2"/>
  <c r="BC30" i="2" s="1"/>
  <c r="AY30" i="2"/>
  <c r="AZ30" i="2" s="1"/>
  <c r="N30" i="2"/>
  <c r="AW30" i="2" s="1"/>
  <c r="M30" i="2"/>
  <c r="L30" i="2"/>
  <c r="K30" i="2"/>
  <c r="H30" i="2"/>
  <c r="I30" i="2" s="1"/>
  <c r="CQ29" i="2"/>
  <c r="CU29" i="2" s="1"/>
  <c r="CV29" i="2" s="1"/>
  <c r="CL29" i="2"/>
  <c r="CE29" i="2"/>
  <c r="CF29" i="2" s="1"/>
  <c r="CA29" i="2"/>
  <c r="CC29" i="2" s="1"/>
  <c r="BZ29" i="2"/>
  <c r="BW29" i="2"/>
  <c r="BU29" i="2"/>
  <c r="BV29" i="2" s="1"/>
  <c r="BR29" i="2"/>
  <c r="BS29" i="2" s="1"/>
  <c r="BO29" i="2"/>
  <c r="BK29" i="2"/>
  <c r="BL29" i="2" s="1"/>
  <c r="BH29" i="2"/>
  <c r="BI29" i="2" s="1"/>
  <c r="BE29" i="2"/>
  <c r="BF29" i="2" s="1"/>
  <c r="BB29" i="2"/>
  <c r="BC29" i="2" s="1"/>
  <c r="AY29" i="2"/>
  <c r="AZ29" i="2" s="1"/>
  <c r="N29" i="2"/>
  <c r="AW29" i="2" s="1"/>
  <c r="M29" i="2"/>
  <c r="L29" i="2"/>
  <c r="K29" i="2"/>
  <c r="H29" i="2"/>
  <c r="I29" i="2" s="1"/>
  <c r="CQ28" i="2"/>
  <c r="CU28" i="2" s="1"/>
  <c r="CV28" i="2" s="1"/>
  <c r="CL28" i="2"/>
  <c r="CE28" i="2"/>
  <c r="CF28" i="2" s="1"/>
  <c r="CA28" i="2"/>
  <c r="CC28" i="2" s="1"/>
  <c r="BZ28" i="2"/>
  <c r="BW28" i="2"/>
  <c r="BU28" i="2"/>
  <c r="BV28" i="2" s="1"/>
  <c r="BR28" i="2"/>
  <c r="BS28" i="2" s="1"/>
  <c r="BO28" i="2"/>
  <c r="BK28" i="2"/>
  <c r="BL28" i="2" s="1"/>
  <c r="BH28" i="2"/>
  <c r="BI28" i="2" s="1"/>
  <c r="BE28" i="2"/>
  <c r="BF28" i="2" s="1"/>
  <c r="BB28" i="2"/>
  <c r="BC28" i="2" s="1"/>
  <c r="AY28" i="2"/>
  <c r="AZ28" i="2" s="1"/>
  <c r="N28" i="2"/>
  <c r="AW28" i="2" s="1"/>
  <c r="M28" i="2"/>
  <c r="L28" i="2"/>
  <c r="K28" i="2"/>
  <c r="H28" i="2"/>
  <c r="I28" i="2" s="1"/>
  <c r="CQ27" i="2"/>
  <c r="CU27" i="2" s="1"/>
  <c r="CV27" i="2" s="1"/>
  <c r="CL27" i="2"/>
  <c r="CE27" i="2"/>
  <c r="CF27" i="2" s="1"/>
  <c r="CA27" i="2"/>
  <c r="CC27" i="2" s="1"/>
  <c r="BZ27" i="2"/>
  <c r="BW27" i="2"/>
  <c r="BU27" i="2"/>
  <c r="BV27" i="2" s="1"/>
  <c r="BR27" i="2"/>
  <c r="BS27" i="2" s="1"/>
  <c r="BO27" i="2"/>
  <c r="BK27" i="2"/>
  <c r="BL27" i="2" s="1"/>
  <c r="BH27" i="2"/>
  <c r="BI27" i="2" s="1"/>
  <c r="BE27" i="2"/>
  <c r="BF27" i="2" s="1"/>
  <c r="BB27" i="2"/>
  <c r="BC27" i="2" s="1"/>
  <c r="AY27" i="2"/>
  <c r="AZ27" i="2" s="1"/>
  <c r="N27" i="2"/>
  <c r="AW27" i="2" s="1"/>
  <c r="M27" i="2"/>
  <c r="L27" i="2"/>
  <c r="K27" i="2"/>
  <c r="H27" i="2"/>
  <c r="I27" i="2" s="1"/>
  <c r="CQ26" i="2"/>
  <c r="CU26" i="2" s="1"/>
  <c r="CV26" i="2" s="1"/>
  <c r="CL26" i="2"/>
  <c r="CE26" i="2"/>
  <c r="CF26" i="2" s="1"/>
  <c r="CA26" i="2"/>
  <c r="CC26" i="2" s="1"/>
  <c r="BZ26" i="2"/>
  <c r="BW26" i="2"/>
  <c r="BU26" i="2"/>
  <c r="BV26" i="2" s="1"/>
  <c r="BR26" i="2"/>
  <c r="BS26" i="2" s="1"/>
  <c r="BO26" i="2"/>
  <c r="BK26" i="2"/>
  <c r="BL26" i="2" s="1"/>
  <c r="BH26" i="2"/>
  <c r="BI26" i="2" s="1"/>
  <c r="BE26" i="2"/>
  <c r="BF26" i="2" s="1"/>
  <c r="BB26" i="2"/>
  <c r="BC26" i="2" s="1"/>
  <c r="AY26" i="2"/>
  <c r="AZ26" i="2" s="1"/>
  <c r="N26" i="2"/>
  <c r="AW26" i="2" s="1"/>
  <c r="M26" i="2"/>
  <c r="L26" i="2"/>
  <c r="K26" i="2"/>
  <c r="H26" i="2"/>
  <c r="I26" i="2" s="1"/>
  <c r="CQ25" i="2"/>
  <c r="CU25" i="2" s="1"/>
  <c r="CV25" i="2" s="1"/>
  <c r="CL25" i="2"/>
  <c r="CE25" i="2"/>
  <c r="CF25" i="2" s="1"/>
  <c r="CA25" i="2"/>
  <c r="CC25" i="2" s="1"/>
  <c r="BZ25" i="2"/>
  <c r="BW25" i="2"/>
  <c r="BU25" i="2"/>
  <c r="BV25" i="2" s="1"/>
  <c r="BR25" i="2"/>
  <c r="BS25" i="2" s="1"/>
  <c r="BO25" i="2"/>
  <c r="BK25" i="2"/>
  <c r="BL25" i="2" s="1"/>
  <c r="BH25" i="2"/>
  <c r="BI25" i="2" s="1"/>
  <c r="BE25" i="2"/>
  <c r="BF25" i="2" s="1"/>
  <c r="BB25" i="2"/>
  <c r="BC25" i="2" s="1"/>
  <c r="AY25" i="2"/>
  <c r="AZ25" i="2" s="1"/>
  <c r="N25" i="2"/>
  <c r="AW25" i="2" s="1"/>
  <c r="M25" i="2"/>
  <c r="L25" i="2"/>
  <c r="K25" i="2"/>
  <c r="H25" i="2"/>
  <c r="I25" i="2" s="1"/>
  <c r="CQ24" i="2"/>
  <c r="CU24" i="2" s="1"/>
  <c r="CV24" i="2" s="1"/>
  <c r="CL24" i="2"/>
  <c r="CE24" i="2"/>
  <c r="CF24" i="2" s="1"/>
  <c r="CA24" i="2"/>
  <c r="CC24" i="2" s="1"/>
  <c r="BZ24" i="2"/>
  <c r="BW24" i="2"/>
  <c r="BU24" i="2"/>
  <c r="BV24" i="2" s="1"/>
  <c r="BR24" i="2"/>
  <c r="BS24" i="2" s="1"/>
  <c r="BO24" i="2"/>
  <c r="BK24" i="2"/>
  <c r="BL24" i="2" s="1"/>
  <c r="BH24" i="2"/>
  <c r="BI24" i="2" s="1"/>
  <c r="BE24" i="2"/>
  <c r="BF24" i="2" s="1"/>
  <c r="BB24" i="2"/>
  <c r="BC24" i="2" s="1"/>
  <c r="AY24" i="2"/>
  <c r="AZ24" i="2" s="1"/>
  <c r="N24" i="2"/>
  <c r="AW24" i="2" s="1"/>
  <c r="M24" i="2"/>
  <c r="L24" i="2"/>
  <c r="K24" i="2"/>
  <c r="H24" i="2"/>
  <c r="I24" i="2" s="1"/>
  <c r="CQ23" i="2"/>
  <c r="CU23" i="2" s="1"/>
  <c r="CV23" i="2" s="1"/>
  <c r="CL23" i="2"/>
  <c r="CE23" i="2"/>
  <c r="CF23" i="2" s="1"/>
  <c r="CA23" i="2"/>
  <c r="CC23" i="2" s="1"/>
  <c r="BZ23" i="2"/>
  <c r="BW23" i="2"/>
  <c r="BU23" i="2"/>
  <c r="BV23" i="2" s="1"/>
  <c r="BR23" i="2"/>
  <c r="BS23" i="2" s="1"/>
  <c r="BO23" i="2"/>
  <c r="BK23" i="2"/>
  <c r="BL23" i="2" s="1"/>
  <c r="BH23" i="2"/>
  <c r="BI23" i="2" s="1"/>
  <c r="BE23" i="2"/>
  <c r="BF23" i="2" s="1"/>
  <c r="BB23" i="2"/>
  <c r="BC23" i="2" s="1"/>
  <c r="AY23" i="2"/>
  <c r="AZ23" i="2" s="1"/>
  <c r="N23" i="2"/>
  <c r="AW23" i="2" s="1"/>
  <c r="M23" i="2"/>
  <c r="L23" i="2"/>
  <c r="K23" i="2"/>
  <c r="H23" i="2"/>
  <c r="I23" i="2" s="1"/>
  <c r="CQ22" i="2"/>
  <c r="CU22" i="2" s="1"/>
  <c r="CV22" i="2" s="1"/>
  <c r="CL22" i="2"/>
  <c r="CE22" i="2"/>
  <c r="CF22" i="2" s="1"/>
  <c r="CA22" i="2"/>
  <c r="CC22" i="2" s="1"/>
  <c r="BZ22" i="2"/>
  <c r="BW22" i="2"/>
  <c r="BU22" i="2"/>
  <c r="BV22" i="2" s="1"/>
  <c r="BR22" i="2"/>
  <c r="BS22" i="2" s="1"/>
  <c r="BO22" i="2"/>
  <c r="BK22" i="2"/>
  <c r="BL22" i="2" s="1"/>
  <c r="BH22" i="2"/>
  <c r="BI22" i="2" s="1"/>
  <c r="BE22" i="2"/>
  <c r="BF22" i="2" s="1"/>
  <c r="BB22" i="2"/>
  <c r="BC22" i="2" s="1"/>
  <c r="AY22" i="2"/>
  <c r="AZ22" i="2" s="1"/>
  <c r="N22" i="2"/>
  <c r="AW22" i="2" s="1"/>
  <c r="M22" i="2"/>
  <c r="L22" i="2"/>
  <c r="K22" i="2"/>
  <c r="H22" i="2"/>
  <c r="I22" i="2" s="1"/>
  <c r="CQ21" i="2"/>
  <c r="CU21" i="2" s="1"/>
  <c r="CV21" i="2" s="1"/>
  <c r="CL21" i="2"/>
  <c r="CE21" i="2"/>
  <c r="CF21" i="2" s="1"/>
  <c r="CA21" i="2"/>
  <c r="CC21" i="2" s="1"/>
  <c r="BZ21" i="2"/>
  <c r="BW21" i="2"/>
  <c r="BU21" i="2"/>
  <c r="BV21" i="2" s="1"/>
  <c r="BR21" i="2"/>
  <c r="BS21" i="2" s="1"/>
  <c r="BO21" i="2"/>
  <c r="BK21" i="2"/>
  <c r="BL21" i="2" s="1"/>
  <c r="BH21" i="2"/>
  <c r="BI21" i="2" s="1"/>
  <c r="BE21" i="2"/>
  <c r="BF21" i="2" s="1"/>
  <c r="BB21" i="2"/>
  <c r="BC21" i="2" s="1"/>
  <c r="AY21" i="2"/>
  <c r="AZ21" i="2" s="1"/>
  <c r="N21" i="2"/>
  <c r="AW21" i="2" s="1"/>
  <c r="M21" i="2"/>
  <c r="L21" i="2"/>
  <c r="K21" i="2"/>
  <c r="H21" i="2"/>
  <c r="I21" i="2" s="1"/>
  <c r="CQ20" i="2"/>
  <c r="CU20" i="2" s="1"/>
  <c r="CV20" i="2" s="1"/>
  <c r="CL20" i="2"/>
  <c r="CE20" i="2"/>
  <c r="CF20" i="2" s="1"/>
  <c r="CA20" i="2"/>
  <c r="CC20" i="2" s="1"/>
  <c r="BZ20" i="2"/>
  <c r="BW20" i="2"/>
  <c r="BU20" i="2"/>
  <c r="BV20" i="2" s="1"/>
  <c r="BR20" i="2"/>
  <c r="BS20" i="2" s="1"/>
  <c r="BO20" i="2"/>
  <c r="BK20" i="2"/>
  <c r="BL20" i="2" s="1"/>
  <c r="BH20" i="2"/>
  <c r="BI20" i="2" s="1"/>
  <c r="BE20" i="2"/>
  <c r="BF20" i="2" s="1"/>
  <c r="BB20" i="2"/>
  <c r="BC20" i="2" s="1"/>
  <c r="AY20" i="2"/>
  <c r="AZ20" i="2" s="1"/>
  <c r="N20" i="2"/>
  <c r="AW20" i="2" s="1"/>
  <c r="M20" i="2"/>
  <c r="L20" i="2"/>
  <c r="K20" i="2"/>
  <c r="H20" i="2"/>
  <c r="I20" i="2" s="1"/>
  <c r="CQ19" i="2"/>
  <c r="CU19" i="2" s="1"/>
  <c r="CV19" i="2" s="1"/>
  <c r="CL19" i="2"/>
  <c r="CE19" i="2"/>
  <c r="CF19" i="2" s="1"/>
  <c r="CA19" i="2"/>
  <c r="CC19" i="2" s="1"/>
  <c r="BZ19" i="2"/>
  <c r="BW19" i="2"/>
  <c r="BU19" i="2"/>
  <c r="BV19" i="2" s="1"/>
  <c r="BR19" i="2"/>
  <c r="BS19" i="2" s="1"/>
  <c r="BO19" i="2"/>
  <c r="BK19" i="2"/>
  <c r="BL19" i="2" s="1"/>
  <c r="BH19" i="2"/>
  <c r="BI19" i="2" s="1"/>
  <c r="BE19" i="2"/>
  <c r="BF19" i="2" s="1"/>
  <c r="BB19" i="2"/>
  <c r="BC19" i="2" s="1"/>
  <c r="AY19" i="2"/>
  <c r="AZ19" i="2" s="1"/>
  <c r="N19" i="2"/>
  <c r="AW19" i="2" s="1"/>
  <c r="M19" i="2"/>
  <c r="L19" i="2"/>
  <c r="K19" i="2"/>
  <c r="H19" i="2"/>
  <c r="I19" i="2" s="1"/>
  <c r="CQ18" i="2"/>
  <c r="CU18" i="2" s="1"/>
  <c r="CV18" i="2" s="1"/>
  <c r="CL18" i="2"/>
  <c r="CE18" i="2"/>
  <c r="CF18" i="2" s="1"/>
  <c r="CA18" i="2"/>
  <c r="CC18" i="2" s="1"/>
  <c r="BZ18" i="2"/>
  <c r="BW18" i="2"/>
  <c r="BU18" i="2"/>
  <c r="BV18" i="2" s="1"/>
  <c r="BR18" i="2"/>
  <c r="BS18" i="2" s="1"/>
  <c r="BO18" i="2"/>
  <c r="BK18" i="2"/>
  <c r="BL18" i="2" s="1"/>
  <c r="BH18" i="2"/>
  <c r="BI18" i="2" s="1"/>
  <c r="BE18" i="2"/>
  <c r="BF18" i="2" s="1"/>
  <c r="BB18" i="2"/>
  <c r="BC18" i="2" s="1"/>
  <c r="AY18" i="2"/>
  <c r="AZ18" i="2" s="1"/>
  <c r="N18" i="2"/>
  <c r="AW18" i="2" s="1"/>
  <c r="M18" i="2"/>
  <c r="L18" i="2"/>
  <c r="K18" i="2"/>
  <c r="H18" i="2"/>
  <c r="I18" i="2" s="1"/>
  <c r="CQ17" i="2"/>
  <c r="CU17" i="2" s="1"/>
  <c r="CV17" i="2" s="1"/>
  <c r="CL17" i="2"/>
  <c r="CE17" i="2"/>
  <c r="CF17" i="2" s="1"/>
  <c r="CA17" i="2"/>
  <c r="CC17" i="2" s="1"/>
  <c r="BZ17" i="2"/>
  <c r="BW17" i="2"/>
  <c r="BU17" i="2"/>
  <c r="BV17" i="2" s="1"/>
  <c r="BR17" i="2"/>
  <c r="BS17" i="2" s="1"/>
  <c r="BO17" i="2"/>
  <c r="BK17" i="2"/>
  <c r="BL17" i="2" s="1"/>
  <c r="BH17" i="2"/>
  <c r="BI17" i="2" s="1"/>
  <c r="BE17" i="2"/>
  <c r="BF17" i="2" s="1"/>
  <c r="BB17" i="2"/>
  <c r="BC17" i="2" s="1"/>
  <c r="AY17" i="2"/>
  <c r="AZ17" i="2" s="1"/>
  <c r="N17" i="2"/>
  <c r="AW17" i="2" s="1"/>
  <c r="M17" i="2"/>
  <c r="L17" i="2"/>
  <c r="K17" i="2"/>
  <c r="H17" i="2"/>
  <c r="I17" i="2" s="1"/>
  <c r="CQ16" i="2"/>
  <c r="CU16" i="2" s="1"/>
  <c r="CV16" i="2" s="1"/>
  <c r="CL16" i="2"/>
  <c r="CE16" i="2"/>
  <c r="CF16" i="2" s="1"/>
  <c r="CA16" i="2"/>
  <c r="CC16" i="2" s="1"/>
  <c r="BZ16" i="2"/>
  <c r="BW16" i="2"/>
  <c r="BU16" i="2"/>
  <c r="BV16" i="2" s="1"/>
  <c r="BR16" i="2"/>
  <c r="BS16" i="2" s="1"/>
  <c r="BO16" i="2"/>
  <c r="BK16" i="2"/>
  <c r="BL16" i="2" s="1"/>
  <c r="BH16" i="2"/>
  <c r="BI16" i="2" s="1"/>
  <c r="BE16" i="2"/>
  <c r="BF16" i="2" s="1"/>
  <c r="BB16" i="2"/>
  <c r="BC16" i="2" s="1"/>
  <c r="AY16" i="2"/>
  <c r="AZ16" i="2" s="1"/>
  <c r="N16" i="2"/>
  <c r="AW16" i="2" s="1"/>
  <c r="M16" i="2"/>
  <c r="L16" i="2"/>
  <c r="K16" i="2"/>
  <c r="H16" i="2"/>
  <c r="I16" i="2" s="1"/>
  <c r="CQ15" i="2"/>
  <c r="CU15" i="2" s="1"/>
  <c r="CV15" i="2" s="1"/>
  <c r="CL15" i="2"/>
  <c r="CE15" i="2"/>
  <c r="CF15" i="2" s="1"/>
  <c r="CA15" i="2"/>
  <c r="CC15" i="2" s="1"/>
  <c r="BZ15" i="2"/>
  <c r="BW15" i="2"/>
  <c r="BU15" i="2"/>
  <c r="BV15" i="2" s="1"/>
  <c r="BR15" i="2"/>
  <c r="BS15" i="2" s="1"/>
  <c r="BO15" i="2"/>
  <c r="BK15" i="2"/>
  <c r="BL15" i="2" s="1"/>
  <c r="BH15" i="2"/>
  <c r="BI15" i="2" s="1"/>
  <c r="BE15" i="2"/>
  <c r="BF15" i="2" s="1"/>
  <c r="BB15" i="2"/>
  <c r="BC15" i="2" s="1"/>
  <c r="AY15" i="2"/>
  <c r="AZ15" i="2" s="1"/>
  <c r="N15" i="2"/>
  <c r="AW15" i="2" s="1"/>
  <c r="M15" i="2"/>
  <c r="L15" i="2"/>
  <c r="K15" i="2"/>
  <c r="H15" i="2"/>
  <c r="I15" i="2" s="1"/>
  <c r="CQ14" i="2"/>
  <c r="CU14" i="2" s="1"/>
  <c r="CV14" i="2" s="1"/>
  <c r="CL14" i="2"/>
  <c r="CE14" i="2"/>
  <c r="CF14" i="2" s="1"/>
  <c r="CA14" i="2"/>
  <c r="CC14" i="2" s="1"/>
  <c r="BZ14" i="2"/>
  <c r="BW14" i="2"/>
  <c r="BU14" i="2"/>
  <c r="BV14" i="2" s="1"/>
  <c r="BR14" i="2"/>
  <c r="BS14" i="2" s="1"/>
  <c r="BO14" i="2"/>
  <c r="BK14" i="2"/>
  <c r="BL14" i="2" s="1"/>
  <c r="BH14" i="2"/>
  <c r="BI14" i="2" s="1"/>
  <c r="BE14" i="2"/>
  <c r="BF14" i="2" s="1"/>
  <c r="BB14" i="2"/>
  <c r="BC14" i="2" s="1"/>
  <c r="AY14" i="2"/>
  <c r="AZ14" i="2" s="1"/>
  <c r="N14" i="2"/>
  <c r="AW14" i="2" s="1"/>
  <c r="M14" i="2"/>
  <c r="L14" i="2"/>
  <c r="K14" i="2"/>
  <c r="H14" i="2"/>
  <c r="I14" i="2" s="1"/>
  <c r="CQ13" i="2"/>
  <c r="CU13" i="2" s="1"/>
  <c r="CV13" i="2" s="1"/>
  <c r="CL13" i="2"/>
  <c r="CE13" i="2"/>
  <c r="CF13" i="2" s="1"/>
  <c r="CA13" i="2"/>
  <c r="CC13" i="2" s="1"/>
  <c r="BZ13" i="2"/>
  <c r="BW13" i="2"/>
  <c r="BU13" i="2"/>
  <c r="BV13" i="2" s="1"/>
  <c r="BR13" i="2"/>
  <c r="BS13" i="2" s="1"/>
  <c r="BO13" i="2"/>
  <c r="BK13" i="2"/>
  <c r="BL13" i="2" s="1"/>
  <c r="BH13" i="2"/>
  <c r="BI13" i="2" s="1"/>
  <c r="BE13" i="2"/>
  <c r="BF13" i="2" s="1"/>
  <c r="BB13" i="2"/>
  <c r="BC13" i="2" s="1"/>
  <c r="AY13" i="2"/>
  <c r="AZ13" i="2" s="1"/>
  <c r="N13" i="2"/>
  <c r="AW13" i="2" s="1"/>
  <c r="M13" i="2"/>
  <c r="L13" i="2"/>
  <c r="K13" i="2"/>
  <c r="H13" i="2"/>
  <c r="I13" i="2" s="1"/>
  <c r="CQ12" i="2"/>
  <c r="CU12" i="2" s="1"/>
  <c r="CV12" i="2" s="1"/>
  <c r="CL12" i="2"/>
  <c r="CE12" i="2"/>
  <c r="CF12" i="2" s="1"/>
  <c r="CA12" i="2"/>
  <c r="CC12" i="2" s="1"/>
  <c r="BZ12" i="2"/>
  <c r="BW12" i="2"/>
  <c r="BU12" i="2"/>
  <c r="BV12" i="2" s="1"/>
  <c r="BR12" i="2"/>
  <c r="BS12" i="2" s="1"/>
  <c r="BO12" i="2"/>
  <c r="BK12" i="2"/>
  <c r="BL12" i="2" s="1"/>
  <c r="BH12" i="2"/>
  <c r="BI12" i="2" s="1"/>
  <c r="BE12" i="2"/>
  <c r="BF12" i="2" s="1"/>
  <c r="BB12" i="2"/>
  <c r="BC12" i="2" s="1"/>
  <c r="AY12" i="2"/>
  <c r="AZ12" i="2" s="1"/>
  <c r="N12" i="2"/>
  <c r="AW12" i="2" s="1"/>
  <c r="M12" i="2"/>
  <c r="L12" i="2"/>
  <c r="K12" i="2"/>
  <c r="H12" i="2"/>
  <c r="I12" i="2" s="1"/>
  <c r="CQ11" i="2"/>
  <c r="CU11" i="2" s="1"/>
  <c r="CV11" i="2" s="1"/>
  <c r="CL11" i="2"/>
  <c r="CE11" i="2"/>
  <c r="CF11" i="2" s="1"/>
  <c r="CA11" i="2"/>
  <c r="CC11" i="2" s="1"/>
  <c r="BZ11" i="2"/>
  <c r="BW11" i="2"/>
  <c r="BU11" i="2"/>
  <c r="BV11" i="2" s="1"/>
  <c r="BR11" i="2"/>
  <c r="BS11" i="2" s="1"/>
  <c r="BO11" i="2"/>
  <c r="BK11" i="2"/>
  <c r="BL11" i="2" s="1"/>
  <c r="BH11" i="2"/>
  <c r="BI11" i="2" s="1"/>
  <c r="BE11" i="2"/>
  <c r="BF11" i="2" s="1"/>
  <c r="BB11" i="2"/>
  <c r="BC11" i="2" s="1"/>
  <c r="AY11" i="2"/>
  <c r="AZ11" i="2" s="1"/>
  <c r="N11" i="2"/>
  <c r="AW11" i="2" s="1"/>
  <c r="M11" i="2"/>
  <c r="L11" i="2"/>
  <c r="K11" i="2"/>
  <c r="H11" i="2"/>
  <c r="I11" i="2" s="1"/>
  <c r="CQ10" i="2"/>
  <c r="CU10" i="2" s="1"/>
  <c r="CV10" i="2" s="1"/>
  <c r="CL10" i="2"/>
  <c r="CE10" i="2"/>
  <c r="CF10" i="2" s="1"/>
  <c r="CA10" i="2"/>
  <c r="CC10" i="2" s="1"/>
  <c r="BZ10" i="2"/>
  <c r="BW10" i="2"/>
  <c r="BU10" i="2"/>
  <c r="BV10" i="2" s="1"/>
  <c r="BR10" i="2"/>
  <c r="BS10" i="2" s="1"/>
  <c r="BO10" i="2"/>
  <c r="BK10" i="2"/>
  <c r="BL10" i="2" s="1"/>
  <c r="BH10" i="2"/>
  <c r="BI10" i="2" s="1"/>
  <c r="BE10" i="2"/>
  <c r="BF10" i="2" s="1"/>
  <c r="BB10" i="2"/>
  <c r="BC10" i="2" s="1"/>
  <c r="AY10" i="2"/>
  <c r="AZ10" i="2" s="1"/>
  <c r="N10" i="2"/>
  <c r="AW10" i="2" s="1"/>
  <c r="M10" i="2"/>
  <c r="L10" i="2"/>
  <c r="K10" i="2"/>
  <c r="H10" i="2"/>
  <c r="I10" i="2" s="1"/>
  <c r="CQ9" i="2"/>
  <c r="CU9" i="2" s="1"/>
  <c r="CV9" i="2" s="1"/>
  <c r="CL9" i="2"/>
  <c r="CE9" i="2"/>
  <c r="CF9" i="2" s="1"/>
  <c r="CA9" i="2"/>
  <c r="CC9" i="2" s="1"/>
  <c r="BZ9" i="2"/>
  <c r="BW9" i="2"/>
  <c r="BU9" i="2"/>
  <c r="BV9" i="2" s="1"/>
  <c r="BR9" i="2"/>
  <c r="BS9" i="2" s="1"/>
  <c r="BO9" i="2"/>
  <c r="BK9" i="2"/>
  <c r="BL9" i="2" s="1"/>
  <c r="BH9" i="2"/>
  <c r="BI9" i="2" s="1"/>
  <c r="BE9" i="2"/>
  <c r="BF9" i="2" s="1"/>
  <c r="BB9" i="2"/>
  <c r="BC9" i="2" s="1"/>
  <c r="AY9" i="2"/>
  <c r="AZ9" i="2" s="1"/>
  <c r="N9" i="2"/>
  <c r="AW9" i="2" s="1"/>
  <c r="M9" i="2"/>
  <c r="L9" i="2"/>
  <c r="K9" i="2"/>
  <c r="H9" i="2"/>
  <c r="I9" i="2" s="1"/>
  <c r="CQ8" i="2"/>
  <c r="CU8" i="2" s="1"/>
  <c r="CV8" i="2" s="1"/>
  <c r="CL8" i="2"/>
  <c r="CE8" i="2"/>
  <c r="CF8" i="2" s="1"/>
  <c r="CA8" i="2"/>
  <c r="CC8" i="2" s="1"/>
  <c r="BZ8" i="2"/>
  <c r="BW8" i="2"/>
  <c r="BO8" i="2"/>
  <c r="BK8" i="2"/>
  <c r="BL8" i="2" s="1"/>
  <c r="BH8" i="2"/>
  <c r="BI8" i="2" s="1"/>
  <c r="BE8" i="2"/>
  <c r="BF8" i="2" s="1"/>
  <c r="BB8" i="2"/>
  <c r="BC8" i="2" s="1"/>
  <c r="AY8" i="2"/>
  <c r="AZ8" i="2" s="1"/>
  <c r="N8" i="2"/>
  <c r="AW8" i="2" s="1"/>
  <c r="L8" i="2"/>
  <c r="M8" i="2" s="1"/>
  <c r="K8" i="2"/>
  <c r="H8" i="2"/>
  <c r="I8" i="2" s="1"/>
  <c r="CQ6" i="2"/>
  <c r="CD6" i="2"/>
  <c r="CA6" i="2"/>
  <c r="BW6" i="2"/>
  <c r="BG6" i="2"/>
  <c r="BD6" i="2"/>
  <c r="BA6" i="2"/>
  <c r="AX6" i="2"/>
  <c r="AU6" i="2"/>
  <c r="AR6" i="2"/>
  <c r="AO6" i="2"/>
  <c r="AL6" i="2"/>
  <c r="AI6" i="2"/>
  <c r="AF6" i="2"/>
  <c r="AC6" i="2"/>
  <c r="Z6" i="2"/>
  <c r="W6" i="2"/>
  <c r="T6" i="2"/>
  <c r="Q6" i="2"/>
  <c r="N6" i="2"/>
  <c r="J6" i="2"/>
  <c r="H6" i="2"/>
  <c r="AU5" i="2"/>
  <c r="AR5" i="2"/>
  <c r="AO5" i="2"/>
  <c r="AL5" i="2"/>
  <c r="AI5" i="2"/>
  <c r="AF5" i="2"/>
  <c r="AC5" i="2"/>
  <c r="Z5" i="2"/>
  <c r="W5" i="2"/>
  <c r="T5" i="2"/>
  <c r="Q5" i="2"/>
  <c r="J5" i="2"/>
  <c r="CQ1" i="2"/>
  <c r="CG1" i="2"/>
  <c r="CA1" i="2"/>
  <c r="BW1" i="2"/>
  <c r="BG1" i="2"/>
  <c r="BD1" i="2"/>
  <c r="BA1" i="2"/>
  <c r="AX1" i="2"/>
  <c r="N1" i="2"/>
  <c r="EG15" i="4" l="1"/>
  <c r="EA15" i="4"/>
  <c r="EI15" i="4"/>
  <c r="EE15" i="4"/>
  <c r="EG25" i="4"/>
  <c r="EI25" i="4"/>
  <c r="EE25" i="4"/>
  <c r="EA25" i="4"/>
  <c r="BD6" i="4"/>
  <c r="EI16" i="4"/>
  <c r="EG16" i="4"/>
  <c r="EA16" i="4"/>
  <c r="EE16" i="4"/>
  <c r="EI32" i="4"/>
  <c r="EE32" i="4"/>
  <c r="EA32" i="4"/>
  <c r="EG32" i="4"/>
  <c r="EG13" i="4"/>
  <c r="EI13" i="4"/>
  <c r="EE13" i="4"/>
  <c r="EA13" i="4"/>
  <c r="EI21" i="4"/>
  <c r="EE21" i="4"/>
  <c r="EG21" i="4"/>
  <c r="EA21" i="4"/>
  <c r="EA30" i="4"/>
  <c r="EG30" i="4"/>
  <c r="EI30" i="4"/>
  <c r="EE30" i="4"/>
  <c r="BA6" i="4"/>
  <c r="CZ301" i="4"/>
  <c r="EI28" i="4"/>
  <c r="EG28" i="4"/>
  <c r="EA28" i="4"/>
  <c r="EE28" i="4"/>
  <c r="EI23" i="4"/>
  <c r="EG23" i="4"/>
  <c r="EE23" i="4"/>
  <c r="EA23" i="4"/>
  <c r="EI19" i="4"/>
  <c r="EG19" i="4"/>
  <c r="EE19" i="4"/>
  <c r="EA19" i="4"/>
  <c r="EG26" i="4"/>
  <c r="EI26" i="4"/>
  <c r="EE26" i="4"/>
  <c r="EA26" i="4"/>
  <c r="EI34" i="4"/>
  <c r="EE34" i="4"/>
  <c r="EA34" i="4"/>
  <c r="EG34" i="4"/>
  <c r="EG14" i="4"/>
  <c r="EI14" i="4"/>
  <c r="EE14" i="4"/>
  <c r="EA14" i="4"/>
  <c r="EI24" i="4"/>
  <c r="EG24" i="4"/>
  <c r="EE24" i="4"/>
  <c r="EA24" i="4"/>
  <c r="EC10" i="4"/>
  <c r="EI10" i="4"/>
  <c r="EG10" i="4"/>
  <c r="EE10" i="4"/>
  <c r="EA10" i="4"/>
  <c r="EE17" i="4"/>
  <c r="EA17" i="4"/>
  <c r="EI17" i="4"/>
  <c r="EG17" i="4"/>
  <c r="EI33" i="4"/>
  <c r="EE33" i="4"/>
  <c r="EA33" i="4"/>
  <c r="EG33" i="4"/>
  <c r="EG31" i="4"/>
  <c r="EI31" i="4"/>
  <c r="EE31" i="4"/>
  <c r="EA31" i="4"/>
  <c r="EI22" i="4"/>
  <c r="EG22" i="4"/>
  <c r="EE22" i="4"/>
  <c r="EA22" i="4"/>
  <c r="EE29" i="4"/>
  <c r="EA29" i="4"/>
  <c r="EG29" i="4"/>
  <c r="EI29" i="4"/>
  <c r="EA18" i="4"/>
  <c r="EI18" i="4"/>
  <c r="EG18" i="4"/>
  <c r="EE18" i="4"/>
  <c r="EI12" i="4"/>
  <c r="EE12" i="4"/>
  <c r="EA12" i="4"/>
  <c r="EG12" i="4"/>
  <c r="EI20" i="4"/>
  <c r="EG20" i="4"/>
  <c r="EE20" i="4"/>
  <c r="EA20" i="4"/>
  <c r="EG27" i="4"/>
  <c r="EI27" i="4"/>
  <c r="EE27" i="4"/>
  <c r="EA27" i="4"/>
  <c r="DY12" i="4"/>
  <c r="EC12" i="4"/>
  <c r="DY13" i="4"/>
  <c r="EC13" i="4"/>
  <c r="DY14" i="4"/>
  <c r="EC14" i="4"/>
  <c r="DY15" i="4"/>
  <c r="EC15" i="4"/>
  <c r="DY16" i="4"/>
  <c r="EC16" i="4"/>
  <c r="DY17" i="4"/>
  <c r="EC17" i="4"/>
  <c r="DY18" i="4"/>
  <c r="EC18" i="4"/>
  <c r="DY19" i="4"/>
  <c r="EC19" i="4"/>
  <c r="DY20" i="4"/>
  <c r="EC20" i="4"/>
  <c r="DY21" i="4"/>
  <c r="EC21" i="4"/>
  <c r="DY22" i="4"/>
  <c r="EC22" i="4"/>
  <c r="DY23" i="4"/>
  <c r="EC23" i="4"/>
  <c r="DY24" i="4"/>
  <c r="EC24" i="4"/>
  <c r="DY25" i="4"/>
  <c r="EC25" i="4"/>
  <c r="DY26" i="4"/>
  <c r="EC26" i="4"/>
  <c r="DY27" i="4"/>
  <c r="EC27" i="4"/>
  <c r="DY28" i="4"/>
  <c r="EC28" i="4"/>
  <c r="DY29" i="4"/>
  <c r="EC29" i="4"/>
  <c r="DY30" i="4"/>
  <c r="EC30" i="4"/>
  <c r="DY31" i="4"/>
  <c r="EC31" i="4"/>
  <c r="DY32" i="4"/>
  <c r="EC32" i="4"/>
  <c r="DY33" i="4"/>
  <c r="EC33" i="4"/>
  <c r="DY34" i="4"/>
  <c r="EC34" i="4"/>
  <c r="BL6" i="4"/>
  <c r="BM301" i="4"/>
  <c r="DK6" i="4"/>
  <c r="DN301" i="4"/>
  <c r="DX6" i="4"/>
  <c r="DX301" i="4"/>
  <c r="BI6" i="4"/>
  <c r="BJ301" i="4"/>
  <c r="BO6" i="4"/>
  <c r="BP301" i="4"/>
  <c r="BW301" i="4"/>
  <c r="BK12" i="4"/>
  <c r="BS10" i="4"/>
  <c r="CF10" i="4"/>
  <c r="DB12" i="4"/>
  <c r="DB13" i="4"/>
  <c r="DB14" i="4"/>
  <c r="DB15" i="4"/>
  <c r="DB16" i="4"/>
  <c r="DB17" i="4"/>
  <c r="DB18" i="4"/>
  <c r="DB19" i="4"/>
  <c r="DB20" i="4"/>
  <c r="DB21" i="4"/>
  <c r="DB22" i="4"/>
  <c r="DB23" i="4"/>
  <c r="DB24" i="4"/>
  <c r="DB25" i="4"/>
  <c r="DB26" i="4"/>
  <c r="DB27" i="4"/>
  <c r="DB28" i="4"/>
  <c r="DB29" i="4"/>
  <c r="DB30" i="4"/>
  <c r="DB31" i="4"/>
  <c r="DB32" i="4"/>
  <c r="DB33" i="4"/>
  <c r="DB34" i="4"/>
  <c r="BT12" i="4"/>
  <c r="BT13" i="4"/>
  <c r="CD13" i="4"/>
  <c r="BT14" i="4"/>
  <c r="BT15" i="4"/>
  <c r="CD15" i="4"/>
  <c r="BT16" i="4"/>
  <c r="BT17" i="4"/>
  <c r="CD17" i="4"/>
  <c r="BT18" i="4"/>
  <c r="CD18" i="4"/>
  <c r="BT19" i="4"/>
  <c r="CD19" i="4"/>
  <c r="BT20" i="4"/>
  <c r="CD20" i="4"/>
  <c r="BT21" i="4"/>
  <c r="CD21" i="4"/>
  <c r="BT22" i="4"/>
  <c r="CD22" i="4"/>
  <c r="BT23" i="4"/>
  <c r="CD23" i="4"/>
  <c r="BT24" i="4"/>
  <c r="CD24" i="4"/>
  <c r="BT25" i="4"/>
  <c r="CD25" i="4"/>
  <c r="BT26" i="4"/>
  <c r="CD26" i="4"/>
  <c r="BT27" i="4"/>
  <c r="CD27" i="4"/>
  <c r="BT28" i="4"/>
  <c r="CD28" i="4"/>
  <c r="BT29" i="4"/>
  <c r="CD29" i="4"/>
  <c r="BT30" i="4"/>
  <c r="CD30" i="4"/>
  <c r="BT31" i="4"/>
  <c r="CD31" i="4"/>
  <c r="BT32" i="4"/>
  <c r="CD32" i="4"/>
  <c r="BT33" i="4"/>
  <c r="CD33" i="4"/>
  <c r="BT34" i="4"/>
  <c r="CD34" i="4"/>
  <c r="BZ12" i="4"/>
  <c r="CA12" i="4" s="1"/>
  <c r="CC12" i="4"/>
  <c r="CD12" i="4"/>
  <c r="CC16" i="4"/>
  <c r="CY16" i="4"/>
  <c r="BZ14" i="4"/>
  <c r="BZ16" i="4"/>
  <c r="H7" i="4"/>
  <c r="J7" i="4"/>
  <c r="J5" i="4"/>
  <c r="DF7" i="4"/>
  <c r="DF1" i="4" s="1"/>
  <c r="DR10" i="4"/>
  <c r="BQ10" i="4"/>
  <c r="BT10" i="4"/>
  <c r="DB10" i="4"/>
  <c r="BN10" i="4"/>
  <c r="DY10" i="4"/>
  <c r="N301" i="4"/>
  <c r="BC10" i="4"/>
  <c r="BB301" i="4"/>
  <c r="BH10" i="4"/>
  <c r="BG301" i="4"/>
  <c r="BK10" i="4"/>
  <c r="BQ12" i="4"/>
  <c r="BZ10" i="4"/>
  <c r="CC10" i="4"/>
  <c r="AZ10" i="4"/>
  <c r="CA13" i="4"/>
  <c r="CA14" i="4"/>
  <c r="CA15" i="4"/>
  <c r="CA16" i="4"/>
  <c r="CA17" i="4"/>
  <c r="CA18" i="4"/>
  <c r="CA19" i="4"/>
  <c r="CA20" i="4"/>
  <c r="CA21" i="4"/>
  <c r="CA22" i="4"/>
  <c r="CA23" i="4"/>
  <c r="CA24" i="4"/>
  <c r="CA25" i="4"/>
  <c r="CA26" i="4"/>
  <c r="CA27" i="4"/>
  <c r="CA28" i="4"/>
  <c r="CA29" i="4"/>
  <c r="CA30" i="4"/>
  <c r="CA31" i="4"/>
  <c r="CA32" i="4"/>
  <c r="CA33" i="4"/>
  <c r="CA34" i="4"/>
  <c r="AZ23" i="4"/>
  <c r="BX10" i="4"/>
  <c r="DO10" i="4"/>
  <c r="CY12" i="4"/>
  <c r="BX12" i="4"/>
  <c r="DS12" i="4"/>
  <c r="DO12" i="4"/>
  <c r="BX13" i="4"/>
  <c r="DS13" i="4"/>
  <c r="DO13" i="4"/>
  <c r="BX14" i="4"/>
  <c r="DS14" i="4"/>
  <c r="DO14" i="4"/>
  <c r="BX15" i="4"/>
  <c r="DS15" i="4"/>
  <c r="DO15" i="4"/>
  <c r="BX16" i="4"/>
  <c r="DS16" i="4"/>
  <c r="DO16" i="4"/>
  <c r="BX17" i="4"/>
  <c r="DS17" i="4"/>
  <c r="DO17" i="4"/>
  <c r="BX18" i="4"/>
  <c r="DS18" i="4"/>
  <c r="DO18" i="4"/>
  <c r="BX19" i="4"/>
  <c r="DS19" i="4"/>
  <c r="DO19" i="4"/>
  <c r="BX20" i="4"/>
  <c r="DS20" i="4"/>
  <c r="DO20" i="4"/>
  <c r="BX21" i="4"/>
  <c r="DS21" i="4"/>
  <c r="DO21" i="4"/>
  <c r="BX22" i="4"/>
  <c r="DS22" i="4"/>
  <c r="DO22" i="4"/>
  <c r="BX23" i="4"/>
  <c r="DS23" i="4"/>
  <c r="DO23" i="4"/>
  <c r="BX24" i="4"/>
  <c r="DS24" i="4"/>
  <c r="DO24" i="4"/>
  <c r="BX25" i="4"/>
  <c r="DS25" i="4"/>
  <c r="DO25" i="4"/>
  <c r="BX26" i="4"/>
  <c r="DS26" i="4"/>
  <c r="DO26" i="4"/>
  <c r="BX27" i="4"/>
  <c r="DS27" i="4"/>
  <c r="DO27" i="4"/>
  <c r="BX28" i="4"/>
  <c r="DS28" i="4"/>
  <c r="DO28" i="4"/>
  <c r="BX29" i="4"/>
  <c r="DS29" i="4"/>
  <c r="DO29" i="4"/>
  <c r="BX30" i="4"/>
  <c r="DS30" i="4"/>
  <c r="DO30" i="4"/>
  <c r="BX31" i="4"/>
  <c r="DS31" i="4"/>
  <c r="DO31" i="4"/>
  <c r="BX32" i="4"/>
  <c r="DS32" i="4"/>
  <c r="DO32" i="4"/>
  <c r="BX33" i="4"/>
  <c r="DS33" i="4"/>
  <c r="DO33" i="4"/>
  <c r="BX34" i="4"/>
  <c r="DS34" i="4"/>
  <c r="DO34" i="4"/>
  <c r="BX8" i="2"/>
  <c r="BU8" i="2"/>
  <c r="BV8" i="2" s="1"/>
  <c r="BT6" i="2" s="1"/>
  <c r="BT1" i="2" s="1"/>
  <c r="BR8" i="2"/>
  <c r="BS8" i="2" s="1"/>
  <c r="BQ6" i="2" s="1"/>
  <c r="BQ1" i="2" s="1"/>
  <c r="BP8" i="2"/>
  <c r="CO8" i="2"/>
  <c r="CP8" i="2" s="1"/>
  <c r="CM8" i="2"/>
  <c r="BX9" i="2"/>
  <c r="BP9" i="2"/>
  <c r="CO9" i="2"/>
  <c r="CP9" i="2" s="1"/>
  <c r="CM9" i="2"/>
  <c r="BX10" i="2"/>
  <c r="BP10" i="2"/>
  <c r="CO10" i="2"/>
  <c r="CP10" i="2" s="1"/>
  <c r="CM10" i="2"/>
  <c r="BX11" i="2"/>
  <c r="BP11" i="2"/>
  <c r="CO11" i="2"/>
  <c r="CP11" i="2" s="1"/>
  <c r="CM11" i="2"/>
  <c r="BX12" i="2"/>
  <c r="BP12" i="2"/>
  <c r="CO12" i="2"/>
  <c r="CP12" i="2" s="1"/>
  <c r="CM12" i="2"/>
  <c r="BX13" i="2"/>
  <c r="BP13" i="2"/>
  <c r="CO13" i="2"/>
  <c r="CP13" i="2" s="1"/>
  <c r="CM13" i="2"/>
  <c r="BX14" i="2"/>
  <c r="BP14" i="2"/>
  <c r="CO14" i="2"/>
  <c r="CP14" i="2" s="1"/>
  <c r="CM14" i="2"/>
  <c r="BX15" i="2"/>
  <c r="BP15" i="2"/>
  <c r="CO15" i="2"/>
  <c r="CP15" i="2" s="1"/>
  <c r="CM15" i="2"/>
  <c r="BX16" i="2"/>
  <c r="BP16" i="2"/>
  <c r="CO16" i="2"/>
  <c r="CP16" i="2" s="1"/>
  <c r="CM16" i="2"/>
  <c r="BX17" i="2"/>
  <c r="BP17" i="2"/>
  <c r="CO17" i="2"/>
  <c r="CP17" i="2" s="1"/>
  <c r="CM17" i="2"/>
  <c r="BX18" i="2"/>
  <c r="BP18" i="2"/>
  <c r="CO18" i="2"/>
  <c r="CP18" i="2" s="1"/>
  <c r="CM18" i="2"/>
  <c r="BX19" i="2"/>
  <c r="BP19" i="2"/>
  <c r="CO19" i="2"/>
  <c r="CP19" i="2" s="1"/>
  <c r="CM19" i="2"/>
  <c r="BX20" i="2"/>
  <c r="BP20" i="2"/>
  <c r="CO20" i="2"/>
  <c r="CP20" i="2" s="1"/>
  <c r="CM20" i="2"/>
  <c r="BX21" i="2"/>
  <c r="BP21" i="2"/>
  <c r="CO21" i="2"/>
  <c r="CP21" i="2" s="1"/>
  <c r="CM21" i="2"/>
  <c r="BX22" i="2"/>
  <c r="BP22" i="2"/>
  <c r="CO22" i="2"/>
  <c r="CP22" i="2" s="1"/>
  <c r="CM22" i="2"/>
  <c r="BX23" i="2"/>
  <c r="BP23" i="2"/>
  <c r="CO23" i="2"/>
  <c r="CP23" i="2" s="1"/>
  <c r="CM23" i="2"/>
  <c r="BX24" i="2"/>
  <c r="BP24" i="2"/>
  <c r="CO24" i="2"/>
  <c r="CP24" i="2" s="1"/>
  <c r="CM24" i="2"/>
  <c r="BX25" i="2"/>
  <c r="BP25" i="2"/>
  <c r="CO25" i="2"/>
  <c r="CP25" i="2" s="1"/>
  <c r="CM25" i="2"/>
  <c r="BX26" i="2"/>
  <c r="BP26" i="2"/>
  <c r="CO26" i="2"/>
  <c r="CP26" i="2" s="1"/>
  <c r="CM26" i="2"/>
  <c r="BX27" i="2"/>
  <c r="BP27" i="2"/>
  <c r="CO27" i="2"/>
  <c r="CP27" i="2" s="1"/>
  <c r="CM27" i="2"/>
  <c r="BX28" i="2"/>
  <c r="BP28" i="2"/>
  <c r="CO28" i="2"/>
  <c r="CP28" i="2" s="1"/>
  <c r="CM28" i="2"/>
  <c r="BX29" i="2"/>
  <c r="BP29" i="2"/>
  <c r="CO29" i="2"/>
  <c r="CP29" i="2" s="1"/>
  <c r="CM29" i="2"/>
  <c r="BX30" i="2"/>
  <c r="BP30" i="2"/>
  <c r="CO30" i="2"/>
  <c r="CP30" i="2" s="1"/>
  <c r="CM30" i="2"/>
  <c r="BX31" i="2"/>
  <c r="BP31" i="2"/>
  <c r="CO31" i="2"/>
  <c r="CP31" i="2" s="1"/>
  <c r="CM31" i="2"/>
  <c r="BX32" i="2"/>
  <c r="BP32" i="2"/>
  <c r="CO32" i="2"/>
  <c r="CP32" i="2" s="1"/>
  <c r="CM32" i="2"/>
  <c r="BX33" i="2"/>
  <c r="BP33" i="2"/>
  <c r="CO33" i="2"/>
  <c r="CP33" i="2" s="1"/>
  <c r="CM33" i="2"/>
  <c r="BX34" i="2"/>
  <c r="BP34" i="2"/>
  <c r="CO34" i="2"/>
  <c r="CP34" i="2" s="1"/>
  <c r="CM34" i="2"/>
  <c r="BX35" i="2"/>
  <c r="BP35" i="2"/>
  <c r="CO35" i="2"/>
  <c r="CP35" i="2" s="1"/>
  <c r="CM35" i="2"/>
  <c r="BX36" i="2"/>
  <c r="BP36" i="2"/>
  <c r="CO36" i="2"/>
  <c r="CP36" i="2" s="1"/>
  <c r="CM36" i="2"/>
  <c r="BX37" i="2"/>
  <c r="BP37" i="2"/>
  <c r="CO37" i="2"/>
  <c r="CP37" i="2" s="1"/>
  <c r="CM37" i="2"/>
  <c r="BX38" i="2"/>
  <c r="BP38" i="2"/>
  <c r="CO38" i="2"/>
  <c r="CP38" i="2" s="1"/>
  <c r="CM38" i="2"/>
  <c r="CB6" i="4" l="1"/>
  <c r="CC301" i="4"/>
  <c r="BZ301" i="4"/>
  <c r="BY6" i="4"/>
  <c r="DP6" i="4"/>
  <c r="DR301" i="4"/>
  <c r="CF6" i="4"/>
  <c r="CF301" i="4"/>
  <c r="BS301" i="4"/>
  <c r="BS6" i="4"/>
  <c r="CG10" i="4"/>
  <c r="CF7" i="4" s="1"/>
  <c r="CE1" i="4" s="1"/>
  <c r="CZ7" i="4"/>
  <c r="CZ1" i="4" s="1"/>
  <c r="CD16" i="4"/>
  <c r="CD14" i="4"/>
  <c r="BO7" i="4"/>
  <c r="BO1" i="4" s="1"/>
  <c r="N7" i="4"/>
  <c r="N1" i="4" s="1"/>
  <c r="CY10" i="4"/>
  <c r="CY14" i="4"/>
  <c r="DK7" i="4"/>
  <c r="DT7" i="4"/>
  <c r="DT1" i="4" s="1"/>
  <c r="BA7" i="4"/>
  <c r="BA1" i="4" s="1"/>
  <c r="BL7" i="4"/>
  <c r="BL1" i="4" s="1"/>
  <c r="BS7" i="4"/>
  <c r="BD7" i="4"/>
  <c r="BD1" i="4" s="1"/>
  <c r="BI7" i="4"/>
  <c r="BI1" i="4" s="1"/>
  <c r="CA10" i="4"/>
  <c r="CD10" i="4"/>
  <c r="DS10" i="4"/>
  <c r="CI6" i="2"/>
  <c r="CN6" i="2"/>
  <c r="BK6" i="2" a="1"/>
  <c r="BK6" i="2" s="1"/>
  <c r="BJ1" i="2" s="1"/>
  <c r="BY7" i="4" l="1"/>
  <c r="BY1" i="4" s="1"/>
  <c r="CV7" i="4"/>
  <c r="CV1" i="4" s="1"/>
  <c r="CB7" i="4"/>
  <c r="CB1" i="4" s="1"/>
  <c r="DP7" i="4"/>
  <c r="DP1" i="4" s="1"/>
  <c r="DI1" i="4"/>
  <c r="BR1" i="4"/>
  <c r="DG5" i="4" l="1"/>
  <c r="D304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Darko Ganilovic</author>
  </authors>
  <commentList>
    <comment ref="CV2" authorId="0" shapeId="0" xr:uid="{6EA7FB0D-F942-4DE6-8B07-8168DE38EC14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Međufaznu kontrolu grupisat (sabrati)i na pogodno mjesto odn. na podsklop, a ne na svaku poziciju kako nam ovdje prikazuje.</t>
        </r>
      </text>
    </comment>
    <comment ref="DC4" authorId="0" shapeId="0" xr:uid="{56B323BE-E5E4-43B2-B02B-06FB797CB1F0}">
      <text>
        <r>
          <rPr>
            <b/>
            <sz val="9"/>
            <color indexed="81"/>
            <rFont val="Segoe UI"/>
            <family val="2"/>
          </rPr>
          <t>Darko Ganilovic:</t>
        </r>
        <r>
          <rPr>
            <sz val="9"/>
            <color indexed="81"/>
            <rFont val="Segoe UI"/>
            <family val="2"/>
          </rPr>
          <t xml:space="preserve">
Komp. A (029173)</t>
        </r>
      </text>
    </comment>
    <comment ref="DD4" authorId="0" shapeId="0" xr:uid="{80D1181D-BF06-46B2-9E94-B09E4F358561}">
      <text>
        <r>
          <rPr>
            <b/>
            <sz val="9"/>
            <color indexed="81"/>
            <rFont val="Segoe UI"/>
            <family val="2"/>
          </rPr>
          <t>Darko Ganilovic:</t>
        </r>
        <r>
          <rPr>
            <sz val="9"/>
            <color indexed="81"/>
            <rFont val="Segoe UI"/>
            <family val="2"/>
          </rPr>
          <t xml:space="preserve">
kg</t>
        </r>
      </text>
    </comment>
    <comment ref="DC5" authorId="0" shapeId="0" xr:uid="{047A09AA-28A1-4903-AA8B-B73ED82CFB02}">
      <text>
        <r>
          <rPr>
            <b/>
            <sz val="9"/>
            <color indexed="81"/>
            <rFont val="Segoe UI"/>
            <family val="2"/>
          </rPr>
          <t>Darko Ganilovic:</t>
        </r>
        <r>
          <rPr>
            <sz val="9"/>
            <color indexed="81"/>
            <rFont val="Segoe UI"/>
            <family val="2"/>
          </rPr>
          <t xml:space="preserve">
Komp. B (029174)</t>
        </r>
      </text>
    </comment>
    <comment ref="DD5" authorId="0" shapeId="0" xr:uid="{24D7923A-8E63-4C67-A62C-EB5CBF23AA9B}">
      <text>
        <r>
          <rPr>
            <b/>
            <sz val="9"/>
            <color indexed="81"/>
            <rFont val="Segoe UI"/>
            <family val="2"/>
          </rPr>
          <t>Darko Ganilovic:</t>
        </r>
        <r>
          <rPr>
            <sz val="9"/>
            <color indexed="81"/>
            <rFont val="Segoe UI"/>
            <family val="2"/>
          </rPr>
          <t xml:space="preserve">
kg</t>
        </r>
      </text>
    </comment>
    <comment ref="D8" authorId="0" shapeId="0" xr:uid="{66C98916-DF55-4BB2-B031-2FF458095776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Unijeti broj komada svake pozicije</t>
        </r>
      </text>
    </comment>
    <comment ref="E8" authorId="0" shapeId="0" xr:uid="{BFD3980C-7AF6-47F5-B654-E8277F7B982C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Unijeti debljinu lima</t>
        </r>
      </text>
    </comment>
    <comment ref="F8" authorId="0" shapeId="0" xr:uid="{2F7F962B-66D7-4790-8505-A9B0B72178C2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Unijeti visinu razvijene pozicije</t>
        </r>
      </text>
    </comment>
    <comment ref="G8" authorId="0" shapeId="0" xr:uid="{58FDDAEC-0AA2-4E08-8217-B82754EC3968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Unijeti širinu razvijene pozicije</t>
        </r>
      </text>
    </comment>
    <comment ref="H8" authorId="0" shapeId="0" xr:uid="{A0BD4620-0D35-48C6-A73C-7C7274895B7C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Automatski računa bruto težinu na osnovu dimenzija razvijene pozicije + uvećano za 19%</t>
        </r>
      </text>
    </comment>
    <comment ref="J8" authorId="0" shapeId="0" xr:uid="{DA0E2114-6222-4A67-BB42-3C770F3209FC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Unijeti površinu na koju se nanosi površinska zaštita</t>
        </r>
      </text>
    </comment>
    <comment ref="L8" authorId="0" shapeId="0" xr:uid="{6EC4E007-6AB7-4453-8DAE-F034F3F4E127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Automatski računa količinu farbe.
Ako se galvanizuje ili sl. onda obrisati tu ćeliju.</t>
        </r>
      </text>
    </comment>
    <comment ref="N8" authorId="0" shapeId="0" xr:uid="{EDBB77E9-0F04-4D99-A80D-8918AD8BF386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Automatski računa vrijeme na osnovu perimetra i debljine lima</t>
        </r>
      </text>
    </comment>
    <comment ref="O8" authorId="0" shapeId="0" xr:uid="{3870B489-3FB0-4ABB-BB66-2CB550095598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Perimetar (automatski)</t>
        </r>
      </text>
    </comment>
    <comment ref="Q8" authorId="0" shapeId="0" xr:uid="{5D2183A9-E295-497C-BFE7-0F5C5B03F4E0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Unijeti perimetar na limu 1mm</t>
        </r>
      </text>
    </comment>
    <comment ref="T8" authorId="0" shapeId="0" xr:uid="{2D98CA0C-A0EE-4C5E-B546-B4613200A970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Unijeti perimetar na limu 1,5mm</t>
        </r>
      </text>
    </comment>
    <comment ref="W8" authorId="0" shapeId="0" xr:uid="{7BB42B28-FE83-411E-8C84-5410D07900BA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Unijeti perimetar na limu 2mm</t>
        </r>
      </text>
    </comment>
    <comment ref="Z8" authorId="0" shapeId="0" xr:uid="{F7F2210F-39CF-4641-900F-9F6C2012DE3B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Unijeti perimetar na limu 3mm</t>
        </r>
      </text>
    </comment>
    <comment ref="AC8" authorId="0" shapeId="0" xr:uid="{F78E25AA-FCA5-43CC-BEF3-62EB2895E284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Unijeti perimetar na limu 4mm</t>
        </r>
      </text>
    </comment>
    <comment ref="AF8" authorId="0" shapeId="0" xr:uid="{126B8CE8-0357-420C-8A5C-D68085D51A29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Unijeti perimetar na limu 5mm</t>
        </r>
      </text>
    </comment>
    <comment ref="AI8" authorId="0" shapeId="0" xr:uid="{3DDF3903-859D-4D7B-8820-754FDA45A8F0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Unijeti perimetar na limu 6mm</t>
        </r>
      </text>
    </comment>
    <comment ref="AL8" authorId="0" shapeId="0" xr:uid="{3EE90BA9-4D0F-4F99-A782-7433218F162E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Unijeti perimetar na limu 8mm</t>
        </r>
      </text>
    </comment>
    <comment ref="AO8" authorId="0" shapeId="0" xr:uid="{84AFAF85-5642-425A-BAC0-B8D341D2ECAD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Unijeti perimetar na limu 10mm</t>
        </r>
      </text>
    </comment>
    <comment ref="AR8" authorId="0" shapeId="0" xr:uid="{1383E3E3-E864-4ABC-817F-519E1076D285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Unijeti perimetar na limu 12mm</t>
        </r>
      </text>
    </comment>
    <comment ref="AU8" authorId="0" shapeId="0" xr:uid="{C3EA4710-C303-45FC-89DF-3B229929BBA9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Unijeti perimetar na limu 12mm</t>
        </r>
      </text>
    </comment>
    <comment ref="AX8" authorId="0" shapeId="0" xr:uid="{7E27EAA7-ACBB-407C-A725-F313C8884CBF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Unijeti perimetar na limu 20mm</t>
        </r>
      </text>
    </comment>
    <comment ref="BA8" authorId="0" shapeId="0" xr:uid="{3CD77742-5618-4C95-8EB8-3B4494619F33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Unijeti broj otvora u koje se urezuje navoj</t>
        </r>
      </text>
    </comment>
    <comment ref="BB8" authorId="0" shapeId="0" xr:uid="{1DDD765A-2F68-415E-97B1-FC3A57BD9098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Automatski računa vrijeme na osnovu broja otvora za urezivanje</t>
        </r>
      </text>
    </comment>
    <comment ref="BD8" authorId="0" shapeId="0" xr:uid="{D8B35872-AF30-4C47-BD16-433A86F9B200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Unijeti broj otvora koji se buše bušilicom</t>
        </r>
      </text>
    </comment>
    <comment ref="BE8" authorId="0" shapeId="0" xr:uid="{7AFB9849-DF1F-4BFE-8204-CB04C16428DD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Izabrati koeficijent na osnovu prečnika otvora Ø</t>
        </r>
      </text>
    </comment>
    <comment ref="BF8" authorId="0" shapeId="0" xr:uid="{23FB8372-8627-445B-9C66-EA3B3CC4A32D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Unijeti broj otvora koji se upuštaju</t>
        </r>
      </text>
    </comment>
    <comment ref="BG8" authorId="0" shapeId="0" xr:uid="{782CFCC7-FCD7-4C97-A474-9467026BEC00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Automatski računa vrijeme na osnovu broja otvora koji se buše i upuštaju</t>
        </r>
      </text>
    </comment>
    <comment ref="BI8" authorId="0" shapeId="0" xr:uid="{FA8CFC9C-45FC-4A41-A93B-2B7E86C76771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Unijeti površinu poprečnog presjeka (kuda siječe pila)</t>
        </r>
      </text>
    </comment>
    <comment ref="BJ8" authorId="0" shapeId="0" xr:uid="{CE299B1A-F321-4BED-B64A-E7F290ADB99A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Automatski računa vrijeme na osnovu poprečnog presjeka</t>
        </r>
      </text>
    </comment>
    <comment ref="BL8" authorId="0" shapeId="0" xr:uid="{AF91D27C-C126-429B-B8C6-43AF986872D6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Unijeti broj vijaka ili navrtki kojii se upresavaju</t>
        </r>
      </text>
    </comment>
    <comment ref="BM8" authorId="0" shapeId="0" xr:uid="{EA98382B-7E08-4907-9CA9-CD2051BA06C8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Automatski računa vrijeme na osnovu broja vijaka ili navrtki koji se upresavaju</t>
        </r>
      </text>
    </comment>
    <comment ref="BO8" authorId="0" shapeId="0" xr:uid="{48BCC93D-A512-46A8-8098-C8C276BB7FB5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Unijeti broj linija savijanja. Zajedničke linije računati kao 1.</t>
        </r>
      </text>
    </comment>
    <comment ref="BP8" authorId="0" shapeId="0" xr:uid="{C19EEAC3-D0D9-4280-A25E-CFB167AE179B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Automatski računa vrijeme na osnovu broja linija savijanja</t>
        </r>
      </text>
    </comment>
    <comment ref="BR8" authorId="0" shapeId="0" xr:uid="{FC424E54-D25B-401E-BF9E-15F31C600A44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Unijeti broj vijaka koji se punktuju</t>
        </r>
      </text>
    </comment>
    <comment ref="BS8" authorId="0" shapeId="0" xr:uid="{F82CEFAC-E801-44E8-A67F-4C6D3F8D050F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Automatski računa vrijeme na osnovu broja vijaka koji se punktuju</t>
        </r>
      </text>
    </comment>
    <comment ref="BU8" authorId="0" shapeId="0" xr:uid="{4C48C558-026B-4376-ADA9-297A14095D6B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Unijeti broj pozicija koje se spajaju umanjen za 1</t>
        </r>
      </text>
    </comment>
    <comment ref="BV8" authorId="0" shapeId="0" xr:uid="{61F703B7-C699-4D1A-ACBD-CF553435C37E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Unijeti dužinu zavara</t>
        </r>
      </text>
    </comment>
    <comment ref="BW8" authorId="0" shapeId="0" xr:uid="{5C4D1BAC-09FB-4070-BB2B-C5D5C162A9A1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Automatski računa vrijeme na osnovu broja pozicija (-1) i dužine zavara</t>
        </r>
      </text>
    </comment>
    <comment ref="BZ8" authorId="0" shapeId="0" xr:uid="{9CF40114-A00A-43A0-B4F8-6BE5AE7BB7C8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Automatski računa vrijeme na osnovu vremena zavarivanja (50%)</t>
        </r>
      </text>
    </comment>
    <comment ref="CC8" authorId="0" shapeId="0" xr:uid="{6FCCD53D-F5A1-4157-B864-3C40999A7DA4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Automatski računa vrijeme na osnovu površine za zaštitu i vremena zavarivanja (50%).</t>
        </r>
      </text>
    </comment>
    <comment ref="CE8" authorId="0" shapeId="0" xr:uid="{8CC0B535-94E7-4E1C-BA39-12103703FEBD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Unijeti broj vijaka koji se punktuju</t>
        </r>
      </text>
    </comment>
    <comment ref="CF8" authorId="0" shapeId="0" xr:uid="{D69CAA80-62EC-4E55-A427-2A5F77E08BE3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Automatski računa vrijeme na osnovu broja vijaka koji se punktuju</t>
        </r>
      </text>
    </comment>
    <comment ref="CH8" authorId="0" shapeId="0" xr:uid="{EB0D571C-AA5E-4363-A6BC-564144A05C9C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Unijeti broj pozicija koje se spajaju umanjen za 1</t>
        </r>
      </text>
    </comment>
    <comment ref="CI8" authorId="0" shapeId="0" xr:uid="{D2E25513-D265-4835-8EC6-ACEB4A7AEC2D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Unijeti dužinu zavara</t>
        </r>
      </text>
    </comment>
    <comment ref="CJ8" authorId="0" shapeId="0" xr:uid="{C870D9CD-EA11-45BD-AA2B-DBB91DC3F42C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Automatski računa vrijeme na osnovu broja pozicija (-1) i dužine zavara</t>
        </r>
      </text>
    </comment>
    <comment ref="CM8" authorId="0" shapeId="0" xr:uid="{30CE0A89-8E5F-4FED-8D92-03BEDBFCD123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Automatski računa vrijeme na osnovu vremena zavarivanja (50%)</t>
        </r>
      </text>
    </comment>
    <comment ref="CP8" authorId="0" shapeId="0" xr:uid="{F4EFB155-A871-4C26-89C0-23069A255727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Automatski računa vrijeme na osnovu površine za zaštitu i vremena zavarivanja (50%).</t>
        </r>
      </text>
    </comment>
    <comment ref="CQ8" authorId="0" shapeId="0" xr:uid="{2E40BBB1-4E77-4D37-98DC-F321890B9E32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Izabrati koeficijent na osnovu preovlađujuće debljine lima</t>
        </r>
      </text>
    </comment>
    <comment ref="CT8" authorId="0" shapeId="0" xr:uid="{E196E6F8-193D-44A0-8148-153BA4189C6C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Automatski računa vrijeme na osnovu vremena zavarivanja (50%)</t>
        </r>
      </text>
    </comment>
    <comment ref="CW8" authorId="0" shapeId="0" xr:uid="{2F75618D-8B25-445D-8056-593AF5ECCF4F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Automatski prenosi iz zavarivanja.</t>
        </r>
      </text>
    </comment>
    <comment ref="CX8" authorId="0" shapeId="0" xr:uid="{9D36D82A-32AE-42B9-BF1F-985A51846811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Automatski računa vrijeme na osnovu broja linija savijanja i broja pozicija koje se spajaju zavarivanjem</t>
        </r>
      </text>
    </comment>
    <comment ref="CZ8" authorId="0" shapeId="0" xr:uid="{B112D5AD-EB51-401F-838A-0221ECE44928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Automatski računa vrijeme plastifikaciije na osnovu norme i koeficijenta</t>
        </r>
      </text>
    </comment>
    <comment ref="DA8" authorId="0" shapeId="0" xr:uid="{8E1844D5-1AC5-4841-8AA9-A7649448D69C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Izabrati koeficijent na osnovu preovlađujuće debljine lima</t>
        </r>
      </text>
    </comment>
    <comment ref="DC8" authorId="0" shapeId="0" xr:uid="{8E86F34A-DFC3-4275-8673-D8BC59AB2AC8}">
      <text>
        <r>
          <rPr>
            <b/>
            <sz val="9"/>
            <color indexed="81"/>
            <rFont val="Segoe UI"/>
            <family val="2"/>
          </rPr>
          <t>Darko Ganilovic:</t>
        </r>
        <r>
          <rPr>
            <sz val="9"/>
            <color indexed="81"/>
            <rFont val="Segoe UI"/>
            <family val="2"/>
          </rPr>
          <t xml:space="preserve">
Dužina schaumdichtunga u m</t>
        </r>
      </text>
    </comment>
    <comment ref="DD8" authorId="0" shapeId="0" xr:uid="{D9B033CD-0B6D-408D-8095-5CB23AE43335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Automatski računa vrijeme na osnovu površine za zaštitu (50%) i vremena po toj površini.</t>
        </r>
      </text>
    </comment>
    <comment ref="DG8" authorId="0" shapeId="0" xr:uid="{0A015A43-632E-420F-8F23-CADC81536758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Automatski računa vrijeme na osnovu površine za zaštitu (50%) i vremena po toj površini.</t>
        </r>
      </text>
    </comment>
    <comment ref="DI8" authorId="0" shapeId="0" xr:uid="{54E6D943-74EF-4022-A1C4-4E646A3CA4F9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Unijeti broj vijaka i navrtki koji služe za podešavanje, npr. šarnira i sl.</t>
        </r>
      </text>
    </comment>
    <comment ref="DJ8" authorId="0" shapeId="0" xr:uid="{23C6BDEF-DB4C-46EC-8121-15566D510EDA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Unijeti broj vijaka, koji samo spajaju, ne može se podešavati položaj pozicija.</t>
        </r>
      </text>
    </comment>
    <comment ref="DK8" authorId="0" shapeId="0" xr:uid="{24F7A4FD-A143-41D5-9928-53B7553CD539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Unijeti broj matica, koje samo spajaju, ne može se podešavati položaj pozicija.</t>
        </r>
      </text>
    </comment>
    <comment ref="DL8" authorId="0" shapeId="0" xr:uid="{D889B1B3-1BC3-4A8A-8FDE-1793F9AD89B0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Unijeti dužine zaptivki koje postavlja montaža.</t>
        </r>
      </text>
    </comment>
    <comment ref="DM8" authorId="0" shapeId="0" xr:uid="{7EAB540D-E6A7-4ABF-8401-2CF3B3F1E35A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Unijeti težinu pozicija koje pridodajemo osnovi.</t>
        </r>
      </text>
    </comment>
    <comment ref="DN8" authorId="0" shapeId="0" xr:uid="{9A6EA81F-15F8-4B06-AF1E-16F8DB54CC11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Automatski računa vrijeme montaže na osnovu broja vijaka i navrtki, dužine zaptivke i težine dijelova koji se dodaju, množeno sa normnim vremenima.</t>
        </r>
      </text>
    </comment>
    <comment ref="DP8" authorId="0" shapeId="0" xr:uid="{F1439E09-78A4-4C52-9968-A265F511C65A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Unijeti broj dijelova koji se postavljaju na montaži (ne računati spojne elemente).</t>
        </r>
      </text>
    </comment>
    <comment ref="DQ8" authorId="0" shapeId="0" xr:uid="{7B951896-8977-4984-BA97-EF458E23945B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Unijeti površinu GP-a iz SW (Mass Properties - Surface area), da bi se dobila završna kontrola.</t>
        </r>
      </text>
    </comment>
    <comment ref="DR8" authorId="0" shapeId="0" xr:uid="{2A1DE310-8161-4A7A-9C55-562F55FBAD56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Automatski računa vrijeme na osnovu broja pozicija koje se spajaju na završnoj montaži</t>
        </r>
      </text>
    </comment>
    <comment ref="DT8" authorId="0" shapeId="0" xr:uid="{598DFF8E-1F0D-4314-B4D8-ABAD99879B4D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Automatski računa na osnovu osnovnih dimenzija upakovanog proizvoda</t>
        </r>
      </text>
    </comment>
    <comment ref="DU8" authorId="0" shapeId="0" xr:uid="{F3B2D31F-5F41-48A7-8B10-43EDBD11712A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Unijeti visinu upakovanog proizvoda</t>
        </r>
      </text>
    </comment>
    <comment ref="DV8" authorId="0" shapeId="0" xr:uid="{4C5F4302-91A8-4EA7-A20B-90D7A28EAC8B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Unijeti širinu upakovanog proizvoda</t>
        </r>
      </text>
    </comment>
    <comment ref="DW8" authorId="0" shapeId="0" xr:uid="{4AD313CA-6A04-4F80-8066-339B83CD9D37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Unijeti dubinu (debljinu)upakovanog proizvoda</t>
        </r>
      </text>
    </comment>
    <comment ref="DX8" authorId="0" shapeId="0" xr:uid="{C7E5C753-D0A1-4ECF-8CCD-F3514760108B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Automatski računa na osnovu zapremine upakovanog proizvoda.</t>
        </r>
      </text>
    </comment>
    <comment ref="BE10" authorId="0" shapeId="0" xr:uid="{9CF04061-A0A7-4F82-ADE9-AAE6B7DBE640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prečnik otvora:
za Ø≤10mm   1
za Ø&gt;10mm   2</t>
        </r>
      </text>
    </comment>
    <comment ref="CQ10" authorId="0" shapeId="0" xr:uid="{DC1758D4-240B-43A2-8A7F-3C0DBC4064AC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površ. obradu:
Mat     1
Silnice 2</t>
        </r>
      </text>
    </comment>
    <comment ref="DA10" authorId="0" shapeId="0" xr:uid="{D7AA305F-2910-4782-939D-E28BBE05CC4C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Lim  3mm 1,00
Lim  6mm 1,33
Lim 10mm 1,67
Lim 12mm 2,00</t>
        </r>
      </text>
    </comment>
    <comment ref="CQ11" authorId="0" shapeId="0" xr:uid="{61F65122-EC09-42B5-883C-C161903384B9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površ. obradu:
Mat     1
Silnice 2</t>
        </r>
      </text>
    </comment>
    <comment ref="DA11" authorId="0" shapeId="0" xr:uid="{DDD508E4-FE00-4981-9BA0-E3A2E50ABEAE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Lim  3mm 1,00
Lim  6mm 1,33
Lim 10mm 1,67
Lim 12mm 2,00</t>
        </r>
      </text>
    </comment>
    <comment ref="BE12" authorId="0" shapeId="0" xr:uid="{27E8966B-640F-49F3-B4DB-08275F80D31B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za Ø≤10mm   1
za Ø&gt;10mm   2</t>
        </r>
      </text>
    </comment>
    <comment ref="CQ12" authorId="0" shapeId="0" xr:uid="{5FC7C7E7-0EC8-4D7F-ABD6-D35043587E74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površ. obradu:
Mat     1
Silnice 2</t>
        </r>
      </text>
    </comment>
    <comment ref="DA12" authorId="0" shapeId="0" xr:uid="{A54FC6C6-F0A6-48B9-A274-A52D7675ADC1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Lim  3mm 1,00
Lim  6mm 1,33
Lim 10mm 1,67
Lim 12mm 2,00</t>
        </r>
      </text>
    </comment>
    <comment ref="BE13" authorId="0" shapeId="0" xr:uid="{0DB2A4CF-E30B-436C-BBF6-AC14C72A4285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za Ø≤10mm   1
za Ø&gt;10mm   2</t>
        </r>
      </text>
    </comment>
    <comment ref="CQ13" authorId="0" shapeId="0" xr:uid="{F25DC2EA-CFFE-48E1-A4E7-D4CB5F49A7A6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površ. obradu:
Mat     1
Silnice 2</t>
        </r>
      </text>
    </comment>
    <comment ref="DA13" authorId="0" shapeId="0" xr:uid="{2EE4497F-F992-4EAD-AF44-6A8EAD25FDB6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Lim  3mm 1,00
Lim  6mm 1,33
Lim 10mm 1,67
Lim 12mm 2,00</t>
        </r>
      </text>
    </comment>
    <comment ref="BE14" authorId="0" shapeId="0" xr:uid="{06E15250-3153-493E-924D-05F02FD63B65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za Ø≤10mm   1
za Ø&gt;10mm   2</t>
        </r>
      </text>
    </comment>
    <comment ref="CQ14" authorId="0" shapeId="0" xr:uid="{DE8C16BC-FE54-4B2A-96C6-0FC63A4EB029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površ. obradu:
Mat     1
Silnice 2</t>
        </r>
      </text>
    </comment>
    <comment ref="DA14" authorId="0" shapeId="0" xr:uid="{91BC691A-2CFD-4DE1-B1ED-4E41552897FD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Lim  3mm 1,00
Lim  6mm 1,33
Lim 10mm 1,67
Lim 12mm 2,00</t>
        </r>
      </text>
    </comment>
    <comment ref="BE15" authorId="0" shapeId="0" xr:uid="{66D7EB18-172F-415C-8D87-C56E82ECDB61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za Ø≤10mm   1
za Ø&gt;10mm   2</t>
        </r>
      </text>
    </comment>
    <comment ref="CQ15" authorId="0" shapeId="0" xr:uid="{B71256AA-5072-4276-A45B-111DBB629F8C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površ. obradu:
Mat     1
Silnice 2</t>
        </r>
      </text>
    </comment>
    <comment ref="DA15" authorId="0" shapeId="0" xr:uid="{B6D54F33-62B6-4FC3-9698-EE585DA3F41E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Lim  3mm 1,00
Lim  6mm 1,33
Lim 10mm 1,67
Lim 12mm 2,00</t>
        </r>
      </text>
    </comment>
    <comment ref="BE16" authorId="0" shapeId="0" xr:uid="{30CB9C87-4B0D-4A10-A225-04B0315F52EC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za Ø≤10mm   1
za Ø&gt;10mm   2</t>
        </r>
      </text>
    </comment>
    <comment ref="CQ16" authorId="0" shapeId="0" xr:uid="{226EEF63-8006-478E-B40B-128A81953EAF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površ. obradu:
Mat     1
Silnice 2</t>
        </r>
      </text>
    </comment>
    <comment ref="DA16" authorId="0" shapeId="0" xr:uid="{BEC3410C-A9F8-4159-ACD5-CE73EF6E5C12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Lim  3mm 1,00
Lim  6mm 1,33
Lim 10mm 1,67
Lim 12mm 2,00</t>
        </r>
      </text>
    </comment>
    <comment ref="BE17" authorId="0" shapeId="0" xr:uid="{140B8B0A-F438-4682-9F9B-3FC6D3D7B6CF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za Ø≤10mm   1
za Ø&gt;10mm   2</t>
        </r>
      </text>
    </comment>
    <comment ref="CQ17" authorId="0" shapeId="0" xr:uid="{BFC75713-8A05-4C15-BE61-A2354CC534D1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površ. obradu:
Mat     1
Silnice 2</t>
        </r>
      </text>
    </comment>
    <comment ref="DA17" authorId="0" shapeId="0" xr:uid="{C3296505-CDAF-4E2D-A1AE-CC88B1915DFD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Lim  3mm 1,00
Lim  6mm 1,33
Lim 10mm 1,67
Lim 12mm 2,00</t>
        </r>
      </text>
    </comment>
    <comment ref="BE18" authorId="0" shapeId="0" xr:uid="{5BC2707E-9480-42AF-985E-BE5C22C56395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za Ø≤10mm   1
za Ø&gt;10mm   2</t>
        </r>
      </text>
    </comment>
    <comment ref="CQ18" authorId="0" shapeId="0" xr:uid="{8371BBFA-32A0-4D9C-B70D-CD4088B9236A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površ. obradu:
Mat     1
Silnice 2</t>
        </r>
      </text>
    </comment>
    <comment ref="DA18" authorId="0" shapeId="0" xr:uid="{844B7EEE-9CD2-4EC1-BDB9-09E0931CDC9C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Lim  3mm 1,00
Lim  6mm 1,33
Lim 10mm 1,67
Lim 12mm 2,00</t>
        </r>
      </text>
    </comment>
    <comment ref="BE19" authorId="0" shapeId="0" xr:uid="{1C6960F7-14EA-4F16-9F83-735ACAD8EDE4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za Ø≤10mm   1
za Ø&gt;10mm   2</t>
        </r>
      </text>
    </comment>
    <comment ref="CQ19" authorId="0" shapeId="0" xr:uid="{8748B27B-B191-4974-BA68-6F5A9F583402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površ. obradu:
Mat     1
Silnice 2</t>
        </r>
      </text>
    </comment>
    <comment ref="DA19" authorId="0" shapeId="0" xr:uid="{E2D10D34-0C99-4B41-A771-230F37AAC46A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Lim  3mm 1,00
Lim  6mm 1,33
Lim 10mm 1,67
Lim 12mm 2,00</t>
        </r>
      </text>
    </comment>
    <comment ref="BE20" authorId="0" shapeId="0" xr:uid="{B1989BC4-48C6-47C9-8132-7F8FEDF550B8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za Ø≤10mm   1
za Ø&gt;10mm   2</t>
        </r>
      </text>
    </comment>
    <comment ref="CQ20" authorId="0" shapeId="0" xr:uid="{316C0232-B6CA-4415-9867-71FF505D55B7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površ. obradu:
Mat     1
Silnice 2</t>
        </r>
      </text>
    </comment>
    <comment ref="DA20" authorId="0" shapeId="0" xr:uid="{E9372504-EA53-4D1A-93C8-C1E9A07ED278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Lim  3mm 1,00
Lim  6mm 1,33
Lim 10mm 1,67
Lim 12mm 2,00</t>
        </r>
      </text>
    </comment>
    <comment ref="BE21" authorId="0" shapeId="0" xr:uid="{0A25C5B5-9D76-4545-8887-8B223B707261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za Ø≤10mm   1
za Ø&gt;10mm   2</t>
        </r>
      </text>
    </comment>
    <comment ref="CQ21" authorId="0" shapeId="0" xr:uid="{B4EBF8ED-ADAD-414D-BF72-6ECF8DC6F512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površ. obradu:
Mat     1
Silnice 2</t>
        </r>
      </text>
    </comment>
    <comment ref="DA21" authorId="0" shapeId="0" xr:uid="{7E1D244D-8D11-4CDC-B495-9BBE17C3E138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Lim  3mm 1,00
Lim  6mm 1,33
Lim 10mm 1,67
Lim 12mm 2,00</t>
        </r>
      </text>
    </comment>
    <comment ref="BE22" authorId="0" shapeId="0" xr:uid="{D6C50AC3-65C6-4A52-9BFC-538CB61DD7CF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za Ø≤10mm   1
za Ø&gt;10mm   2</t>
        </r>
      </text>
    </comment>
    <comment ref="CQ22" authorId="0" shapeId="0" xr:uid="{5AC1AF57-C9B3-4C4D-B194-3450F238FAC8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površ. obradu:
Mat     1
Silnice 2</t>
        </r>
      </text>
    </comment>
    <comment ref="DA22" authorId="0" shapeId="0" xr:uid="{1CDDD029-DF8A-4B46-9A3D-DF746F5929F1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Lim  3mm 1,00
Lim  6mm 1,33
Lim 10mm 1,67
Lim 12mm 2,00</t>
        </r>
      </text>
    </comment>
    <comment ref="BE23" authorId="0" shapeId="0" xr:uid="{A8085910-6FA6-4A5B-8687-E5B7F2047F00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za Ø≤10mm   1
za Ø&gt;10mm   2</t>
        </r>
      </text>
    </comment>
    <comment ref="CQ23" authorId="0" shapeId="0" xr:uid="{F8827C16-7494-43CB-9595-DE1A91AB983C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površ. obradu:
Mat     1
Silnice 2</t>
        </r>
      </text>
    </comment>
    <comment ref="DA23" authorId="0" shapeId="0" xr:uid="{B5B9CF6E-3638-4DA2-A816-F57979667470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Lim  3mm 1,00
Lim  6mm 1,33
Lim 10mm 1,67
Lim 12mm 2,00</t>
        </r>
      </text>
    </comment>
    <comment ref="BE24" authorId="0" shapeId="0" xr:uid="{34A01B13-16E2-4C2C-88F7-23F424F2E0E2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za Ø≤10mm   1
za Ø&gt;10mm   2</t>
        </r>
      </text>
    </comment>
    <comment ref="CQ24" authorId="0" shapeId="0" xr:uid="{442A9FB4-4A41-4808-8308-F064CE1EE548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Lim  3mm 1,00
Lim  6mm 1,33
Lim 10mm 1,67
Lim 12mm 2,00</t>
        </r>
      </text>
    </comment>
    <comment ref="DA24" authorId="0" shapeId="0" xr:uid="{FA68F3A5-4A96-48AD-8774-58B126FE35B6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Lim  3mm 1,00
Lim  6mm 1,33
Lim 10mm 1,67
Lim 12mm 2,00</t>
        </r>
      </text>
    </comment>
    <comment ref="BE25" authorId="0" shapeId="0" xr:uid="{D60B82B2-0F49-4805-8300-5A2FA032825A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za Ø≤10mm   1
za Ø&gt;10mm   2</t>
        </r>
      </text>
    </comment>
    <comment ref="CQ25" authorId="0" shapeId="0" xr:uid="{B3E17E5F-8FA4-4908-B85F-6EB2B4309644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Lim  3mm 1,00
Lim  6mm 1,33
Lim 10mm 1,67
Lim 12mm 2,00</t>
        </r>
      </text>
    </comment>
    <comment ref="DA25" authorId="0" shapeId="0" xr:uid="{D72E30D4-B88F-4F62-8184-8CAB04E73F5C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Lim  3mm 1,00
Lim  6mm 1,33
Lim 10mm 1,67
Lim 12mm 2,00</t>
        </r>
      </text>
    </comment>
    <comment ref="BE26" authorId="0" shapeId="0" xr:uid="{7C311918-BF99-4E8C-AEE4-0929B9438BAF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za Ø≤10mm   1
za Ø&gt;10mm   2</t>
        </r>
      </text>
    </comment>
    <comment ref="CQ26" authorId="0" shapeId="0" xr:uid="{CA151087-6023-4677-9256-6A310ED11B1F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Lim  3mm 1,00
Lim  6mm 1,33
Lim 10mm 1,67
Lim 12mm 2,00</t>
        </r>
      </text>
    </comment>
    <comment ref="DA26" authorId="0" shapeId="0" xr:uid="{39FFCC86-E5E5-43EC-B352-3E61C2F083EE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Lim  3mm 1,00
Lim  6mm 1,33
Lim 10mm 1,67
Lim 12mm 2,00</t>
        </r>
      </text>
    </comment>
    <comment ref="BE27" authorId="0" shapeId="0" xr:uid="{D9672CFF-3046-42CD-BED5-C77A5A049AA9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za Ø≤10mm   1
za Ø&gt;10mm   2</t>
        </r>
      </text>
    </comment>
    <comment ref="CQ27" authorId="0" shapeId="0" xr:uid="{23951CDE-E636-49F0-9DAB-1A45CAB4DDAB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Lim  3mm 1,00
Lim  6mm 1,33
Lim 10mm 1,67
Lim 12mm 2,00</t>
        </r>
      </text>
    </comment>
    <comment ref="DA27" authorId="0" shapeId="0" xr:uid="{7AF4B18B-E0CA-48F8-B064-8A93DE6CCD1D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Lim  3mm 1,00
Lim  6mm 1,33
Lim 10mm 1,67
Lim 12mm 2,00</t>
        </r>
      </text>
    </comment>
    <comment ref="BE28" authorId="0" shapeId="0" xr:uid="{0230C8F0-1F28-42E5-93FE-230070217EDC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za Ø≤10mm   1
za Ø&gt;10mm   2</t>
        </r>
      </text>
    </comment>
    <comment ref="CQ28" authorId="0" shapeId="0" xr:uid="{80555F84-225B-4673-8A70-668E6EC9BC62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Lim  3mm 1,00
Lim  6mm 1,33
Lim 10mm 1,67
Lim 12mm 2,00</t>
        </r>
      </text>
    </comment>
    <comment ref="DA28" authorId="0" shapeId="0" xr:uid="{9010E714-1465-4652-89D1-9793987D071E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Lim  3mm 1,00
Lim  6mm 1,33
Lim 10mm 1,67
Lim 12mm 2,00</t>
        </r>
      </text>
    </comment>
    <comment ref="BE29" authorId="0" shapeId="0" xr:uid="{E7D48D8E-0EB1-4441-91E1-880380B94931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za Ø≤10mm   1
za Ø&gt;10mm   2</t>
        </r>
      </text>
    </comment>
    <comment ref="CQ29" authorId="0" shapeId="0" xr:uid="{2D08ECBC-3CFD-4E54-AD88-D60C0B7D0DA4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Lim  3mm 1,00
Lim  6mm 1,33
Lim 10mm 1,67
Lim 12mm 2,00</t>
        </r>
      </text>
    </comment>
    <comment ref="DA29" authorId="0" shapeId="0" xr:uid="{2C02B12F-79A8-4868-B187-96E4F5D0D16C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Lim  3mm 1,00
Lim  6mm 1,33
Lim 10mm 1,67
Lim 12mm 2,00</t>
        </r>
      </text>
    </comment>
    <comment ref="BE30" authorId="0" shapeId="0" xr:uid="{17B6C3C1-D7FA-4277-8F68-D2740378218C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za Ø≤10mm   1
za Ø&gt;10mm   2</t>
        </r>
      </text>
    </comment>
    <comment ref="CQ30" authorId="0" shapeId="0" xr:uid="{F51ACF5F-2C1A-49C7-95AB-73545CEA5DFA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Lim  3mm 1,00
Lim  6mm 1,33
Lim 10mm 1,67
Lim 12mm 2,00</t>
        </r>
      </text>
    </comment>
    <comment ref="DA30" authorId="0" shapeId="0" xr:uid="{70FEFDC8-421F-498A-8F6A-F567A99F18F0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Lim  3mm 1,00
Lim  6mm 1,33
Lim 10mm 1,67
Lim 12mm 2,00</t>
        </r>
      </text>
    </comment>
    <comment ref="BE31" authorId="0" shapeId="0" xr:uid="{926870B6-59A2-4E08-8BFA-22F6EB3BCC8D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za Ø≤10mm   1
za Ø&gt;10mm   2</t>
        </r>
      </text>
    </comment>
    <comment ref="CQ31" authorId="0" shapeId="0" xr:uid="{68B1C6AF-3425-435E-8942-60AAC0E111BB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Lim  3mm 1,00
Lim  6mm 1,33
Lim 10mm 1,67
Lim 12mm 2,00</t>
        </r>
      </text>
    </comment>
    <comment ref="DA31" authorId="0" shapeId="0" xr:uid="{459C3B6E-C31C-4414-A131-970601BE1FC0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Lim  3mm 1,00
Lim  6mm 1,33
Lim 10mm 1,67
Lim 12mm 2,00</t>
        </r>
      </text>
    </comment>
    <comment ref="BE32" authorId="0" shapeId="0" xr:uid="{4E4CC42C-49E4-4DF3-A847-314DD0A25E12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za Ø≤10mm   1
za Ø&gt;10mm   2</t>
        </r>
      </text>
    </comment>
    <comment ref="CQ32" authorId="0" shapeId="0" xr:uid="{BB578983-810A-4B65-A43F-8CC46C90FD23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Lim  3mm 1,00
Lim  6mm 1,33
Lim 10mm 1,67
Lim 12mm 2,00</t>
        </r>
      </text>
    </comment>
    <comment ref="DA32" authorId="0" shapeId="0" xr:uid="{475B79B4-9206-4AD0-84C1-652A06DC5F69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Lim  3mm 1,00
Lim  6mm 1,33
Lim 10mm 1,67
Lim 12mm 2,00</t>
        </r>
      </text>
    </comment>
    <comment ref="BE33" authorId="0" shapeId="0" xr:uid="{E554B7C0-F49C-474E-9C20-E2F37022538A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za Ø≤10mm   1
za Ø&gt;10mm   2</t>
        </r>
      </text>
    </comment>
    <comment ref="CQ33" authorId="0" shapeId="0" xr:uid="{9C981C69-385B-4BD9-BD0C-490BFB251525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Lim  3mm 1,00
Lim  6mm 1,33
Lim 10mm 1,67
Lim 12mm 2,00</t>
        </r>
      </text>
    </comment>
    <comment ref="DA33" authorId="0" shapeId="0" xr:uid="{160FF521-F79D-43F5-AB7B-AF95BE3F0DCA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Lim  3mm 1,00
Lim  6mm 1,33
Lim 10mm 1,67
Lim 12mm 2,00</t>
        </r>
      </text>
    </comment>
    <comment ref="BE34" authorId="0" shapeId="0" xr:uid="{D4EA1645-D6C7-42B6-AD6A-932E66D6265B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za Ø≤10mm   1
za Ø&gt;10mm   2</t>
        </r>
      </text>
    </comment>
    <comment ref="CQ34" authorId="0" shapeId="0" xr:uid="{76CBA48D-B034-4D85-B0AE-B96A454F8C1F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Lim  3mm 1,00
Lim  6mm 1,33
Lim 10mm 1,67
Lim 12mm 2,00</t>
        </r>
      </text>
    </comment>
    <comment ref="DA34" authorId="0" shapeId="0" xr:uid="{167B152D-7098-497F-9F56-CA05754DB9AB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Lim  3mm 1,00
Lim  6mm 1,33
Lim 10mm 1,67
Lim 12mm 2,00</t>
        </r>
      </text>
    </comment>
    <comment ref="CQ35" authorId="0" shapeId="0" xr:uid="{6B07F6AB-E3CC-4E47-8068-7ADFB9D03487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Lim  3mm 1,00
Lim  6mm 1,33
Lim 10mm 1,67
Lim 12mm 2,00</t>
        </r>
      </text>
    </comment>
    <comment ref="DA35" authorId="0" shapeId="0" xr:uid="{95177082-D7F5-4FFB-A85F-ED8A8D5FCEB0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Lim  3mm 1,00
Lim  6mm 1,33
Lim 10mm 1,67
Lim 12mm 2,00</t>
        </r>
      </text>
    </comment>
    <comment ref="BE42" authorId="0" shapeId="0" xr:uid="{8CAADB01-17FC-4219-A01C-2729A41B1CB5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za Ø≤10mm   1
za Ø&gt;10mm   2</t>
        </r>
      </text>
    </comment>
    <comment ref="CQ42" authorId="0" shapeId="0" xr:uid="{179F1607-E5D5-4425-9C18-B02F91798CF6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Lim  3mm 1,00
Lim  6mm 1,33
Lim 10mm 1,67
Lim 12mm 2,00</t>
        </r>
      </text>
    </comment>
    <comment ref="DA42" authorId="0" shapeId="0" xr:uid="{DB5ECA1E-86AC-47AB-8DBD-36E5457F24C2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Lim  3mm 1,00
Lim  6mm 1,33
Lim 10mm 1,67
Lim 12mm 2,00</t>
        </r>
      </text>
    </comment>
    <comment ref="BE43" authorId="0" shapeId="0" xr:uid="{8D7FECAB-4E38-4751-979D-FD9574966F5C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za Ø≤10mm   1
za Ø&gt;10mm   2</t>
        </r>
      </text>
    </comment>
    <comment ref="CQ43" authorId="0" shapeId="0" xr:uid="{C79F34DF-7522-4F00-8B21-0FDEF110121A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Lim  3mm 1,00
Lim  6mm 1,33
Lim 10mm 1,67
Lim 12mm 2,00</t>
        </r>
      </text>
    </comment>
    <comment ref="DA43" authorId="0" shapeId="0" xr:uid="{D25756EC-0B36-4096-9913-25641CD07109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Lim  3mm 1,00
Lim  6mm 1,33
Lim 10mm 1,67
Lim 12mm 2,00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Darko Ganilovic</author>
  </authors>
  <commentList>
    <comment ref="BW2" authorId="0" shapeId="0" xr:uid="{FADC3E12-1333-44CC-8F33-02EDE3B4F6D8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Međufaznu kontrolu grupisat (sabrati)i na pogodno mjesto odn. na podsklop, a ne na svaku poziciju kako nam ovdje prikazuje.</t>
        </r>
      </text>
    </comment>
    <comment ref="D7" authorId="0" shapeId="0" xr:uid="{69F08D27-73EB-486A-8645-1A7B7A57C201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Unijeti broj komada svake pozicije</t>
        </r>
      </text>
    </comment>
    <comment ref="E7" authorId="0" shapeId="0" xr:uid="{85407163-EEBE-45E8-A293-DE45609C2C4A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Unijeti debljinu lima</t>
        </r>
      </text>
    </comment>
    <comment ref="F7" authorId="0" shapeId="0" xr:uid="{ACEC66EC-8C58-46A4-B139-3CB4BD287755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Unijeti visinu razvijene pozicije</t>
        </r>
      </text>
    </comment>
    <comment ref="G7" authorId="0" shapeId="0" xr:uid="{CDCFB5B1-455F-4307-9F8B-837DB7E4CA67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Unijeti širinu razvijene pozicije</t>
        </r>
      </text>
    </comment>
    <comment ref="H7" authorId="0" shapeId="0" xr:uid="{FE31D36C-B9C5-42E8-804C-1A7D7B09EAFD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Automatski računa bruto težinu na osnovu dimenzija razvijene pozicije + uvećano za 19%</t>
        </r>
      </text>
    </comment>
    <comment ref="J7" authorId="0" shapeId="0" xr:uid="{46E09445-D907-4DBF-BEEC-CAF3C46A7E28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Unijeti površinu na koju se nanosi površinska zaštita</t>
        </r>
      </text>
    </comment>
    <comment ref="L7" authorId="0" shapeId="0" xr:uid="{126470A6-94F0-4BB1-A99D-835AB0AA1EA7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Automatski računa količinu farbe.
Ako se galvanizuje ili sl. onda obrisati tu ćeliju.</t>
        </r>
      </text>
    </comment>
    <comment ref="N7" authorId="0" shapeId="0" xr:uid="{55D49F18-819D-44A7-BC11-16ABBF3D5B64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Automatski računa vrijeme na osnovu perimetra i debljine lima</t>
        </r>
      </text>
    </comment>
    <comment ref="Q7" authorId="0" shapeId="0" xr:uid="{449C7B3F-9824-463D-9D39-7D35DF412F20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Unijeti perimetar na limu 1mm</t>
        </r>
      </text>
    </comment>
    <comment ref="T7" authorId="0" shapeId="0" xr:uid="{6D4E5FE6-C27D-43E3-B6AC-A3100CAA6FF0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Unijeti perimetar na limu 1,5mm</t>
        </r>
      </text>
    </comment>
    <comment ref="W7" authorId="0" shapeId="0" xr:uid="{6E8BE6A0-4568-4855-AE32-3A74FD60E94E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Unijeti perimetar na limu 2mm</t>
        </r>
      </text>
    </comment>
    <comment ref="Z7" authorId="0" shapeId="0" xr:uid="{BFADE4CD-2C65-4769-8B54-F04C5AFFC424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Unijeti perimetar na limu 3mm</t>
        </r>
      </text>
    </comment>
    <comment ref="AC7" authorId="0" shapeId="0" xr:uid="{866B1173-3E0B-4EFB-A8B6-97B44F5A0EAA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Unijeti perimetar na limu 4mm</t>
        </r>
      </text>
    </comment>
    <comment ref="AF7" authorId="0" shapeId="0" xr:uid="{1E599B72-769D-44B5-827A-59AE1280E1DF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Unijeti perimetar na limu 5mm</t>
        </r>
      </text>
    </comment>
    <comment ref="AI7" authorId="0" shapeId="0" xr:uid="{9483EDC3-AB78-424F-835B-F366DDA0DBD2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Unijeti perimetar na limu 6mm</t>
        </r>
      </text>
    </comment>
    <comment ref="AL7" authorId="0" shapeId="0" xr:uid="{04EA2EF3-5935-4F40-94B9-4BAF71F45AA7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Unijeti perimetar na limu 8mm</t>
        </r>
      </text>
    </comment>
    <comment ref="AO7" authorId="0" shapeId="0" xr:uid="{8474D500-2628-49D2-8321-A9FB90797CD6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Unijeti perimetar na limu 10mm</t>
        </r>
      </text>
    </comment>
    <comment ref="AR7" authorId="0" shapeId="0" xr:uid="{04ED9754-BD49-4843-861E-1F4954B2F5C9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Unijeti perimetar na limu 12mm</t>
        </r>
      </text>
    </comment>
    <comment ref="AU7" authorId="0" shapeId="0" xr:uid="{68DE767D-5796-47DA-8BF1-EFBAE2FB5345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Unijeti perimetar na limu 20mm</t>
        </r>
      </text>
    </comment>
    <comment ref="AX7" authorId="0" shapeId="0" xr:uid="{715CFF41-0D19-491B-9CD5-2773D0DD98F5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Unijeti broj otvora u koje se urezuje navoj</t>
        </r>
      </text>
    </comment>
    <comment ref="AY7" authorId="0" shapeId="0" xr:uid="{E6179F0B-8B2E-4BB0-A41D-AA6D4235557B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Automatski računa vrijeme na osnovu broja otvora za urezivanje</t>
        </r>
      </text>
    </comment>
    <comment ref="BA7" authorId="0" shapeId="0" xr:uid="{79C435B3-4498-4CDD-83D4-D93D4089A8D6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Unijeti broj otvora koji se upuštaju</t>
        </r>
      </text>
    </comment>
    <comment ref="BB7" authorId="0" shapeId="0" xr:uid="{5E6C4C30-FCDE-4B89-9628-E73BE953FFCE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Automatski računa vrijeme na osnovu broja otvorakoji se upuštaju</t>
        </r>
      </text>
    </comment>
    <comment ref="BD7" authorId="0" shapeId="0" xr:uid="{62605EA2-F1EB-48F7-94D4-F3D187C5F617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Unijeti broj vijaka ili navrtki kojii se upresavaju</t>
        </r>
      </text>
    </comment>
    <comment ref="BE7" authorId="0" shapeId="0" xr:uid="{E470B3E9-1F96-4493-85CB-A9A14FC8ADFC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Automatski računa vrijeme na osnovu broja vijaka ili navrtki koji se upresavaju</t>
        </r>
      </text>
    </comment>
    <comment ref="BG7" authorId="0" shapeId="0" xr:uid="{69771862-8143-4C7A-8563-1FA9CFD51B22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Unijeti broj linija savijanja. Zajedničke linije računati kao 1.</t>
        </r>
      </text>
    </comment>
    <comment ref="BH7" authorId="0" shapeId="0" xr:uid="{558FECE2-A63E-4A7F-9B4D-8485ED363593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Automatski računa vrijeme na osnovu broja linija savijanja</t>
        </r>
      </text>
    </comment>
    <comment ref="BJ7" authorId="0" shapeId="0" xr:uid="{E0725CFD-BFE9-4548-B741-933C554C871B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Unijeti broj vijaka koji se punktuju</t>
        </r>
      </text>
    </comment>
    <comment ref="BK7" authorId="0" shapeId="0" xr:uid="{D2CFBEF8-085E-4A22-BFAD-24F3032DDF72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Automatski računa vrijeme na osnovu broja vijaka koji se punktuju</t>
        </r>
      </text>
    </comment>
    <comment ref="BM7" authorId="0" shapeId="0" xr:uid="{B6060389-8873-452E-8DCA-80BABF911266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Unijeti broj pozicija koje se spajaju umanjen za 1</t>
        </r>
      </text>
    </comment>
    <comment ref="BN7" authorId="0" shapeId="0" xr:uid="{B4FC3C34-9AAF-4645-9ED9-8445FF6FD492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Unijeti dužinu zavara</t>
        </r>
      </text>
    </comment>
    <comment ref="BO7" authorId="0" shapeId="0" xr:uid="{5C0F4F42-DE0E-49FA-AEDC-ABCED239C2E9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Automatski računa vrijeme na osnovu broja pozicija (-1) i dužine zavara</t>
        </r>
      </text>
    </comment>
    <comment ref="BR7" authorId="0" shapeId="0" xr:uid="{69B1D72A-5112-4C56-827F-325000BA5DA8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Automatski računa vrijeme na osnovu vremena zavarivanja (50%)</t>
        </r>
      </text>
    </comment>
    <comment ref="BU7" authorId="0" shapeId="0" xr:uid="{D769E458-2C0E-49F9-8C01-ABCF444F5319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Automatski računa vrijeme na osnovu površine za zaštitu i vremena zavarivanja (50%).</t>
        </r>
      </text>
    </comment>
    <comment ref="BY7" authorId="0" shapeId="0" xr:uid="{FB258BAD-E3EC-4322-8C65-48245FE2730F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Automatski računa vrijeme na osnovu broja linija savijanja i broja pozicija koje se spajaju zavarivanjem</t>
        </r>
      </text>
    </comment>
    <comment ref="CA7" authorId="0" shapeId="0" xr:uid="{A7909E0E-9DA2-47EB-A9C7-CFEDF224D754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Automatski računa vrijeme plastifikaciije na osnovu norme i koeficijenta</t>
        </r>
      </text>
    </comment>
    <comment ref="CB7" authorId="0" shapeId="0" xr:uid="{E7EB7FCC-167C-4B45-A7C8-27F586A81F57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Izabrati koeficijent na osnovu preovlađujuće debljine lima</t>
        </r>
      </text>
    </comment>
    <comment ref="CE7" authorId="0" shapeId="0" xr:uid="{08050A62-02F2-4A11-9360-E94478185C5D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Automatski računa vrijeme na osnovu površine za zaštitu (50%) i vremena po toj površini.</t>
        </r>
      </text>
    </comment>
    <comment ref="CG7" authorId="0" shapeId="0" xr:uid="{75011994-2BF0-468C-AA68-9EFF4989A794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Unijeti broj vijaka i navrtki koji služe za podešavanje, npr. šarnira i sl.</t>
        </r>
      </text>
    </comment>
    <comment ref="CH7" authorId="0" shapeId="0" xr:uid="{FF363B7C-888C-4FA5-8952-AEB0C53DCF3D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Unijeti broj vijaka, koji samo spajaju, ne može se podešavati položaj pozicija.</t>
        </r>
      </text>
    </comment>
    <comment ref="CI7" authorId="0" shapeId="0" xr:uid="{91A45810-38C5-490A-8F9D-DBD687DADD8D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Unijeti broj matica, koje samo spajaju, ne može se podešavati položaj pozicija.</t>
        </r>
      </text>
    </comment>
    <comment ref="CJ7" authorId="0" shapeId="0" xr:uid="{8390C833-60FE-4770-81B7-621DF8586816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Unijeti dužine zaptivki koje postavlja montaža.</t>
        </r>
      </text>
    </comment>
    <comment ref="CK7" authorId="0" shapeId="0" xr:uid="{1A87BD59-C4A8-46EC-B4EB-9523DA503151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Unijeti težinu pozicija koje pridodajemo osnovi.</t>
        </r>
      </text>
    </comment>
    <comment ref="CL7" authorId="0" shapeId="0" xr:uid="{5A89FB19-F533-4D64-83B4-C6B75D0BC176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Automatski računa vrijeme montaže na osnovu broja vijaka i navrtki, dužine zaptivke i težine dijelova koji se dodaju, množeno sa normnim vremenima.</t>
        </r>
      </text>
    </comment>
    <comment ref="CN7" authorId="0" shapeId="0" xr:uid="{73EC560B-8898-43CC-8866-3DE8324F69AE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Unijeti broj dijelova koji se postavljaju na montaži (ne računati spojne elemente).</t>
        </r>
      </text>
    </comment>
    <comment ref="CO7" authorId="0" shapeId="0" xr:uid="{674D07FD-CDFC-4557-9858-B7B6C63AA1CD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Automatski računa vrijeme na osnovu broja pozicija koje se spajaju na završnoj montaži</t>
        </r>
      </text>
    </comment>
    <comment ref="CQ7" authorId="0" shapeId="0" xr:uid="{5CA35333-B43E-484D-B000-A6164CD1E948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Automatski računa na osnovu osnovnih dimenzija upakovanog proizvoda</t>
        </r>
      </text>
    </comment>
    <comment ref="CS7" authorId="0" shapeId="0" xr:uid="{168F209F-9568-4A96-B864-41624E269A4C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Unijeti širinu upakovanog proizvoda</t>
        </r>
      </text>
    </comment>
    <comment ref="CT7" authorId="0" shapeId="0" xr:uid="{118C2E7D-FBA1-4001-A3DA-B705A5D56AFB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Unijeti dubinu (debljinu)upakovanog proizvoda</t>
        </r>
      </text>
    </comment>
    <comment ref="CU7" authorId="0" shapeId="0" xr:uid="{7BFF1DC3-5D0E-44DD-B9D5-C789BAA338CB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Automatski računa na osnovu zapremine upakovanog proizvoda.</t>
        </r>
      </text>
    </comment>
    <comment ref="CB8" authorId="0" shapeId="0" xr:uid="{5D4DDAD2-95F7-45F1-934D-C4A7F587D3F3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Lim  3mm 1,00
Lim  6mm 1,33
Lim 10mm 1,67
Lim 12mm 2,00</t>
        </r>
      </text>
    </comment>
    <comment ref="CB9" authorId="0" shapeId="0" xr:uid="{ED6C658B-120E-4458-8BBD-74BA953DAA3C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Lim  3mm 1,00
Lim  6mm 1,33
Lim 10mm 1,67
Lim 12mm 2,00</t>
        </r>
      </text>
    </comment>
    <comment ref="CB10" authorId="0" shapeId="0" xr:uid="{2B90AF78-56C8-473D-ADC2-B52230CA5CEB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Lim  3mm 1,00
Lim  6mm 1,33
Lim 10mm 1,67
Lim 12mm 2,00</t>
        </r>
      </text>
    </comment>
    <comment ref="CB11" authorId="0" shapeId="0" xr:uid="{88C25C83-C5EA-446D-8C2B-C66F7A5EB5A8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Lim  3mm 1,00
Lim  6mm 1,33
Lim 10mm 1,67
Lim 12mm 2,00</t>
        </r>
      </text>
    </comment>
    <comment ref="CB12" authorId="0" shapeId="0" xr:uid="{1B33D4F0-3F04-4B4A-9F10-3C5A6A16D05F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Lim  3mm 1,00
Lim  6mm 1,33
Lim 10mm 1,67
Lim 12mm 2,00</t>
        </r>
      </text>
    </comment>
    <comment ref="CB13" authorId="0" shapeId="0" xr:uid="{91B614E0-5ABA-477C-B179-9179775EA1F1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Lim  3mm 1,00
Lim  6mm 1,33
Lim 10mm 1,67
Lim 12mm 2,00</t>
        </r>
      </text>
    </comment>
    <comment ref="CB14" authorId="0" shapeId="0" xr:uid="{E6935731-305A-4731-8925-93154A8E3634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Lim  3mm 1,00
Lim  6mm 1,33
Lim 10mm 1,67
Lim 12mm 2,00</t>
        </r>
      </text>
    </comment>
    <comment ref="CB15" authorId="0" shapeId="0" xr:uid="{1E8546D3-B114-4766-90E7-2E686CA0E055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Lim  3mm 1,00
Lim  6mm 1,33
Lim 10mm 1,67
Lim 12mm 2,00</t>
        </r>
      </text>
    </comment>
    <comment ref="CB16" authorId="0" shapeId="0" xr:uid="{97574BAC-53BF-47B8-9AF2-52F72A463766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Lim  3mm 1,00
Lim  6mm 1,33
Lim 10mm 1,67
Lim 12mm 2,00</t>
        </r>
      </text>
    </comment>
    <comment ref="CB17" authorId="0" shapeId="0" xr:uid="{6AEFCD64-3384-4026-A2F4-3ED32BB23037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Lim  3mm 1,00
Lim  6mm 1,33
Lim 10mm 1,67
Lim 12mm 2,00</t>
        </r>
      </text>
    </comment>
    <comment ref="CB18" authorId="0" shapeId="0" xr:uid="{F6AA7E98-ACAC-4C4F-8783-709B82305ED6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Lim  3mm 1,00
Lim  6mm 1,33
Lim 10mm 1,67
Lim 12mm 2,00</t>
        </r>
      </text>
    </comment>
    <comment ref="CB19" authorId="0" shapeId="0" xr:uid="{1EE2E48A-6F31-40B7-A1CA-B86CDA9A11A2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Lim  3mm 1,00
Lim  6mm 1,33
Lim 10mm 1,67
Lim 12mm 2,00</t>
        </r>
      </text>
    </comment>
    <comment ref="CB20" authorId="0" shapeId="0" xr:uid="{92725104-88EB-414F-9F4E-7F9330C0654A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Lim  3mm 1,00
Lim  6mm 1,33
Lim 10mm 1,67
Lim 12mm 2,00</t>
        </r>
      </text>
    </comment>
    <comment ref="CB21" authorId="0" shapeId="0" xr:uid="{7E598B67-CF99-4081-9875-F877F8E804B4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Lim  3mm 1,00
Lim  6mm 1,33
Lim 10mm 1,67
Lim 12mm 2,00</t>
        </r>
      </text>
    </comment>
    <comment ref="CB22" authorId="0" shapeId="0" xr:uid="{F44ECE99-889C-4354-93C4-96E807FFC1DB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Lim  3mm 1,00
Lim  6mm 1,33
Lim 10mm 1,67
Lim 12mm 2,00</t>
        </r>
      </text>
    </comment>
    <comment ref="CB23" authorId="0" shapeId="0" xr:uid="{A406D18D-4A83-4AEC-B5C9-B1B26F2F1F88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Lim  3mm 1,00
Lim  6mm 1,33
Lim 10mm 1,67
Lim 12mm 2,00</t>
        </r>
      </text>
    </comment>
    <comment ref="CB24" authorId="0" shapeId="0" xr:uid="{FA1AC6A7-50FE-495D-8FAD-67F64A687062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Lim  3mm 1,00
Lim  6mm 1,33
Lim 10mm 1,67
Lim 12mm 2,00</t>
        </r>
      </text>
    </comment>
    <comment ref="CB25" authorId="0" shapeId="0" xr:uid="{1661A82E-0FDE-4B5E-A93E-2BC3E46544AA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Lim  3mm 1,00
Lim  6mm 1,33
Lim 10mm 1,67
Lim 12mm 2,00</t>
        </r>
      </text>
    </comment>
    <comment ref="CB26" authorId="0" shapeId="0" xr:uid="{9963C8B0-6702-4DA3-8F46-47DB3E0F25FE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Lim  3mm 1,00
Lim  6mm 1,33
Lim 10mm 1,67
Lim 12mm 2,00</t>
        </r>
      </text>
    </comment>
    <comment ref="CB27" authorId="0" shapeId="0" xr:uid="{20288405-8881-4F80-84B3-C98A4E2D9E09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Lim  3mm 1,00
Lim  6mm 1,33
Lim 10mm 1,67
Lim 12mm 2,00</t>
        </r>
      </text>
    </comment>
    <comment ref="CB28" authorId="0" shapeId="0" xr:uid="{DC420731-AC41-4765-8E98-572922BB3F36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Lim  3mm 1,00
Lim  6mm 1,33
Lim 10mm 1,67
Lim 12mm 2,00</t>
        </r>
      </text>
    </comment>
    <comment ref="CB29" authorId="0" shapeId="0" xr:uid="{764E7395-E579-4F9C-8512-78A9DA715288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Lim  3mm 1,00
Lim  6mm 1,33
Lim 10mm 1,67
Lim 12mm 2,00</t>
        </r>
      </text>
    </comment>
    <comment ref="CB30" authorId="0" shapeId="0" xr:uid="{A8AD8D85-E177-440C-A273-FDD496025940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Lim  3mm 1,00
Lim  6mm 1,33
Lim 10mm 1,67
Lim 12mm 2,00</t>
        </r>
      </text>
    </comment>
    <comment ref="CB31" authorId="0" shapeId="0" xr:uid="{3689EDC0-E13F-4A9A-A3A1-BBF9A9ABCBEF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Lim  3mm 1,00
Lim  6mm 1,33
Lim 10mm 1,67
Lim 12mm 2,00</t>
        </r>
      </text>
    </comment>
    <comment ref="CB32" authorId="0" shapeId="0" xr:uid="{5BB593EE-95F8-4E71-9DC9-A57C13BB9B3E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Lim  3mm 1,00
Lim  6mm 1,33
Lim 10mm 1,67
Lim 12mm 2,00</t>
        </r>
      </text>
    </comment>
    <comment ref="CB33" authorId="0" shapeId="0" xr:uid="{323E7341-7757-4156-A68C-059059803AFA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Lim  3mm 1,00
Lim  6mm 1,33
Lim 10mm 1,67
Lim 12mm 2,00</t>
        </r>
      </text>
    </comment>
    <comment ref="CB34" authorId="0" shapeId="0" xr:uid="{FD968A00-5578-4E58-99F2-DC33C457D822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Lim  3mm 1,00
Lim  6mm 1,33
Lim 10mm 1,67
Lim 12mm 2,00</t>
        </r>
      </text>
    </comment>
    <comment ref="CB35" authorId="0" shapeId="0" xr:uid="{5DAB3E0E-EDF4-4CAB-8D63-7696FE3D8077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Lim  3mm 1,00
Lim  6mm 1,33
Lim 10mm 1,67
Lim 12mm 2,00</t>
        </r>
      </text>
    </comment>
    <comment ref="CB36" authorId="0" shapeId="0" xr:uid="{21F8B010-D412-4496-BE33-6E13483EC300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Lim  3mm 1,00
Lim  6mm 1,33
Lim 10mm 1,67
Lim 12mm 2,00</t>
        </r>
      </text>
    </comment>
    <comment ref="CB38" authorId="0" shapeId="0" xr:uid="{1B9CBF18-3A0B-4966-A48D-E87D4524D0A2}">
      <text>
        <r>
          <rPr>
            <b/>
            <sz val="9"/>
            <color indexed="81"/>
            <rFont val="Tahoma"/>
            <family val="2"/>
            <charset val="238"/>
          </rPr>
          <t>Darko Ganilovic:</t>
        </r>
        <r>
          <rPr>
            <sz val="9"/>
            <color indexed="81"/>
            <rFont val="Tahoma"/>
            <family val="2"/>
            <charset val="238"/>
          </rPr>
          <t xml:space="preserve">
Koeficient vezan za tebljinu lima:
Lim  3mm 1,00
Lim  6mm 1,33
Lim 10mm 1,67
Lim 12mm 2,00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<sst xmlns="http://schemas.openxmlformats.org/spreadsheetml/2006/main" count="1554" uniqueCount="248">
  <si>
    <t>Broj operacije:</t>
  </si>
  <si>
    <t>NAPOMENA: Ako se sijeku: poc. lim, inox ili Al lim, onda perimetar uvećati za x2,1.</t>
  </si>
  <si>
    <t>Pripremna vremena se posebno računaju.</t>
  </si>
  <si>
    <t>IDENT:</t>
  </si>
  <si>
    <t>Kol.</t>
  </si>
  <si>
    <t xml:space="preserve">Dimenzije  SL </t>
  </si>
  <si>
    <t>Masa</t>
  </si>
  <si>
    <t>Zaštita:</t>
  </si>
  <si>
    <t>UKUPNO sječ. laserom:</t>
  </si>
  <si>
    <t>Perimetri:</t>
  </si>
  <si>
    <t>Urezivanje navoja:</t>
  </si>
  <si>
    <t>Upuštanje otvora:</t>
  </si>
  <si>
    <t>Upresavanje:</t>
  </si>
  <si>
    <t>Savijanje:</t>
  </si>
  <si>
    <t>Punktovanje:</t>
  </si>
  <si>
    <t>Ukrup., zavarivanje:</t>
  </si>
  <si>
    <t>Brušenje:</t>
  </si>
  <si>
    <t>Poliranje:</t>
  </si>
  <si>
    <t>Međuf. kontrola:</t>
  </si>
  <si>
    <t>Plastifikacija</t>
  </si>
  <si>
    <t>Međuf. kontr.:</t>
  </si>
  <si>
    <t>Montaža</t>
  </si>
  <si>
    <t>Zavr. kontrola</t>
  </si>
  <si>
    <t>Pakovanje</t>
  </si>
  <si>
    <t>012345</t>
  </si>
  <si>
    <t>s</t>
  </si>
  <si>
    <t>Visina</t>
  </si>
  <si>
    <t>Širina</t>
  </si>
  <si>
    <r>
      <t>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/kg</t>
    </r>
  </si>
  <si>
    <t>mm</t>
  </si>
  <si>
    <t>min/nav.</t>
  </si>
  <si>
    <t>sec/nav.</t>
  </si>
  <si>
    <t>sec/kom</t>
  </si>
  <si>
    <t>mm/min</t>
  </si>
  <si>
    <t>zavarivanja</t>
  </si>
  <si>
    <t>sec/sav</t>
  </si>
  <si>
    <r>
      <t>m</t>
    </r>
    <r>
      <rPr>
        <vertAlign val="superscript"/>
        <sz val="10"/>
        <color theme="1"/>
        <rFont val="Calibri"/>
        <family val="2"/>
        <scheme val="minor"/>
      </rPr>
      <t>2</t>
    </r>
    <r>
      <rPr>
        <sz val="10"/>
        <color theme="1"/>
        <rFont val="Calibri"/>
        <family val="2"/>
        <scheme val="minor"/>
      </rPr>
      <t>/h</t>
    </r>
  </si>
  <si>
    <r>
      <t>min/m</t>
    </r>
    <r>
      <rPr>
        <vertAlign val="superscript"/>
        <sz val="9"/>
        <color theme="1"/>
        <rFont val="Calibri"/>
        <family val="2"/>
        <scheme val="minor"/>
      </rPr>
      <t>2</t>
    </r>
  </si>
  <si>
    <t>min/kom</t>
  </si>
  <si>
    <r>
      <t>min/m</t>
    </r>
    <r>
      <rPr>
        <vertAlign val="superscript"/>
        <sz val="11"/>
        <color theme="1"/>
        <rFont val="Calibri"/>
        <family val="2"/>
        <charset val="238"/>
        <scheme val="minor"/>
      </rPr>
      <t>3</t>
    </r>
  </si>
  <si>
    <t>Povr. plast.</t>
  </si>
  <si>
    <t>min/m</t>
  </si>
  <si>
    <t>Datum:</t>
  </si>
  <si>
    <t>kg</t>
  </si>
  <si>
    <t>min</t>
  </si>
  <si>
    <r>
      <t>min/m</t>
    </r>
    <r>
      <rPr>
        <vertAlign val="superscript"/>
        <sz val="11"/>
        <color theme="1"/>
        <rFont val="Calibri"/>
        <family val="2"/>
        <charset val="238"/>
        <scheme val="minor"/>
      </rPr>
      <t>2</t>
    </r>
  </si>
  <si>
    <t>min/kg</t>
  </si>
  <si>
    <r>
      <t>m</t>
    </r>
    <r>
      <rPr>
        <vertAlign val="superscript"/>
        <sz val="11"/>
        <color theme="1"/>
        <rFont val="Calibri"/>
        <family val="2"/>
        <scheme val="minor"/>
      </rPr>
      <t>2</t>
    </r>
  </si>
  <si>
    <t>h:m:s</t>
  </si>
  <si>
    <t>NAPOMENA</t>
  </si>
  <si>
    <t>Broj crteža</t>
  </si>
  <si>
    <t>Ident</t>
  </si>
  <si>
    <t>Naziv atrtikla</t>
  </si>
  <si>
    <t>kom</t>
  </si>
  <si>
    <r>
      <t>m</t>
    </r>
    <r>
      <rPr>
        <vertAlign val="superscript"/>
        <sz val="9"/>
        <color theme="1"/>
        <rFont val="Calibri"/>
        <family val="2"/>
        <scheme val="minor"/>
      </rPr>
      <t>2</t>
    </r>
  </si>
  <si>
    <t>kom.</t>
  </si>
  <si>
    <t>br. linija</t>
  </si>
  <si>
    <t>n-1,kom</t>
  </si>
  <si>
    <t>sav</t>
  </si>
  <si>
    <t>koef.</t>
  </si>
  <si>
    <t>vm,kom</t>
  </si>
  <si>
    <t>v,kom</t>
  </si>
  <si>
    <t>m,kom</t>
  </si>
  <si>
    <t>m</t>
  </si>
  <si>
    <r>
      <t>m</t>
    </r>
    <r>
      <rPr>
        <vertAlign val="superscript"/>
        <sz val="9"/>
        <color theme="1"/>
        <rFont val="Calibri"/>
        <family val="2"/>
        <charset val="238"/>
        <scheme val="minor"/>
      </rPr>
      <t>3</t>
    </r>
  </si>
  <si>
    <t>v</t>
  </si>
  <si>
    <t>š</t>
  </si>
  <si>
    <t>d</t>
  </si>
  <si>
    <t>Primjer-PEO-1</t>
  </si>
  <si>
    <t>012346</t>
  </si>
  <si>
    <t>-</t>
  </si>
  <si>
    <t>Naziv (GP)</t>
  </si>
  <si>
    <t>Bušenje, upuštanje:</t>
  </si>
  <si>
    <t>min/otv.</t>
  </si>
  <si>
    <t>Rezanje profila</t>
  </si>
  <si>
    <r>
      <t>mm</t>
    </r>
    <r>
      <rPr>
        <vertAlign val="superscript"/>
        <sz val="9"/>
        <color theme="1"/>
        <rFont val="Calibri"/>
        <family val="2"/>
        <charset val="238"/>
        <scheme val="minor"/>
      </rPr>
      <t>2</t>
    </r>
  </si>
  <si>
    <r>
      <t>Ime i Prezime:</t>
    </r>
    <r>
      <rPr>
        <b/>
        <sz val="11"/>
        <color theme="1"/>
        <rFont val="Calibri"/>
        <family val="2"/>
        <charset val="238"/>
        <scheme val="minor"/>
      </rPr>
      <t xml:space="preserve"> </t>
    </r>
  </si>
  <si>
    <t>Ukupno vrijeme izrade:</t>
  </si>
  <si>
    <t>Uk:</t>
  </si>
  <si>
    <t>Broj ponavljanja operacije</t>
  </si>
  <si>
    <t>Ukupno pozicija</t>
  </si>
  <si>
    <t>Column1</t>
  </si>
  <si>
    <t>Column99</t>
  </si>
  <si>
    <t>Column71</t>
  </si>
  <si>
    <t>Column2</t>
  </si>
  <si>
    <t>Column4</t>
  </si>
  <si>
    <t>Column5</t>
  </si>
  <si>
    <t>Column6</t>
  </si>
  <si>
    <t>Column75</t>
  </si>
  <si>
    <t>Column3</t>
  </si>
  <si>
    <t>Column7</t>
  </si>
  <si>
    <t>Column42</t>
  </si>
  <si>
    <t>Column8</t>
  </si>
  <si>
    <t>Column100</t>
  </si>
  <si>
    <t>Column9</t>
  </si>
  <si>
    <t>Column10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</si>
  <si>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</si>
  <si>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</si>
  <si>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</si>
  <si>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</si>
  <si>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</si>
  <si>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</si>
  <si>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</si>
  <si>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</si>
  <si>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</si>
  <si>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</si>
  <si>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</si>
  <si>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</si>
  <si>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</si>
  <si>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</si>
  <si>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</si>
  <si>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Column56</t>
  </si>
  <si>
    <t>Column57</t>
  </si>
  <si>
    <t>Column58</t>
  </si>
  <si>
    <t>Column55</t>
  </si>
  <si>
    <t>Column59</t>
  </si>
  <si>
    <t>Column60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</si>
  <si>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</si>
  <si>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</si>
  <si>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</si>
  <si>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</si>
  <si>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</si>
  <si>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</si>
  <si>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</si>
  <si>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</si>
  <si>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</si>
  <si>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Column61</t>
  </si>
  <si>
    <t>Column54</t>
  </si>
  <si>
    <t>Column11</t>
  </si>
  <si>
    <t>Column27</t>
  </si>
  <si>
    <t>Column28</t>
  </si>
  <si>
    <t>Column29</t>
  </si>
  <si>
    <t>Column86</t>
  </si>
  <si>
    <t>Column31</t>
  </si>
  <si>
    <t>Column101</t>
  </si>
  <si>
    <t>Column102</t>
  </si>
  <si>
    <t>Column32</t>
  </si>
  <si>
    <t>Column30</t>
  </si>
  <si>
    <t>Column103</t>
  </si>
  <si>
    <t>Column104</t>
  </si>
  <si>
    <t>Column105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</si>
  <si>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</si>
  <si>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</si>
  <si>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</si>
  <si>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</si>
  <si>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</si>
  <si>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</si>
  <si>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</si>
  <si>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</si>
  <si>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Column33</t>
  </si>
  <si>
    <t>Column84</t>
  </si>
  <si>
    <t>Column43</t>
  </si>
  <si>
    <t>Column44</t>
  </si>
  <si>
    <t>Column87</t>
  </si>
  <si>
    <t>Column46</t>
  </si>
  <si>
    <t>Column45</t>
  </si>
  <si>
    <t>Column96</t>
  </si>
  <si>
    <t>Column47</t>
  </si>
  <si>
    <t>Column48</t>
  </si>
  <si>
    <t>Column95</t>
  </si>
  <si>
    <t>Column72</t>
  </si>
  <si>
    <t>Column74</t>
  </si>
  <si>
    <t>Column73</t>
  </si>
  <si>
    <t>Column94</t>
  </si>
  <si>
    <t>Column49</t>
  </si>
  <si>
    <t>Column50</t>
  </si>
  <si>
    <t>Column76</t>
  </si>
  <si>
    <t>Column92</t>
  </si>
  <si>
    <t>Column88</t>
  </si>
  <si>
    <t>Column93</t>
  </si>
  <si>
    <t>Column78</t>
  </si>
  <si>
    <t>Column79</t>
  </si>
  <si>
    <t>Column81</t>
  </si>
  <si>
    <t>Column80</t>
  </si>
  <si>
    <t>Column82</t>
  </si>
  <si>
    <t>Column52</t>
  </si>
  <si>
    <t>Column91</t>
  </si>
  <si>
    <t>Column77</t>
  </si>
  <si>
    <t>Column106</t>
  </si>
  <si>
    <t>Column51</t>
  </si>
  <si>
    <t>Column90</t>
  </si>
  <si>
    <t>Column83</t>
  </si>
  <si>
    <t>Column85</t>
  </si>
  <si>
    <t>Column98</t>
  </si>
  <si>
    <t>Column97</t>
  </si>
  <si>
    <t>Column53</t>
  </si>
  <si>
    <t>Column89</t>
  </si>
  <si>
    <t xml:space="preserve">Datum: </t>
  </si>
  <si>
    <r>
      <t>m</t>
    </r>
    <r>
      <rPr>
        <vertAlign val="superscript"/>
        <sz val="10"/>
        <color theme="4"/>
        <rFont val="Calibri"/>
        <family val="2"/>
        <scheme val="minor"/>
      </rPr>
      <t>2</t>
    </r>
    <r>
      <rPr>
        <sz val="10"/>
        <color theme="4"/>
        <rFont val="Calibri"/>
        <family val="2"/>
        <scheme val="minor"/>
      </rPr>
      <t>/h</t>
    </r>
  </si>
  <si>
    <r>
      <rPr>
        <b/>
        <i/>
        <sz val="11"/>
        <color theme="1"/>
        <rFont val="Calibri"/>
        <family val="2"/>
        <scheme val="minor"/>
      </rPr>
      <t>NAPOMENA</t>
    </r>
    <r>
      <rPr>
        <i/>
        <sz val="11"/>
        <color theme="1"/>
        <rFont val="Calibri"/>
        <family val="2"/>
        <charset val="238"/>
        <scheme val="minor"/>
      </rPr>
      <t xml:space="preserve">: Ako se siječe azotom, odn. ako se sijeku: poc. lim, inox ili Al lim, onda perimetar uvećati za </t>
    </r>
    <r>
      <rPr>
        <b/>
        <i/>
        <sz val="11"/>
        <color theme="1"/>
        <rFont val="Calibri"/>
        <family val="2"/>
        <scheme val="minor"/>
      </rPr>
      <t>x1,5</t>
    </r>
    <r>
      <rPr>
        <i/>
        <sz val="11"/>
        <color theme="1"/>
        <rFont val="Calibri"/>
        <family val="2"/>
        <charset val="238"/>
        <scheme val="minor"/>
      </rPr>
      <t>.</t>
    </r>
  </si>
  <si>
    <r>
      <t>mm</t>
    </r>
    <r>
      <rPr>
        <vertAlign val="superscript"/>
        <sz val="11"/>
        <color theme="1"/>
        <rFont val="Calibri"/>
        <family val="2"/>
        <charset val="238"/>
        <scheme val="minor"/>
      </rPr>
      <t>2</t>
    </r>
    <r>
      <rPr>
        <sz val="11"/>
        <color theme="1"/>
        <rFont val="Calibri"/>
        <family val="2"/>
        <charset val="1"/>
        <scheme val="minor"/>
      </rPr>
      <t>/min</t>
    </r>
  </si>
  <si>
    <t>Schaumdichtung</t>
  </si>
  <si>
    <t>mm/sec</t>
  </si>
  <si>
    <t>A</t>
  </si>
  <si>
    <t>B</t>
  </si>
  <si>
    <t>Priprema:</t>
  </si>
  <si>
    <t>Količina - rad:</t>
  </si>
  <si>
    <t>Punktovanje inox:</t>
  </si>
  <si>
    <t>Ukrup., zavarivanje inox:</t>
  </si>
  <si>
    <t>Poliranje/šlajfanje inox:</t>
  </si>
  <si>
    <r>
      <t>min/m</t>
    </r>
    <r>
      <rPr>
        <vertAlign val="superscript"/>
        <sz val="11"/>
        <color theme="0" tint="-0.499984740745262"/>
        <rFont val="Calibri"/>
        <family val="2"/>
        <scheme val="minor"/>
      </rPr>
      <t>2</t>
    </r>
  </si>
  <si>
    <t>Punktovanje crni č.:</t>
  </si>
  <si>
    <t>Ukrup., zavarivanje crni č.:</t>
  </si>
  <si>
    <t>Brušenje 
crni č.:</t>
  </si>
  <si>
    <t>Poliranje 
crni č.:</t>
  </si>
  <si>
    <t>Brušenje 
inox:</t>
  </si>
  <si>
    <t>Bajcanje 
inox:</t>
  </si>
  <si>
    <t>Ukrupnjavanje</t>
  </si>
  <si>
    <t>Priprema</t>
  </si>
  <si>
    <t>Zavarivanje</t>
  </si>
  <si>
    <t>Vidljive površ.</t>
  </si>
  <si>
    <t>sec/punkt</t>
  </si>
  <si>
    <t>Varijanta 2.1</t>
  </si>
  <si>
    <t>min.</t>
  </si>
  <si>
    <t>UC</t>
  </si>
  <si>
    <t>Materijal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</si>
  <si>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</si>
  <si>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</si>
  <si>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</si>
  <si>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</si>
  <si>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</si>
  <si>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</si>
  <si>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</si>
  <si>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</si>
  <si>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</si>
  <si>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</si>
  <si>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</si>
  <si>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</si>
  <si>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</si>
  <si>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</si>
  <si>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</si>
  <si>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</si>
  <si>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</si>
  <si>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</si>
  <si>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</si>
  <si>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</si>
  <si>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</si>
  <si>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</si>
  <si>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</si>
  <si>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</si>
  <si>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</si>
  <si>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</si>
  <si>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</si>
  <si>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</si>
  <si>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</si>
  <si>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</si>
  <si>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Površinska zaštita</t>
  </si>
  <si>
    <t>K-Faktor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</si>
</sst>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[h]:mm:ss;@"/>
    <numFmt numFmtId="166" formatCode="0.0000"/>
    <numFmt numFmtId="167" formatCode="0.0"/>
  </numFmts>
  <fonts count="55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charset val="238"/>
      <scheme val="minor"/>
    </font>
    <font>
      <b/>
      <sz val="14"/>
      <color theme="8"/>
      <name val="Calibri"/>
      <family val="2"/>
      <scheme val="minor"/>
    </font>
    <font>
      <u/>
      <sz val="11"/>
      <color theme="10"/>
      <name val="Calibri"/>
      <family val="2"/>
      <charset val="1"/>
      <scheme val="minor"/>
    </font>
    <font>
      <u/>
      <sz val="8"/>
      <color theme="10"/>
      <name val="Calibri"/>
      <family val="2"/>
      <charset val="1"/>
      <scheme val="minor"/>
    </font>
    <font>
      <i/>
      <sz val="11"/>
      <color theme="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9"/>
      <color theme="1"/>
      <name val="Calibri"/>
      <family val="2"/>
      <charset val="1"/>
      <scheme val="minor"/>
    </font>
    <font>
      <vertAlign val="superscript"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charset val="1"/>
      <scheme val="minor"/>
    </font>
    <font>
      <sz val="7"/>
      <color theme="1"/>
      <name val="Calibri"/>
      <family val="2"/>
      <charset val="1"/>
      <scheme val="minor"/>
    </font>
    <font>
      <sz val="10"/>
      <color theme="1"/>
      <name val="Calibri"/>
      <family val="2"/>
      <scheme val="minor"/>
    </font>
    <font>
      <vertAlign val="superscript"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vertAlign val="superscript"/>
      <sz val="9"/>
      <color theme="1"/>
      <name val="Calibri"/>
      <family val="2"/>
      <scheme val="minor"/>
    </font>
    <font>
      <vertAlign val="superscript"/>
      <sz val="11"/>
      <color theme="1"/>
      <name val="Calibri"/>
      <family val="2"/>
      <charset val="238"/>
      <scheme val="minor"/>
    </font>
    <font>
      <sz val="8"/>
      <color theme="1"/>
      <name val="Calibri"/>
      <family val="2"/>
      <charset val="1"/>
      <scheme val="minor"/>
    </font>
    <font>
      <vertAlign val="superscript"/>
      <sz val="9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</font>
    <font>
      <b/>
      <sz val="9"/>
      <color indexed="81"/>
      <name val="Tahoma"/>
      <family val="2"/>
      <charset val="238"/>
    </font>
    <font>
      <sz val="9"/>
      <color indexed="81"/>
      <name val="Tahoma"/>
      <family val="2"/>
      <charset val="238"/>
    </font>
    <font>
      <u/>
      <sz val="8"/>
      <color theme="10"/>
      <name val="Agency FB"/>
      <family val="2"/>
    </font>
    <font>
      <u/>
      <sz val="9"/>
      <color theme="10"/>
      <name val="Agency FB"/>
      <family val="2"/>
    </font>
    <font>
      <i/>
      <sz val="10"/>
      <color theme="1"/>
      <name val="Calibri"/>
      <family val="2"/>
      <charset val="238"/>
      <scheme val="minor"/>
    </font>
    <font>
      <sz val="9"/>
      <color theme="0" tint="-0.14999847407452621"/>
      <name val="Calibri"/>
      <family val="2"/>
      <scheme val="minor"/>
    </font>
    <font>
      <sz val="11"/>
      <name val="Calibri"/>
      <family val="2"/>
      <charset val="1"/>
      <scheme val="minor"/>
    </font>
    <font>
      <b/>
      <u/>
      <sz val="11"/>
      <color theme="4"/>
      <name val="Calibri"/>
      <family val="2"/>
      <scheme val="minor"/>
    </font>
    <font>
      <sz val="11"/>
      <color theme="4"/>
      <name val="Calibri"/>
      <family val="2"/>
      <scheme val="minor"/>
    </font>
    <font>
      <sz val="10"/>
      <color theme="4"/>
      <name val="Calibri"/>
      <family val="2"/>
      <scheme val="minor"/>
    </font>
    <font>
      <vertAlign val="superscript"/>
      <sz val="10"/>
      <color theme="4"/>
      <name val="Calibri"/>
      <family val="2"/>
      <scheme val="minor"/>
    </font>
    <font>
      <sz val="9"/>
      <color theme="4"/>
      <name val="Calibri"/>
      <family val="2"/>
      <scheme val="minor"/>
    </font>
    <font>
      <b/>
      <sz val="10"/>
      <color theme="4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4"/>
      <name val="Calibri"/>
      <family val="2"/>
      <charset val="1"/>
      <scheme val="minor"/>
    </font>
    <font>
      <sz val="8"/>
      <name val="Calibri"/>
      <family val="2"/>
      <charset val="1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1"/>
      <color theme="1"/>
      <name val="Calibri"/>
      <family val="2"/>
      <charset val="1"/>
      <scheme val="minor"/>
    </font>
    <font>
      <b/>
      <u/>
      <sz val="10"/>
      <color theme="0" tint="-0.499984740745262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9"/>
      <color theme="0" tint="-0.499984740745262"/>
      <name val="Calibri"/>
      <family val="2"/>
      <scheme val="minor"/>
    </font>
    <font>
      <sz val="8"/>
      <color theme="0" tint="-0.499984740745262"/>
      <name val="Calibri"/>
      <family val="2"/>
      <scheme val="minor"/>
    </font>
    <font>
      <vertAlign val="superscript"/>
      <sz val="11"/>
      <color theme="0" tint="-0.499984740745262"/>
      <name val="Calibri"/>
      <family val="2"/>
      <scheme val="minor"/>
    </font>
    <font>
      <sz val="10"/>
      <color theme="0" tint="-0.499984740745262"/>
      <name val="Calibri"/>
      <family val="2"/>
      <charset val="1"/>
      <scheme val="minor"/>
    </font>
    <font>
      <b/>
      <u/>
      <sz val="11"/>
      <color theme="0" tint="-0.499984740745262"/>
      <name val="Calibri"/>
      <family val="2"/>
      <scheme val="minor"/>
    </font>
    <font>
      <sz val="11"/>
      <color theme="0" tint="-0.499984740745262"/>
      <name val="Calibri"/>
      <family val="2"/>
      <charset val="1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9" fontId="45" fillId="0" borderId="0" applyFont="0" applyFill="0" applyBorder="0" applyAlignment="0" applyProtection="0"/>
  </cellStyleXfs>
  <cellXfs count="287">
    <xf numFmtId="0" fontId="0" fillId="0" borderId="0" xfId="0"/>
    <xf numFmtId="0" fontId="2" fillId="0" borderId="0" xfId="0" applyFont="1" applyAlignment="1">
      <alignment vertical="top"/>
    </xf>
    <xf numFmtId="0" fontId="4" fillId="0" borderId="0" xfId="1" applyFont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5" fillId="0" borderId="0" xfId="0" applyFont="1"/>
    <xf numFmtId="0" fontId="2" fillId="0" borderId="3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49" fontId="7" fillId="0" borderId="0" xfId="0" applyNumberFormat="1" applyFont="1"/>
    <xf numFmtId="49" fontId="8" fillId="0" borderId="5" xfId="0" applyNumberFormat="1" applyFont="1" applyBorder="1" applyAlignment="1">
      <alignment horizontal="center"/>
    </xf>
    <xf numFmtId="49" fontId="9" fillId="0" borderId="1" xfId="0" applyNumberFormat="1" applyFont="1" applyBorder="1" applyAlignment="1">
      <alignment horizontal="center"/>
    </xf>
    <xf numFmtId="49" fontId="9" fillId="0" borderId="3" xfId="0" applyNumberFormat="1" applyFont="1" applyBorder="1" applyAlignment="1">
      <alignment horizontal="center"/>
    </xf>
    <xf numFmtId="0" fontId="0" fillId="0" borderId="3" xfId="0" applyBorder="1"/>
    <xf numFmtId="0" fontId="0" fillId="0" borderId="5" xfId="0" applyBorder="1"/>
    <xf numFmtId="0" fontId="10" fillId="0" borderId="4" xfId="0" applyFont="1" applyBorder="1"/>
    <xf numFmtId="0" fontId="10" fillId="0" borderId="0" xfId="0" applyFont="1"/>
    <xf numFmtId="0" fontId="0" fillId="0" borderId="6" xfId="0" applyBorder="1"/>
    <xf numFmtId="0" fontId="9" fillId="0" borderId="4" xfId="0" applyFont="1" applyBorder="1"/>
    <xf numFmtId="0" fontId="9" fillId="0" borderId="0" xfId="0" applyFont="1"/>
    <xf numFmtId="0" fontId="9" fillId="0" borderId="6" xfId="0" applyFont="1" applyBorder="1" applyAlignment="1">
      <alignment horizontal="right"/>
    </xf>
    <xf numFmtId="0" fontId="0" fillId="0" borderId="7" xfId="0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6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4" xfId="0" applyBorder="1"/>
    <xf numFmtId="0" fontId="0" fillId="0" borderId="0" xfId="0" applyAlignment="1">
      <alignment horizontal="right"/>
    </xf>
    <xf numFmtId="2" fontId="0" fillId="0" borderId="4" xfId="0" applyNumberFormat="1" applyBorder="1"/>
    <xf numFmtId="0" fontId="1" fillId="0" borderId="0" xfId="0" applyFont="1"/>
    <xf numFmtId="0" fontId="0" fillId="0" borderId="6" xfId="0" applyBorder="1" applyAlignment="1">
      <alignment horizontal="right"/>
    </xf>
    <xf numFmtId="9" fontId="15" fillId="0" borderId="4" xfId="0" applyNumberFormat="1" applyFont="1" applyBorder="1" applyAlignment="1">
      <alignment vertical="center"/>
    </xf>
    <xf numFmtId="0" fontId="12" fillId="0" borderId="0" xfId="0" applyFont="1" applyAlignment="1">
      <alignment vertical="center"/>
    </xf>
    <xf numFmtId="0" fontId="12" fillId="0" borderId="6" xfId="0" applyFont="1" applyBorder="1" applyAlignment="1">
      <alignment horizontal="right"/>
    </xf>
    <xf numFmtId="0" fontId="16" fillId="0" borderId="6" xfId="0" applyFont="1" applyBorder="1" applyAlignment="1">
      <alignment horizontal="right" vertical="center" wrapText="1"/>
    </xf>
    <xf numFmtId="0" fontId="12" fillId="0" borderId="0" xfId="0" applyFont="1" applyAlignment="1">
      <alignment vertical="center" wrapText="1"/>
    </xf>
    <xf numFmtId="0" fontId="12" fillId="0" borderId="6" xfId="0" applyFont="1" applyBorder="1" applyAlignment="1">
      <alignment horizontal="right" vertical="center" wrapText="1"/>
    </xf>
    <xf numFmtId="0" fontId="17" fillId="0" borderId="0" xfId="0" applyFont="1"/>
    <xf numFmtId="0" fontId="0" fillId="0" borderId="4" xfId="0" applyBorder="1" applyAlignment="1">
      <alignment vertical="center" wrapText="1"/>
    </xf>
    <xf numFmtId="0" fontId="19" fillId="0" borderId="0" xfId="0" applyFont="1" applyAlignment="1">
      <alignment vertical="center" wrapText="1"/>
    </xf>
    <xf numFmtId="0" fontId="19" fillId="0" borderId="4" xfId="0" applyFont="1" applyBorder="1" applyAlignment="1">
      <alignment vertical="center" wrapText="1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6" xfId="0" applyFont="1" applyBorder="1" applyAlignment="1">
      <alignment horizontal="right"/>
    </xf>
    <xf numFmtId="0" fontId="0" fillId="0" borderId="0" xfId="0" applyAlignment="1">
      <alignment horizontal="center"/>
    </xf>
    <xf numFmtId="9" fontId="0" fillId="0" borderId="4" xfId="0" applyNumberFormat="1" applyBorder="1" applyAlignment="1">
      <alignment horizontal="center"/>
    </xf>
    <xf numFmtId="9" fontId="0" fillId="0" borderId="6" xfId="0" applyNumberFormat="1" applyBorder="1" applyAlignment="1">
      <alignment horizontal="center"/>
    </xf>
    <xf numFmtId="49" fontId="0" fillId="0" borderId="4" xfId="0" applyNumberFormat="1" applyBorder="1" applyAlignment="1">
      <alignment horizontal="center"/>
    </xf>
    <xf numFmtId="49" fontId="0" fillId="0" borderId="0" xfId="0" applyNumberFormat="1" applyAlignment="1">
      <alignment horizontal="right"/>
    </xf>
    <xf numFmtId="1" fontId="0" fillId="0" borderId="4" xfId="0" applyNumberFormat="1" applyBorder="1"/>
    <xf numFmtId="9" fontId="15" fillId="0" borderId="0" xfId="0" applyNumberFormat="1" applyFont="1"/>
    <xf numFmtId="0" fontId="22" fillId="0" borderId="0" xfId="0" applyFont="1"/>
    <xf numFmtId="0" fontId="15" fillId="0" borderId="0" xfId="0" applyFont="1" applyAlignment="1">
      <alignment horizontal="center"/>
    </xf>
    <xf numFmtId="0" fontId="12" fillId="0" borderId="0" xfId="0" applyFont="1"/>
    <xf numFmtId="164" fontId="0" fillId="0" borderId="4" xfId="0" applyNumberFormat="1" applyBorder="1"/>
    <xf numFmtId="0" fontId="12" fillId="0" borderId="4" xfId="0" applyFont="1" applyBorder="1"/>
    <xf numFmtId="0" fontId="14" fillId="0" borderId="0" xfId="0" applyFont="1"/>
    <xf numFmtId="164" fontId="0" fillId="0" borderId="0" xfId="0" applyNumberFormat="1" applyAlignment="1">
      <alignment horizontal="right"/>
    </xf>
    <xf numFmtId="2" fontId="0" fillId="0" borderId="0" xfId="0" applyNumberFormat="1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/>
    <xf numFmtId="2" fontId="0" fillId="0" borderId="9" xfId="0" applyNumberFormat="1" applyBorder="1"/>
    <xf numFmtId="0" fontId="0" fillId="0" borderId="11" xfId="0" applyBorder="1" applyAlignment="1">
      <alignment horizontal="center"/>
    </xf>
    <xf numFmtId="164" fontId="0" fillId="0" borderId="9" xfId="0" applyNumberFormat="1" applyBorder="1"/>
    <xf numFmtId="164" fontId="0" fillId="0" borderId="10" xfId="0" applyNumberFormat="1" applyBorder="1" applyAlignment="1">
      <alignment horizontal="right"/>
    </xf>
    <xf numFmtId="0" fontId="0" fillId="0" borderId="10" xfId="0" applyBorder="1"/>
    <xf numFmtId="0" fontId="0" fillId="0" borderId="11" xfId="0" applyBorder="1" applyAlignment="1">
      <alignment horizontal="right"/>
    </xf>
    <xf numFmtId="0" fontId="0" fillId="0" borderId="9" xfId="0" applyBorder="1"/>
    <xf numFmtId="0" fontId="19" fillId="0" borderId="12" xfId="0" applyFont="1" applyBorder="1" applyAlignment="1">
      <alignment horizontal="center" vertical="center"/>
    </xf>
    <xf numFmtId="0" fontId="19" fillId="2" borderId="12" xfId="0" applyFont="1" applyFill="1" applyBorder="1" applyAlignment="1">
      <alignment horizontal="center" vertical="center"/>
    </xf>
    <xf numFmtId="166" fontId="19" fillId="0" borderId="12" xfId="0" applyNumberFormat="1" applyFont="1" applyBorder="1" applyAlignment="1">
      <alignment horizontal="center" vertical="center"/>
    </xf>
    <xf numFmtId="166" fontId="19" fillId="2" borderId="12" xfId="0" applyNumberFormat="1" applyFont="1" applyFill="1" applyBorder="1" applyAlignment="1">
      <alignment horizontal="right" vertical="center"/>
    </xf>
    <xf numFmtId="165" fontId="19" fillId="0" borderId="12" xfId="0" applyNumberFormat="1" applyFont="1" applyBorder="1" applyAlignment="1">
      <alignment horizontal="center" vertical="center"/>
    </xf>
    <xf numFmtId="0" fontId="19" fillId="2" borderId="12" xfId="0" applyFont="1" applyFill="1" applyBorder="1" applyAlignment="1">
      <alignment horizontal="right" vertical="center"/>
    </xf>
    <xf numFmtId="165" fontId="19" fillId="0" borderId="12" xfId="0" applyNumberFormat="1" applyFont="1" applyBorder="1" applyAlignment="1">
      <alignment horizontal="left" vertical="center"/>
    </xf>
    <xf numFmtId="0" fontId="19" fillId="0" borderId="12" xfId="0" applyFont="1" applyBorder="1" applyAlignment="1">
      <alignment horizontal="right" vertical="center"/>
    </xf>
    <xf numFmtId="0" fontId="19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top"/>
    </xf>
    <xf numFmtId="0" fontId="15" fillId="0" borderId="0" xfId="0" applyFont="1" applyAlignment="1">
      <alignment horizontal="right" vertical="center"/>
    </xf>
    <xf numFmtId="2" fontId="0" fillId="0" borderId="0" xfId="0" applyNumberFormat="1" applyAlignment="1">
      <alignment horizontal="right"/>
    </xf>
    <xf numFmtId="0" fontId="15" fillId="3" borderId="0" xfId="0" applyFont="1" applyFill="1" applyAlignment="1">
      <alignment horizontal="right"/>
    </xf>
    <xf numFmtId="164" fontId="0" fillId="0" borderId="0" xfId="0" applyNumberFormat="1"/>
    <xf numFmtId="164" fontId="0" fillId="3" borderId="0" xfId="0" applyNumberFormat="1" applyFill="1" applyAlignment="1">
      <alignment horizontal="right"/>
    </xf>
    <xf numFmtId="164" fontId="12" fillId="0" borderId="0" xfId="0" applyNumberFormat="1" applyFont="1" applyAlignment="1">
      <alignment horizontal="left"/>
    </xf>
    <xf numFmtId="165" fontId="0" fillId="0" borderId="0" xfId="0" applyNumberFormat="1" applyAlignment="1">
      <alignment horizontal="right"/>
    </xf>
    <xf numFmtId="165" fontId="0" fillId="0" borderId="0" xfId="0" quotePrefix="1" applyNumberFormat="1" applyAlignment="1">
      <alignment horizontal="right"/>
    </xf>
    <xf numFmtId="165" fontId="0" fillId="3" borderId="0" xfId="0" applyNumberFormat="1" applyFill="1" applyAlignment="1">
      <alignment horizontal="right"/>
    </xf>
    <xf numFmtId="1" fontId="0" fillId="0" borderId="0" xfId="0" applyNumberFormat="1"/>
    <xf numFmtId="165" fontId="15" fillId="0" borderId="0" xfId="0" applyNumberFormat="1" applyFont="1"/>
    <xf numFmtId="165" fontId="15" fillId="3" borderId="0" xfId="0" applyNumberFormat="1" applyFont="1" applyFill="1" applyAlignment="1">
      <alignment horizontal="right"/>
    </xf>
    <xf numFmtId="1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/>
    </xf>
    <xf numFmtId="165" fontId="0" fillId="0" borderId="0" xfId="0" quotePrefix="1" applyNumberFormat="1"/>
    <xf numFmtId="0" fontId="0" fillId="0" borderId="0" xfId="0" applyAlignment="1">
      <alignment horizontal="center" vertical="center"/>
    </xf>
    <xf numFmtId="165" fontId="15" fillId="0" borderId="0" xfId="0" applyNumberFormat="1" applyFont="1" applyAlignment="1">
      <alignment horizontal="right" vertical="center"/>
    </xf>
    <xf numFmtId="165" fontId="15" fillId="0" borderId="2" xfId="0" quotePrefix="1" applyNumberFormat="1" applyFont="1" applyBorder="1"/>
    <xf numFmtId="0" fontId="15" fillId="0" borderId="0" xfId="0" applyFont="1" applyAlignment="1">
      <alignment horizontal="center" vertical="center"/>
    </xf>
    <xf numFmtId="0" fontId="0" fillId="3" borderId="0" xfId="0" applyFill="1" applyAlignment="1">
      <alignment horizontal="right"/>
    </xf>
    <xf numFmtId="165" fontId="0" fillId="0" borderId="0" xfId="0" applyNumberFormat="1"/>
    <xf numFmtId="2" fontId="15" fillId="0" borderId="0" xfId="0" applyNumberFormat="1" applyFont="1" applyAlignment="1">
      <alignment horizontal="right"/>
    </xf>
    <xf numFmtId="164" fontId="0" fillId="0" borderId="10" xfId="0" applyNumberFormat="1" applyBorder="1"/>
    <xf numFmtId="1" fontId="0" fillId="0" borderId="10" xfId="0" applyNumberFormat="1" applyBorder="1"/>
    <xf numFmtId="1" fontId="0" fillId="0" borderId="10" xfId="0" applyNumberFormat="1" applyBorder="1" applyAlignment="1">
      <alignment horizontal="center" vertical="center"/>
    </xf>
    <xf numFmtId="1" fontId="0" fillId="0" borderId="10" xfId="0" applyNumberFormat="1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right" vertical="center"/>
    </xf>
    <xf numFmtId="166" fontId="0" fillId="0" borderId="0" xfId="0" applyNumberFormat="1"/>
    <xf numFmtId="166" fontId="0" fillId="0" borderId="0" xfId="0" applyNumberFormat="1" applyAlignment="1">
      <alignment horizontal="right"/>
    </xf>
    <xf numFmtId="165" fontId="0" fillId="0" borderId="2" xfId="0" applyNumberForma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0" xfId="0" applyAlignment="1">
      <alignment horizontal="left"/>
    </xf>
    <xf numFmtId="0" fontId="0" fillId="0" borderId="0" xfId="0" quotePrefix="1"/>
    <xf numFmtId="167" fontId="0" fillId="0" borderId="0" xfId="0" applyNumberFormat="1"/>
    <xf numFmtId="0" fontId="24" fillId="0" borderId="0" xfId="0" applyFont="1"/>
    <xf numFmtId="0" fontId="27" fillId="0" borderId="0" xfId="1" applyFont="1" applyAlignment="1">
      <alignment vertical="center" wrapText="1"/>
    </xf>
    <xf numFmtId="1" fontId="15" fillId="0" borderId="0" xfId="0" applyNumberFormat="1" applyFont="1" applyAlignment="1">
      <alignment horizontal="center" vertical="center"/>
    </xf>
    <xf numFmtId="0" fontId="28" fillId="0" borderId="0" xfId="1" applyFont="1" applyAlignment="1">
      <alignment vertical="center" wrapText="1"/>
    </xf>
    <xf numFmtId="167" fontId="12" fillId="0" borderId="4" xfId="0" applyNumberFormat="1" applyFont="1" applyBorder="1"/>
    <xf numFmtId="0" fontId="29" fillId="0" borderId="2" xfId="0" applyFont="1" applyBorder="1"/>
    <xf numFmtId="0" fontId="29" fillId="0" borderId="2" xfId="0" applyFont="1" applyBorder="1" applyAlignment="1">
      <alignment horizontal="center"/>
    </xf>
    <xf numFmtId="0" fontId="29" fillId="0" borderId="2" xfId="0" applyFont="1" applyBorder="1" applyAlignment="1">
      <alignment horizontal="right" vertical="center"/>
    </xf>
    <xf numFmtId="0" fontId="29" fillId="0" borderId="0" xfId="0" applyFont="1" applyAlignment="1">
      <alignment horizontal="center"/>
    </xf>
    <xf numFmtId="166" fontId="29" fillId="0" borderId="0" xfId="0" applyNumberFormat="1" applyFont="1"/>
    <xf numFmtId="166" fontId="29" fillId="0" borderId="0" xfId="0" applyNumberFormat="1" applyFont="1" applyAlignment="1">
      <alignment horizontal="right"/>
    </xf>
    <xf numFmtId="0" fontId="29" fillId="0" borderId="0" xfId="0" applyFont="1"/>
    <xf numFmtId="1" fontId="29" fillId="0" borderId="0" xfId="0" applyNumberFormat="1" applyFont="1" applyAlignment="1">
      <alignment horizontal="center" vertical="center"/>
    </xf>
    <xf numFmtId="1" fontId="29" fillId="0" borderId="0" xfId="0" applyNumberFormat="1" applyFont="1"/>
    <xf numFmtId="0" fontId="29" fillId="0" borderId="0" xfId="0" applyFont="1" applyAlignment="1">
      <alignment horizontal="right"/>
    </xf>
    <xf numFmtId="1" fontId="29" fillId="0" borderId="2" xfId="0" applyNumberFormat="1" applyFont="1" applyBorder="1"/>
    <xf numFmtId="165" fontId="29" fillId="0" borderId="0" xfId="0" applyNumberFormat="1" applyFont="1" applyAlignment="1">
      <alignment horizontal="right"/>
    </xf>
    <xf numFmtId="0" fontId="29" fillId="0" borderId="0" xfId="0" applyFont="1" applyAlignment="1">
      <alignment horizontal="center" vertical="center"/>
    </xf>
    <xf numFmtId="0" fontId="29" fillId="0" borderId="2" xfId="0" applyFont="1" applyBorder="1" applyAlignment="1">
      <alignment horizontal="right"/>
    </xf>
    <xf numFmtId="0" fontId="15" fillId="0" borderId="4" xfId="0" applyFont="1" applyBorder="1"/>
    <xf numFmtId="3" fontId="0" fillId="0" borderId="0" xfId="0" applyNumberFormat="1" applyAlignment="1">
      <alignment horizontal="center" vertical="center"/>
    </xf>
    <xf numFmtId="1" fontId="0" fillId="0" borderId="0" xfId="0" quotePrefix="1" applyNumberFormat="1" applyAlignment="1">
      <alignment horizontal="right"/>
    </xf>
    <xf numFmtId="0" fontId="29" fillId="0" borderId="0" xfId="0" applyFont="1" applyAlignment="1">
      <alignment horizontal="right"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center"/>
    </xf>
    <xf numFmtId="49" fontId="0" fillId="0" borderId="6" xfId="0" applyNumberFormat="1" applyBorder="1"/>
    <xf numFmtId="49" fontId="0" fillId="0" borderId="6" xfId="0" applyNumberFormat="1" applyBorder="1" applyAlignment="1">
      <alignment horizontal="center"/>
    </xf>
    <xf numFmtId="49" fontId="0" fillId="0" borderId="9" xfId="0" applyNumberFormat="1" applyBorder="1" applyAlignment="1">
      <alignment horizontal="center"/>
    </xf>
    <xf numFmtId="49" fontId="0" fillId="0" borderId="10" xfId="0" applyNumberFormat="1" applyBorder="1" applyAlignment="1">
      <alignment horizontal="center"/>
    </xf>
    <xf numFmtId="49" fontId="0" fillId="0" borderId="11" xfId="0" applyNumberFormat="1" applyBorder="1"/>
    <xf numFmtId="0" fontId="30" fillId="0" borderId="0" xfId="0" applyFont="1" applyAlignment="1">
      <alignment horizontal="center" vertical="center"/>
    </xf>
    <xf numFmtId="0" fontId="31" fillId="0" borderId="0" xfId="0" applyFont="1" applyAlignment="1">
      <alignment horizontal="left" vertical="top"/>
    </xf>
    <xf numFmtId="0" fontId="33" fillId="0" borderId="4" xfId="0" applyFont="1" applyBorder="1"/>
    <xf numFmtId="0" fontId="34" fillId="0" borderId="0" xfId="0" applyFont="1"/>
    <xf numFmtId="0" fontId="33" fillId="0" borderId="6" xfId="0" applyFont="1" applyBorder="1" applyAlignment="1">
      <alignment horizontal="right"/>
    </xf>
    <xf numFmtId="164" fontId="33" fillId="0" borderId="4" xfId="0" applyNumberFormat="1" applyFont="1" applyBorder="1"/>
    <xf numFmtId="0" fontId="33" fillId="0" borderId="0" xfId="0" applyFont="1"/>
    <xf numFmtId="0" fontId="33" fillId="0" borderId="11" xfId="0" applyFont="1" applyBorder="1" applyAlignment="1">
      <alignment horizontal="right"/>
    </xf>
    <xf numFmtId="165" fontId="36" fillId="0" borderId="12" xfId="0" applyNumberFormat="1" applyFont="1" applyBorder="1" applyAlignment="1">
      <alignment horizontal="center" vertical="center"/>
    </xf>
    <xf numFmtId="0" fontId="36" fillId="0" borderId="12" xfId="0" applyFont="1" applyBorder="1" applyAlignment="1">
      <alignment horizontal="center" vertical="center"/>
    </xf>
    <xf numFmtId="0" fontId="36" fillId="2" borderId="12" xfId="0" applyFont="1" applyFill="1" applyBorder="1" applyAlignment="1">
      <alignment horizontal="right" vertical="center"/>
    </xf>
    <xf numFmtId="165" fontId="34" fillId="0" borderId="0" xfId="0" applyNumberFormat="1" applyFont="1" applyAlignment="1">
      <alignment horizontal="right" vertical="center"/>
    </xf>
    <xf numFmtId="165" fontId="34" fillId="3" borderId="0" xfId="0" applyNumberFormat="1" applyFont="1" applyFill="1" applyAlignment="1">
      <alignment horizontal="right"/>
    </xf>
    <xf numFmtId="165" fontId="33" fillId="3" borderId="0" xfId="0" applyNumberFormat="1" applyFont="1" applyFill="1" applyAlignment="1">
      <alignment horizontal="right"/>
    </xf>
    <xf numFmtId="1" fontId="33" fillId="0" borderId="4" xfId="0" applyNumberFormat="1" applyFont="1" applyBorder="1"/>
    <xf numFmtId="165" fontId="36" fillId="0" borderId="12" xfId="0" applyNumberFormat="1" applyFont="1" applyBorder="1" applyAlignment="1">
      <alignment horizontal="left" vertical="center"/>
    </xf>
    <xf numFmtId="1" fontId="33" fillId="0" borderId="0" xfId="0" applyNumberFormat="1" applyFont="1" applyAlignment="1">
      <alignment horizontal="center" vertical="center"/>
    </xf>
    <xf numFmtId="165" fontId="34" fillId="0" borderId="0" xfId="0" applyNumberFormat="1" applyFont="1"/>
    <xf numFmtId="0" fontId="33" fillId="0" borderId="7" xfId="0" applyFont="1" applyBorder="1" applyAlignment="1">
      <alignment horizontal="center"/>
    </xf>
    <xf numFmtId="0" fontId="33" fillId="0" borderId="8" xfId="0" applyFont="1" applyBorder="1" applyAlignment="1">
      <alignment horizontal="center"/>
    </xf>
    <xf numFmtId="0" fontId="33" fillId="0" borderId="0" xfId="0" applyFont="1" applyAlignment="1">
      <alignment horizontal="center"/>
    </xf>
    <xf numFmtId="0" fontId="39" fillId="0" borderId="0" xfId="0" applyFont="1"/>
    <xf numFmtId="164" fontId="15" fillId="0" borderId="0" xfId="0" applyNumberFormat="1" applyFont="1"/>
    <xf numFmtId="164" fontId="40" fillId="0" borderId="0" xfId="0" applyNumberFormat="1" applyFont="1" applyAlignment="1">
      <alignment horizontal="left"/>
    </xf>
    <xf numFmtId="164" fontId="40" fillId="0" borderId="4" xfId="0" applyNumberFormat="1" applyFont="1" applyBorder="1"/>
    <xf numFmtId="167" fontId="15" fillId="0" borderId="2" xfId="0" quotePrefix="1" applyNumberFormat="1" applyFont="1" applyBorder="1"/>
    <xf numFmtId="0" fontId="42" fillId="0" borderId="0" xfId="0" applyFont="1"/>
    <xf numFmtId="164" fontId="42" fillId="0" borderId="4" xfId="0" applyNumberFormat="1" applyFont="1" applyBorder="1" applyAlignment="1">
      <alignment horizontal="center"/>
    </xf>
    <xf numFmtId="0" fontId="42" fillId="0" borderId="4" xfId="0" applyFont="1" applyBorder="1" applyAlignment="1">
      <alignment horizontal="center"/>
    </xf>
    <xf numFmtId="0" fontId="6" fillId="0" borderId="0" xfId="1" applyFont="1" applyBorder="1" applyAlignment="1">
      <alignment horizontal="left" vertical="top" wrapText="1"/>
    </xf>
    <xf numFmtId="0" fontId="15" fillId="0" borderId="0" xfId="0" applyFont="1" applyAlignment="1">
      <alignment horizontal="right"/>
    </xf>
    <xf numFmtId="0" fontId="47" fillId="0" borderId="4" xfId="0" applyFont="1" applyBorder="1"/>
    <xf numFmtId="0" fontId="47" fillId="0" borderId="0" xfId="0" applyFont="1"/>
    <xf numFmtId="0" fontId="47" fillId="0" borderId="0" xfId="0" applyFont="1" applyAlignment="1">
      <alignment horizontal="right"/>
    </xf>
    <xf numFmtId="0" fontId="47" fillId="0" borderId="6" xfId="0" applyFont="1" applyBorder="1" applyAlignment="1">
      <alignment horizontal="right"/>
    </xf>
    <xf numFmtId="9" fontId="48" fillId="0" borderId="4" xfId="0" applyNumberFormat="1" applyFont="1" applyBorder="1" applyAlignment="1">
      <alignment vertical="center"/>
    </xf>
    <xf numFmtId="0" fontId="49" fillId="0" borderId="0" xfId="0" applyFont="1" applyAlignment="1">
      <alignment vertical="center"/>
    </xf>
    <xf numFmtId="0" fontId="49" fillId="0" borderId="6" xfId="0" applyFont="1" applyBorder="1" applyAlignment="1">
      <alignment horizontal="right"/>
    </xf>
    <xf numFmtId="1" fontId="47" fillId="0" borderId="4" xfId="0" applyNumberFormat="1" applyFont="1" applyBorder="1"/>
    <xf numFmtId="9" fontId="48" fillId="0" borderId="0" xfId="0" applyNumberFormat="1" applyFont="1"/>
    <xf numFmtId="0" fontId="50" fillId="0" borderId="0" xfId="0" applyFont="1"/>
    <xf numFmtId="2" fontId="47" fillId="0" borderId="4" xfId="0" applyNumberFormat="1" applyFont="1" applyBorder="1"/>
    <xf numFmtId="165" fontId="47" fillId="0" borderId="0" xfId="0" applyNumberFormat="1" applyFont="1" applyAlignment="1">
      <alignment horizontal="center"/>
    </xf>
    <xf numFmtId="0" fontId="47" fillId="0" borderId="9" xfId="0" applyFont="1" applyBorder="1"/>
    <xf numFmtId="165" fontId="47" fillId="0" borderId="10" xfId="0" applyNumberFormat="1" applyFont="1" applyBorder="1" applyAlignment="1">
      <alignment horizontal="center"/>
    </xf>
    <xf numFmtId="0" fontId="47" fillId="0" borderId="10" xfId="0" applyFont="1" applyBorder="1"/>
    <xf numFmtId="0" fontId="47" fillId="0" borderId="11" xfId="0" applyFont="1" applyBorder="1" applyAlignment="1">
      <alignment horizontal="right"/>
    </xf>
    <xf numFmtId="0" fontId="0" fillId="0" borderId="0" xfId="0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37" fillId="0" borderId="5" xfId="0" applyNumberFormat="1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49" fontId="9" fillId="0" borderId="3" xfId="0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1" fontId="48" fillId="0" borderId="4" xfId="2" applyNumberFormat="1" applyFont="1" applyBorder="1" applyAlignment="1">
      <alignment vertical="center"/>
    </xf>
    <xf numFmtId="1" fontId="0" fillId="0" borderId="0" xfId="0" quotePrefix="1" applyNumberFormat="1"/>
    <xf numFmtId="0" fontId="52" fillId="0" borderId="0" xfId="0" applyFont="1" applyAlignment="1">
      <alignment vertical="center"/>
    </xf>
    <xf numFmtId="1" fontId="47" fillId="0" borderId="0" xfId="0" applyNumberFormat="1" applyFont="1"/>
    <xf numFmtId="0" fontId="0" fillId="0" borderId="0" xfId="0" applyAlignment="1">
      <alignment horizontal="left" vertical="center" wrapText="1"/>
    </xf>
    <xf numFmtId="0" fontId="49" fillId="0" borderId="0" xfId="0" applyFont="1"/>
    <xf numFmtId="0" fontId="48" fillId="0" borderId="0" xfId="0" applyFont="1"/>
    <xf numFmtId="0" fontId="54" fillId="0" borderId="0" xfId="0" applyFont="1"/>
    <xf numFmtId="165" fontId="15" fillId="0" borderId="0" xfId="0" quotePrefix="1" applyNumberFormat="1" applyFont="1"/>
    <xf numFmtId="164" fontId="12" fillId="3" borderId="0" xfId="0" applyNumberFormat="1" applyFont="1" applyFill="1" applyAlignment="1">
      <alignment horizontal="right"/>
    </xf>
    <xf numFmtId="1" fontId="15" fillId="0" borderId="0" xfId="0" applyNumberFormat="1" applyFont="1" applyAlignment="1">
      <alignment horizontal="center"/>
    </xf>
    <xf numFmtId="1" fontId="15" fillId="0" borderId="0" xfId="0" applyNumberFormat="1" applyFont="1" applyAlignment="1">
      <alignment horizontal="right"/>
    </xf>
    <xf numFmtId="165" fontId="15" fillId="0" borderId="0" xfId="0" quotePrefix="1" applyNumberFormat="1" applyFont="1" applyAlignment="1">
      <alignment horizontal="right"/>
    </xf>
    <xf numFmtId="1" fontId="15" fillId="0" borderId="0" xfId="0" quotePrefix="1" applyNumberFormat="1" applyFont="1" applyAlignment="1">
      <alignment horizontal="right"/>
    </xf>
    <xf numFmtId="167" fontId="33" fillId="0" borderId="0" xfId="0" applyNumberFormat="1" applyFont="1" applyAlignment="1">
      <alignment horizontal="right"/>
    </xf>
    <xf numFmtId="165" fontId="34" fillId="0" borderId="0" xfId="0" applyNumberFormat="1" applyFont="1" applyAlignment="1">
      <alignment horizontal="right"/>
    </xf>
    <xf numFmtId="167" fontId="33" fillId="0" borderId="0" xfId="0" quotePrefix="1" applyNumberFormat="1" applyFont="1" applyAlignment="1">
      <alignment horizontal="right"/>
    </xf>
    <xf numFmtId="165" fontId="15" fillId="0" borderId="0" xfId="0" applyNumberFormat="1" applyFont="1" applyAlignment="1">
      <alignment horizontal="right"/>
    </xf>
    <xf numFmtId="165" fontId="15" fillId="0" borderId="0" xfId="0" applyNumberFormat="1" applyFont="1" applyAlignment="1">
      <alignment horizontal="left"/>
    </xf>
    <xf numFmtId="0" fontId="0" fillId="0" borderId="0" xfId="0" applyProtection="1">
      <protection locked="0"/>
    </xf>
    <xf numFmtId="0" fontId="30" fillId="0" borderId="0" xfId="0" applyFont="1"/>
    <xf numFmtId="49" fontId="15" fillId="0" borderId="0" xfId="0" applyNumberFormat="1" applyFont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6" fillId="0" borderId="4" xfId="1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165" fontId="0" fillId="0" borderId="4" xfId="0" applyNumberFormat="1" applyBorder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9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65" fontId="47" fillId="0" borderId="0" xfId="0" applyNumberFormat="1" applyFont="1" applyAlignment="1">
      <alignment horizontal="center"/>
    </xf>
    <xf numFmtId="165" fontId="47" fillId="0" borderId="4" xfId="0" applyNumberFormat="1" applyFont="1" applyBorder="1" applyAlignment="1">
      <alignment horizontal="center"/>
    </xf>
    <xf numFmtId="0" fontId="53" fillId="0" borderId="4" xfId="0" applyFont="1" applyBorder="1" applyAlignment="1">
      <alignment horizontal="center" vertical="center" wrapText="1"/>
    </xf>
    <xf numFmtId="0" fontId="53" fillId="0" borderId="0" xfId="0" applyFont="1" applyAlignment="1">
      <alignment horizontal="center" vertical="center" wrapText="1"/>
    </xf>
    <xf numFmtId="0" fontId="53" fillId="0" borderId="6" xfId="0" applyFont="1" applyBorder="1" applyAlignment="1">
      <alignment horizontal="center" vertical="center" wrapText="1"/>
    </xf>
    <xf numFmtId="165" fontId="7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65" fontId="33" fillId="0" borderId="9" xfId="0" applyNumberFormat="1" applyFont="1" applyBorder="1" applyAlignment="1">
      <alignment horizontal="center"/>
    </xf>
    <xf numFmtId="165" fontId="33" fillId="0" borderId="10" xfId="0" applyNumberFormat="1" applyFont="1" applyBorder="1" applyAlignment="1">
      <alignment horizontal="center"/>
    </xf>
    <xf numFmtId="0" fontId="2" fillId="0" borderId="0" xfId="0" applyFont="1" applyAlignment="1">
      <alignment horizontal="center" vertical="top"/>
    </xf>
    <xf numFmtId="0" fontId="32" fillId="0" borderId="4" xfId="0" applyFont="1" applyBorder="1" applyAlignment="1">
      <alignment horizontal="center" vertical="center" wrapText="1"/>
    </xf>
    <xf numFmtId="0" fontId="32" fillId="0" borderId="0" xfId="0" applyFont="1" applyAlignment="1">
      <alignment horizontal="center" vertical="center" wrapText="1"/>
    </xf>
    <xf numFmtId="0" fontId="32" fillId="0" borderId="6" xfId="0" applyFont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center" vertical="center" wrapText="1"/>
    </xf>
    <xf numFmtId="49" fontId="8" fillId="0" borderId="2" xfId="0" applyNumberFormat="1" applyFont="1" applyBorder="1" applyAlignment="1">
      <alignment horizontal="center" vertical="center" wrapText="1"/>
    </xf>
    <xf numFmtId="49" fontId="8" fillId="0" borderId="3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46" fillId="0" borderId="4" xfId="0" applyFont="1" applyBorder="1" applyAlignment="1">
      <alignment horizontal="center" vertical="center" wrapText="1"/>
    </xf>
    <xf numFmtId="0" fontId="46" fillId="0" borderId="0" xfId="0" applyFont="1" applyAlignment="1">
      <alignment horizontal="center" vertical="center" wrapText="1"/>
    </xf>
    <xf numFmtId="0" fontId="46" fillId="0" borderId="6" xfId="0" applyFont="1" applyBorder="1" applyAlignment="1">
      <alignment horizontal="center" vertical="center" wrapText="1"/>
    </xf>
    <xf numFmtId="165" fontId="47" fillId="0" borderId="9" xfId="0" applyNumberFormat="1" applyFont="1" applyBorder="1" applyAlignment="1">
      <alignment horizontal="center"/>
    </xf>
    <xf numFmtId="165" fontId="47" fillId="0" borderId="10" xfId="0" applyNumberFormat="1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6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6" xfId="0" applyFont="1" applyBorder="1" applyAlignment="1">
      <alignment horizontal="center"/>
    </xf>
    <xf numFmtId="0" fontId="15" fillId="0" borderId="4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0" borderId="4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6" xfId="0" applyFont="1" applyBorder="1" applyAlignment="1">
      <alignment horizontal="center"/>
    </xf>
    <xf numFmtId="49" fontId="8" fillId="0" borderId="1" xfId="0" applyNumberFormat="1" applyFont="1" applyBorder="1" applyAlignment="1">
      <alignment horizontal="right"/>
    </xf>
    <xf numFmtId="49" fontId="8" fillId="0" borderId="2" xfId="0" applyNumberFormat="1" applyFont="1" applyBorder="1" applyAlignment="1">
      <alignment horizontal="right"/>
    </xf>
    <xf numFmtId="49" fontId="8" fillId="0" borderId="3" xfId="0" applyNumberFormat="1" applyFont="1" applyBorder="1" applyAlignment="1">
      <alignment horizontal="right"/>
    </xf>
    <xf numFmtId="0" fontId="9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</cellXfs>
  <cellStyles count="3">
    <cellStyle name="Hyperlink" xfId="1" builtinId="8"/>
    <cellStyle name="Normal" xfId="0" builtinId="0"/>
    <cellStyle name="Percent" xfId="2" builtinId="5"/>
  </cellStyles>
  <dxfs count="503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numFmt numFmtId="165" formatCode="[h]:mm:ss;@"/>
      <fill>
        <patternFill patternType="solid">
          <fgColor indexed="64"/>
          <bgColor theme="0" tint="-0.34998626667073579"/>
        </patternFill>
      </fill>
      <alignment horizontal="right" textRotation="0" indent="0" justifyLastLine="0" shrinkToFit="0" readingOrder="0"/>
    </dxf>
    <dxf>
      <fill>
        <patternFill patternType="none">
          <fgColor indexed="64"/>
          <bgColor indexed="65"/>
        </patternFill>
      </fill>
    </dxf>
    <dxf>
      <numFmt numFmtId="165" formatCode="[h]:mm:ss;@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charset val="1"/>
        <scheme val="minor"/>
      </font>
    </dxf>
    <dxf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charset val="1"/>
        <scheme val="minor"/>
      </font>
    </dxf>
    <dxf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charset val="1"/>
        <scheme val="minor"/>
      </font>
    </dxf>
    <dxf>
      <fill>
        <patternFill patternType="none">
          <fgColor indexed="64"/>
          <bgColor indexed="65"/>
        </patternFill>
      </fill>
    </dxf>
    <dxf>
      <numFmt numFmtId="0" formatCode="General"/>
    </dxf>
    <dxf>
      <fill>
        <patternFill patternType="none">
          <fgColor indexed="64"/>
          <bgColor indexed="65"/>
        </patternFill>
      </fill>
    </dxf>
    <dxf>
      <numFmt numFmtId="165" formatCode="[h]:mm:ss;@"/>
      <fill>
        <patternFill patternType="solid">
          <fgColor indexed="64"/>
          <bgColor theme="0" tint="-0.34998626667073579"/>
        </patternFill>
      </fill>
      <alignment horizontal="right" textRotation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charset val="1"/>
        <scheme val="minor"/>
      </font>
      <numFmt numFmtId="165" formatCode="[h]:mm:ss;@"/>
    </dxf>
    <dxf>
      <fill>
        <patternFill patternType="none">
          <fgColor indexed="64"/>
          <bgColor indexed="65"/>
        </patternFill>
      </fill>
    </dxf>
    <dxf>
      <numFmt numFmtId="0" formatCode="General"/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65" formatCode="[h]:mm:ss;@"/>
      <fill>
        <patternFill patternType="solid">
          <fgColor indexed="64"/>
          <bgColor theme="0" tint="-0.34998626667073579"/>
        </patternFill>
      </fill>
      <alignment horizontal="right" textRotation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65" formatCode="[h]:mm:ss;@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0" formatCode="General"/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numFmt numFmtId="0" formatCode="General"/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numFmt numFmtId="0" formatCode="General"/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numFmt numFmtId="0" formatCode="General"/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numFmt numFmtId="0" formatCode="General"/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numFmt numFmtId="165" formatCode="[h]:mm:ss;@"/>
      <fill>
        <patternFill patternType="solid">
          <fgColor indexed="64"/>
          <bgColor theme="0" tint="-0.34998626667073579"/>
        </patternFill>
      </fill>
      <alignment horizontal="right" textRotation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sz val="10"/>
      </font>
      <numFmt numFmtId="165" formatCode="[h]:mm:ss;@"/>
    </dxf>
    <dxf>
      <fill>
        <patternFill patternType="none">
          <fgColor indexed="64"/>
          <bgColor indexed="65"/>
        </patternFill>
      </fill>
    </dxf>
    <dxf>
      <numFmt numFmtId="165" formatCode="[h]:mm:ss;@"/>
    </dxf>
    <dxf>
      <fill>
        <patternFill patternType="none">
          <fgColor indexed="64"/>
          <bgColor indexed="65"/>
        </patternFill>
      </fill>
    </dxf>
    <dxf>
      <numFmt numFmtId="165" formatCode="[h]:mm:ss;@"/>
      <fill>
        <patternFill patternType="solid">
          <fgColor indexed="64"/>
          <bgColor theme="0" tint="-0.34998626667073579"/>
        </patternFill>
      </fill>
      <alignment horizontal="right" textRotation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charset val="1"/>
        <scheme val="minor"/>
      </font>
      <numFmt numFmtId="165" formatCode="[h]:mm:ss;@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numFmt numFmtId="165" formatCode="[h]:mm:ss;@"/>
      <fill>
        <patternFill patternType="none">
          <fgColor indexed="64"/>
          <bgColor indexed="65"/>
        </patternFill>
      </fill>
    </dxf>
    <dxf>
      <numFmt numFmtId="165" formatCode="[h]:mm:ss;@"/>
      <fill>
        <patternFill patternType="solid">
          <fgColor indexed="64"/>
          <bgColor theme="0" tint="-0.34998626667073579"/>
        </patternFill>
      </fill>
      <alignment horizontal="right" textRotation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65" formatCode="[h]:mm:ss;@"/>
    </dxf>
    <dxf>
      <fill>
        <patternFill patternType="none">
          <fgColor indexed="64"/>
          <bgColor indexed="65"/>
        </patternFill>
      </fill>
    </dxf>
    <dxf>
      <numFmt numFmtId="0" formatCode="General"/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numFmt numFmtId="1" formatCode="0"/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charset val="1"/>
        <scheme val="minor"/>
      </font>
      <numFmt numFmtId="165" formatCode="[h]:mm:ss;@"/>
      <fill>
        <patternFill patternType="solid">
          <fgColor indexed="64"/>
          <bgColor theme="0" tint="-0.34998626667073579"/>
        </patternFill>
      </fill>
      <alignment horizontal="right" textRotation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charset val="1"/>
        <scheme val="minor"/>
      </font>
      <numFmt numFmtId="165" formatCode="[h]:mm:ss;@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65" formatCode="[h]:mm:ss;@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65" formatCode="[h]:mm:ss;@"/>
      <fill>
        <patternFill patternType="solid">
          <fgColor indexed="64"/>
          <bgColor theme="0" tint="-0.34998626667073579"/>
        </patternFill>
      </fill>
      <alignment horizontal="right" textRotation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charset val="1"/>
        <scheme val="minor"/>
      </font>
      <numFmt numFmtId="165" formatCode="[h]:mm:ss;@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65" formatCode="[h]:mm:ss;@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1"/>
        <scheme val="minor"/>
      </font>
      <numFmt numFmtId="165" formatCode="[h]:mm:ss;@"/>
      <fill>
        <patternFill patternType="solid">
          <fgColor indexed="64"/>
          <bgColor theme="0" tint="-0.34998626667073579"/>
        </patternFill>
      </fill>
      <alignment horizontal="right" textRotation="0" indent="0" justifyLastLine="0" shrinkToFit="0" readingOrder="0"/>
    </dxf>
    <dxf>
      <numFmt numFmtId="165" formatCode="[h]:mm:ss;@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charset val="1"/>
        <scheme val="minor"/>
      </font>
      <numFmt numFmtId="165" formatCode="[h]:mm:ss;@"/>
      <fill>
        <patternFill patternType="none">
          <fgColor indexed="64"/>
          <bgColor indexed="65"/>
        </patternFill>
      </fill>
    </dxf>
    <dxf>
      <numFmt numFmtId="165" formatCode="[h]:mm:ss;@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" formatCode="0"/>
      <fill>
        <patternFill patternType="none">
          <fgColor indexed="64"/>
          <bgColor indexed="65"/>
        </patternFill>
      </fill>
    </dxf>
    <dxf>
      <numFmt numFmtId="1" formatCode="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1"/>
        <scheme val="minor"/>
      </font>
      <numFmt numFmtId="165" formatCode="[h]:mm:ss;@"/>
      <fill>
        <patternFill patternType="solid">
          <fgColor indexed="64"/>
          <bgColor theme="0" tint="-0.34998626667073579"/>
        </patternFill>
      </fill>
      <alignment horizontal="right" textRotation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charset val="1"/>
        <scheme val="minor"/>
      </font>
      <numFmt numFmtId="165" formatCode="[h]:mm:ss;@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" formatCode="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65" formatCode="[h]:mm:ss;@"/>
      <fill>
        <patternFill patternType="solid">
          <fgColor indexed="64"/>
          <bgColor theme="0" tint="-0.34998626667073579"/>
        </patternFill>
      </fill>
      <alignment horizontal="right" textRotation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65" formatCode="[h]:mm:ss;@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1" formatCode="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65" formatCode="[h]:mm:ss;@"/>
      <fill>
        <patternFill patternType="solid">
          <fgColor indexed="64"/>
          <bgColor theme="0" tint="-0.34998626667073579"/>
        </patternFill>
      </fill>
      <alignment horizontal="right" textRotation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charset val="1"/>
        <scheme val="minor"/>
      </font>
      <numFmt numFmtId="165" formatCode="[h]:mm:ss;@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1" formatCode="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1"/>
        <scheme val="minor"/>
      </font>
      <numFmt numFmtId="165" formatCode="[h]:mm:ss;@"/>
      <fill>
        <patternFill patternType="solid">
          <fgColor indexed="64"/>
          <bgColor theme="0" tint="-0.34998626667073579"/>
        </patternFill>
      </fill>
      <alignment horizontal="right" textRotation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charset val="1"/>
        <scheme val="minor"/>
      </font>
      <numFmt numFmtId="165" formatCode="[h]:mm:ss;@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1" formatCode="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1"/>
        <scheme val="minor"/>
      </font>
      <numFmt numFmtId="165" formatCode="[h]:mm:ss;@"/>
      <fill>
        <patternFill patternType="solid">
          <fgColor indexed="64"/>
          <bgColor theme="0" tint="-0.34998626667073579"/>
        </patternFill>
      </fill>
      <alignment horizontal="right" textRotation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charset val="1"/>
        <scheme val="minor"/>
      </font>
      <numFmt numFmtId="165" formatCode="[h]:mm:ss;@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" formatCode="0"/>
      <fill>
        <patternFill patternType="none">
          <fgColor indexed="64"/>
          <bgColor indexed="65"/>
        </patternFill>
      </fill>
    </dxf>
    <dxf>
      <numFmt numFmtId="1" formatCode="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65" formatCode="[h]:mm:ss;@"/>
      <fill>
        <patternFill patternType="solid">
          <fgColor indexed="64"/>
          <bgColor theme="0" tint="-0.34998626667073579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65" formatCode="[h]:mm:ss;@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numFmt numFmtId="165" formatCode="[h]:mm:ss;@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numFmt numFmtId="165" formatCode="[h]:mm:ss;@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charset val="1"/>
        <scheme val="minor"/>
      </font>
      <numFmt numFmtId="164" formatCode="0.000"/>
      <fill>
        <patternFill patternType="solid">
          <fgColor indexed="64"/>
          <bgColor theme="0" tint="-0.34998626667073579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charset val="1"/>
        <scheme val="minor"/>
      </font>
      <numFmt numFmtId="164" formatCode="0.00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64" formatCode="0.000"/>
      <fill>
        <patternFill patternType="solid">
          <fgColor indexed="64"/>
          <bgColor theme="0" tint="-0.34998626667073579"/>
        </patternFill>
      </fill>
      <alignment horizontal="right" textRotation="0" indent="0" justifyLastLine="0" shrinkToFit="0" readingOrder="0"/>
    </dxf>
    <dxf>
      <numFmt numFmtId="166" formatCode="0.00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64" formatCode="0.000"/>
      <fill>
        <patternFill patternType="none">
          <fgColor indexed="64"/>
          <bgColor indexed="65"/>
        </patternFill>
      </fill>
    </dxf>
    <dxf>
      <numFmt numFmtId="166" formatCode="0.00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numFmt numFmtId="0" formatCode="General"/>
      <fill>
        <patternFill>
          <fgColor indexed="64"/>
          <bgColor theme="0" tint="-0.34998626667073579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1"/>
        <scheme val="minor"/>
      </font>
      <numFmt numFmtId="2" formatCode="0.00"/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charset val="1"/>
        <scheme val="minor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charset val="1"/>
        <scheme val="minor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charset val="1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alignment horizontal="left" vertical="top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30" formatCode="@"/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rgb="FF000000"/>
          <bgColor rgb="FFFFFFFF"/>
        </patternFill>
      </fill>
    </dxf>
    <dxf>
      <fill>
        <patternFill patternType="none">
          <fgColor indexed="64"/>
          <bgColor indexed="65"/>
        </patternFill>
      </fill>
    </dxf>
    <dxf>
      <numFmt numFmtId="165" formatCode="[h]:mm:ss;@"/>
      <fill>
        <patternFill patternType="solid">
          <fgColor indexed="64"/>
          <bgColor theme="0" tint="-0.34998626667073579"/>
        </patternFill>
      </fill>
      <alignment horizontal="right" textRotation="0" indent="0" justifyLastLine="0" shrinkToFit="0" readingOrder="0"/>
    </dxf>
    <dxf>
      <numFmt numFmtId="165" formatCode="[h]:mm:ss;@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charset val="1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charset val="1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charset val="1"/>
        <scheme val="minor"/>
      </font>
    </dxf>
    <dxf>
      <numFmt numFmtId="0" formatCode="General"/>
    </dxf>
    <dxf>
      <numFmt numFmtId="165" formatCode="[h]:mm:ss;@"/>
      <fill>
        <patternFill patternType="solid">
          <fgColor indexed="64"/>
          <bgColor theme="0" tint="-0.34998626667073579"/>
        </patternFill>
      </fill>
      <alignment horizontal="right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charset val="1"/>
        <scheme val="minor"/>
      </font>
      <numFmt numFmtId="165" formatCode="[h]:mm:ss;@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numFmt numFmtId="165" formatCode="[h]:mm:ss;@"/>
      <fill>
        <patternFill patternType="solid">
          <fgColor indexed="64"/>
          <bgColor theme="0" tint="-0.34998626667073579"/>
        </patternFill>
      </fill>
      <alignment horizontal="right" textRotation="0" indent="0" justifyLastLine="0" shrinkToFit="0" readingOrder="0"/>
    </dxf>
    <dxf>
      <fill>
        <patternFill patternType="none">
          <fgColor indexed="64"/>
          <bgColor indexed="65"/>
        </patternFill>
      </fill>
    </dxf>
    <dxf>
      <numFmt numFmtId="165" formatCode="[h]:mm:ss;@"/>
      <fill>
        <patternFill patternType="none">
          <fgColor indexed="64"/>
          <bgColor indexed="65"/>
        </patternFill>
      </fill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65" formatCode="[h]:mm:ss;@"/>
      <fill>
        <patternFill patternType="solid">
          <fgColor indexed="64"/>
          <bgColor theme="0" tint="-0.34998626667073579"/>
        </patternFill>
      </fill>
      <alignment horizontal="right" textRotation="0" indent="0" justifyLastLine="0" shrinkToFit="0" readingOrder="0"/>
    </dxf>
    <dxf>
      <font>
        <sz val="10"/>
      </font>
      <numFmt numFmtId="165" formatCode="[h]:mm:ss;@"/>
    </dxf>
    <dxf>
      <numFmt numFmtId="165" formatCode="[h]:mm:ss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/>
        <name val="Calibri"/>
        <family val="2"/>
        <scheme val="minor"/>
      </font>
      <numFmt numFmtId="165" formatCode="[h]:mm:ss;@"/>
      <fill>
        <patternFill patternType="solid">
          <fgColor indexed="64"/>
          <bgColor theme="0" tint="-0.34998626667073579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/>
        <name val="Calibri"/>
        <family val="2"/>
        <scheme val="minor"/>
      </font>
      <numFmt numFmtId="165" formatCode="[h]:mm:ss;@"/>
      <fill>
        <patternFill patternType="solid">
          <fgColor indexed="64"/>
          <bgColor theme="0" tint="-0.34998626667073579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/>
        <name val="Calibri"/>
        <family val="2"/>
        <scheme val="minor"/>
      </font>
      <numFmt numFmtId="167" formatCode="0.0"/>
      <fill>
        <patternFill patternType="solid">
          <fgColor indexed="64"/>
          <bgColor theme="0" tint="-0.34998626667073579"/>
        </patternFill>
      </fill>
      <alignment horizontal="right" vertical="bottom" textRotation="0" wrapText="0" indent="0" justifyLastLine="0" shrinkToFit="0" readingOrder="0"/>
    </dxf>
    <dxf>
      <font>
        <strike val="0"/>
        <outline val="0"/>
        <shadow val="0"/>
        <color theme="4"/>
        <name val="Calibri"/>
        <family val="2"/>
        <scheme val="minor"/>
      </font>
      <numFmt numFmtId="165" formatCode="[h]:mm:ss;@"/>
      <fill>
        <patternFill patternType="solid">
          <fgColor indexed="64"/>
          <bgColor theme="0" tint="-0.34998626667073579"/>
        </patternFill>
      </fill>
      <alignment horizontal="right" textRotation="0" indent="0" justifyLastLine="0" shrinkToFit="0" readingOrder="0"/>
    </dxf>
    <dxf>
      <font>
        <strike val="0"/>
        <outline val="0"/>
        <shadow val="0"/>
        <color theme="4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  <color theme="4"/>
        <name val="Calibri"/>
        <family val="2"/>
        <scheme val="minor"/>
      </font>
      <numFmt numFmtId="165" formatCode="[h]:mm:ss;@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numFmt numFmtId="165" formatCode="[h]:mm:ss;@"/>
      <fill>
        <patternFill patternType="solid">
          <fgColor indexed="64"/>
          <bgColor theme="0" tint="-0.34998626667073579"/>
        </patternFill>
      </fill>
      <alignment horizontal="right" textRotation="0" indent="0" justifyLastLine="0" shrinkToFit="0" readingOrder="0"/>
    </dxf>
    <dxf>
      <fill>
        <patternFill patternType="none">
          <fgColor indexed="64"/>
          <bgColor indexed="65"/>
        </patternFill>
      </fill>
    </dxf>
    <dxf>
      <numFmt numFmtId="165" formatCode="[h]:mm:ss;@"/>
    </dxf>
    <dxf>
      <numFmt numFmtId="0" formatCode="General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1"/>
        <scheme val="minor"/>
      </font>
      <numFmt numFmtId="165" formatCode="[h]:mm:ss;@"/>
      <fill>
        <patternFill patternType="solid">
          <fgColor indexed="64"/>
          <bgColor theme="0" tint="-0.34998626667073579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1"/>
        <scheme val="minor"/>
      </font>
      <numFmt numFmtId="165" formatCode="[h]:mm:ss;@"/>
      <fill>
        <patternFill patternType="solid">
          <fgColor indexed="64"/>
          <bgColor theme="0" tint="-0.34998626667073579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1"/>
        <scheme val="minor"/>
      </font>
      <numFmt numFmtId="1" formatCode="0"/>
      <fill>
        <patternFill patternType="solid">
          <fgColor indexed="64"/>
          <bgColor theme="0" tint="-0.34998626667073579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1"/>
        <scheme val="minor"/>
      </font>
      <numFmt numFmtId="165" formatCode="[h]:mm:ss;@"/>
      <fill>
        <patternFill patternType="solid">
          <fgColor indexed="64"/>
          <bgColor theme="0" tint="-0.34998626667073579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4"/>
        <name val="Calibri"/>
        <family val="2"/>
        <scheme val="minor"/>
      </font>
      <numFmt numFmtId="165" formatCode="[h]:mm:ss;@"/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1"/>
        <scheme val="minor"/>
      </font>
      <numFmt numFmtId="165" formatCode="[h]:mm:ss;@"/>
      <fill>
        <patternFill patternType="solid">
          <fgColor indexed="64"/>
          <bgColor theme="0" tint="-0.34998626667073579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1"/>
        <scheme val="minor"/>
      </font>
      <numFmt numFmtId="165" formatCode="[h]:mm:ss;@"/>
      <fill>
        <patternFill patternType="solid">
          <fgColor indexed="64"/>
          <bgColor theme="0" tint="-0.34998626667073579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1"/>
        <scheme val="minor"/>
      </font>
      <numFmt numFmtId="165" formatCode="[h]:mm:ss;@"/>
      <fill>
        <patternFill patternType="solid">
          <fgColor indexed="64"/>
          <bgColor theme="0" tint="-0.34998626667073579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1"/>
        <scheme val="minor"/>
      </font>
      <numFmt numFmtId="165" formatCode="[h]:mm:ss;@"/>
      <fill>
        <patternFill patternType="solid">
          <fgColor indexed="64"/>
          <bgColor theme="0" tint="-0.34998626667073579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1"/>
        <scheme val="minor"/>
      </font>
      <numFmt numFmtId="165" formatCode="[h]:mm:ss;@"/>
      <fill>
        <patternFill patternType="solid">
          <fgColor indexed="64"/>
          <bgColor theme="0" tint="-0.34998626667073579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1"/>
        <scheme val="minor"/>
      </font>
      <numFmt numFmtId="165" formatCode="[h]:mm:ss;@"/>
      <fill>
        <patternFill patternType="solid">
          <fgColor indexed="64"/>
          <bgColor theme="0" tint="-0.34998626667073579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1"/>
        <scheme val="minor"/>
      </font>
      <numFmt numFmtId="165" formatCode="[h]:mm:ss;@"/>
      <fill>
        <patternFill patternType="solid">
          <fgColor indexed="64"/>
          <bgColor theme="0" tint="-0.34998626667073579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1"/>
        <scheme val="minor"/>
      </font>
      <numFmt numFmtId="1" formatCode="0"/>
      <fill>
        <patternFill patternType="solid">
          <fgColor indexed="64"/>
          <bgColor theme="0" tint="-0.34998626667073579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1"/>
        <scheme val="minor"/>
      </font>
      <numFmt numFmtId="165" formatCode="[h]:mm:ss;@"/>
      <fill>
        <patternFill patternType="solid">
          <fgColor indexed="64"/>
          <bgColor theme="0" tint="-0.34998626667073579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1"/>
        <scheme val="minor"/>
      </font>
      <numFmt numFmtId="165" formatCode="[h]:mm:ss;@"/>
      <fill>
        <patternFill patternType="solid">
          <fgColor indexed="64"/>
          <bgColor theme="0" tint="-0.34998626667073579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1"/>
        <scheme val="minor"/>
      </font>
      <numFmt numFmtId="165" formatCode="[h]:mm:ss;@"/>
      <fill>
        <patternFill patternType="solid">
          <fgColor indexed="64"/>
          <bgColor theme="0" tint="-0.34998626667073579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1"/>
        <scheme val="minor"/>
      </font>
      <numFmt numFmtId="1" formatCode="0"/>
      <fill>
        <patternFill patternType="solid">
          <fgColor indexed="64"/>
          <bgColor theme="0" tint="-0.34998626667073579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charset val="1"/>
        <scheme val="minor"/>
      </font>
      <numFmt numFmtId="165" formatCode="[h]:mm:ss;@"/>
      <fill>
        <patternFill patternType="solid">
          <fgColor indexed="64"/>
          <bgColor theme="0" tint="-0.34998626667073579"/>
        </patternFill>
      </fill>
      <alignment horizontal="right" textRotation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charset val="1"/>
        <scheme val="minor"/>
      </font>
      <numFmt numFmtId="165" formatCode="[h]:mm:ss;@"/>
      <fill>
        <patternFill patternType="none">
          <fgColor indexed="64"/>
          <bgColor indexed="65"/>
        </patternFill>
      </fill>
    </dxf>
    <dxf>
      <numFmt numFmtId="165" formatCode="[h]:mm:ss;@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65" formatCode="[h]:mm:ss;@"/>
      <fill>
        <patternFill patternType="solid">
          <fgColor indexed="64"/>
          <bgColor theme="0" tint="-0.34998626667073579"/>
        </patternFill>
      </fill>
      <alignment horizontal="right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charset val="1"/>
        <scheme val="minor"/>
      </font>
      <numFmt numFmtId="165" formatCode="[h]:mm:ss;@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65" formatCode="[h]:mm:ss;@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1"/>
        <scheme val="minor"/>
      </font>
      <numFmt numFmtId="165" formatCode="[h]:mm:ss;@"/>
      <fill>
        <patternFill patternType="solid">
          <fgColor indexed="64"/>
          <bgColor theme="0" tint="-0.34998626667073579"/>
        </patternFill>
      </fill>
      <alignment horizontal="right" textRotation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charset val="1"/>
        <scheme val="minor"/>
      </font>
      <numFmt numFmtId="165" formatCode="[h]:mm:ss;@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" formatCode="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1"/>
        <scheme val="minor"/>
      </font>
      <numFmt numFmtId="165" formatCode="[h]:mm:ss;@"/>
      <fill>
        <patternFill patternType="solid">
          <fgColor indexed="64"/>
          <bgColor theme="0" tint="-0.34998626667073579"/>
        </patternFill>
      </fill>
      <alignment horizontal="right" textRotation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charset val="1"/>
        <scheme val="minor"/>
      </font>
      <numFmt numFmtId="165" formatCode="[h]:mm:ss;@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vertAlign val="baseline"/>
        <color theme="4"/>
        <name val="Calibri"/>
        <family val="2"/>
        <scheme val="minor"/>
      </font>
      <numFmt numFmtId="165" formatCode="[h]:mm:ss;@"/>
      <fill>
        <patternFill patternType="solid">
          <fgColor indexed="64"/>
          <bgColor theme="0" tint="-0.34998626667073579"/>
        </patternFill>
      </fill>
      <alignment horizontal="right" textRotation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theme="4"/>
        <name val="Calibri"/>
        <family val="2"/>
        <scheme val="minor"/>
      </font>
      <numFmt numFmtId="165" formatCode="[h]:mm:ss;@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color theme="4"/>
        <name val="Calibri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numFmt numFmtId="165" formatCode="[h]:mm:ss;@"/>
      <fill>
        <patternFill patternType="solid">
          <fgColor indexed="64"/>
          <bgColor theme="0" tint="-0.34998626667073579"/>
        </patternFill>
      </fill>
      <alignment horizontal="right" textRotation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charset val="1"/>
        <scheme val="minor"/>
      </font>
      <numFmt numFmtId="165" formatCode="[h]:mm:ss;@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1"/>
        <scheme val="minor"/>
      </font>
      <numFmt numFmtId="165" formatCode="[h]:mm:ss;@"/>
      <fill>
        <patternFill patternType="solid">
          <fgColor indexed="64"/>
          <bgColor theme="0" tint="-0.34998626667073579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1"/>
        <scheme val="minor"/>
      </font>
      <numFmt numFmtId="165" formatCode="[h]:mm:ss;@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1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1"/>
        <scheme val="minor"/>
      </font>
      <numFmt numFmtId="165" formatCode="[h]:mm:ss;@"/>
      <fill>
        <patternFill patternType="solid">
          <fgColor indexed="64"/>
          <bgColor theme="0" tint="-0.34998626667073579"/>
        </patternFill>
      </fill>
      <alignment horizontal="right" textRotation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charset val="1"/>
        <scheme val="minor"/>
      </font>
      <numFmt numFmtId="165" formatCode="[h]:mm:ss;@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charset val="1"/>
        <scheme val="minor"/>
      </font>
      <numFmt numFmtId="1" formatCode="0"/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charset val="1"/>
        <scheme val="minor"/>
      </font>
      <numFmt numFmtId="1" formatCode="0"/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charset val="1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1"/>
        <scheme val="minor"/>
      </font>
      <numFmt numFmtId="165" formatCode="[h]:mm:ss;@"/>
      <fill>
        <patternFill patternType="solid">
          <fgColor indexed="64"/>
          <bgColor theme="0" tint="-0.34998626667073579"/>
        </patternFill>
      </fill>
      <alignment horizontal="right" textRotation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charset val="1"/>
        <scheme val="minor"/>
      </font>
      <numFmt numFmtId="165" formatCode="[h]:mm:ss;@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" formatCode="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65" formatCode="[h]:mm:ss;@"/>
      <fill>
        <patternFill patternType="solid">
          <fgColor indexed="64"/>
          <bgColor theme="0" tint="-0.34998626667073579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" formatCode="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numFmt numFmtId="165" formatCode="[h]:mm:ss;@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charset val="1"/>
        <scheme val="minor"/>
      </font>
      <numFmt numFmtId="164" formatCode="0.000"/>
      <fill>
        <patternFill patternType="solid">
          <fgColor indexed="64"/>
          <bgColor theme="0" tint="-0.34998626667073579"/>
        </patternFill>
      </fill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4"/>
        <name val="Calibri"/>
        <family val="2"/>
        <charset val="1"/>
        <scheme val="minor"/>
      </font>
      <numFmt numFmtId="164" formatCode="0.00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numFmt numFmtId="164" formatCode="0.000"/>
      <fill>
        <patternFill patternType="solid">
          <fgColor indexed="64"/>
          <bgColor theme="0" tint="-0.34998626667073579"/>
        </patternFill>
      </fill>
      <alignment horizontal="right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charset val="1"/>
        <scheme val="minor"/>
      </font>
      <numFmt numFmtId="164" formatCode="0.0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numFmt numFmtId="0" formatCode="General"/>
      <fill>
        <patternFill>
          <fgColor indexed="64"/>
          <bgColor theme="0" tint="-0.34998626667073579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1"/>
        <scheme val="minor"/>
      </font>
      <numFmt numFmtId="2" formatCode="0.00"/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charset val="1"/>
        <scheme val="minor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charset val="1"/>
        <scheme val="minor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charset val="1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4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alignment horizontal="left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numFmt numFmtId="30" formatCode="@"/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ill>
        <patternFill patternType="none"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9"/>
        <color theme="0" tint="-0.14999847407452621"/>
        <name val="Calibri"/>
        <family val="2"/>
        <scheme val="minor"/>
      </font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307</xdr:row>
      <xdr:rowOff>179293</xdr:rowOff>
    </xdr:from>
    <xdr:to>
      <xdr:col>131</xdr:col>
      <xdr:colOff>420882</xdr:colOff>
      <xdr:row>310</xdr:row>
      <xdr:rowOff>3793</xdr:rowOff>
    </xdr:to>
    <xdr:sp macro="" textlink="">
      <xdr:nvSpPr>
        <xdr:cNvPr id="2" name="Rectangle 1" descr="Okvir za lakše praćenje redova.&#10;Obrisati nakon završetka proračuna i unosa u GS.">
          <a:extLst>
            <a:ext uri="{FF2B5EF4-FFF2-40B4-BE49-F238E27FC236}">
              <a16:creationId xmlns:a16="http://schemas.microsoft.com/office/drawing/2014/main" id="{1DEE8E2D-2105-487D-B63C-A80873BD6AA3}"/>
            </a:ext>
            <a:ext uri="{C183D7F6-B498-43B3-948B-1728B52AA6E4}">
              <adec:decorative xmlns:adec="http://schemas.microsoft.com/office/drawing/2017/decorative" val="0"/>
            </a:ext>
          </a:extLst>
        </xdr:cNvPr>
        <xdr:cNvSpPr/>
      </xdr:nvSpPr>
      <xdr:spPr>
        <a:xfrm>
          <a:off x="0" y="9345705"/>
          <a:ext cx="47418353" cy="396000"/>
        </a:xfrm>
        <a:prstGeom prst="rect">
          <a:avLst/>
        </a:prstGeom>
        <a:noFill/>
        <a:ln w="114300">
          <a:solidFill>
            <a:srgbClr val="C00000">
              <a:alpha val="50000"/>
            </a:srgb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r"/>
          <a:r>
            <a:rPr lang="bs-Latn-BA" sz="900">
              <a:solidFill>
                <a:srgbClr val="C00000">
                  <a:alpha val="60000"/>
                </a:srgbClr>
              </a:solidFill>
            </a:rPr>
            <a:t>Obrisati</a:t>
          </a:r>
          <a:r>
            <a:rPr lang="bs-Latn-BA" sz="900" baseline="0">
              <a:solidFill>
                <a:srgbClr val="C00000">
                  <a:alpha val="60000"/>
                </a:srgbClr>
              </a:solidFill>
            </a:rPr>
            <a:t> okvir po završetku unosa u GS</a:t>
          </a:r>
          <a:r>
            <a:rPr lang="bs-Latn-BA" sz="900" baseline="0">
              <a:solidFill>
                <a:srgbClr val="FF0000"/>
              </a:solidFill>
            </a:rPr>
            <a:t>.</a:t>
          </a:r>
          <a:endParaRPr lang="bs-Latn-BA" sz="900">
            <a:solidFill>
              <a:srgbClr val="FF0000"/>
            </a:solidFill>
          </a:endParaRPr>
        </a:p>
      </xdr:txBody>
    </xdr:sp>
    <xdr:clientData fPrintsWithSheet="0"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026648E-9793-464E-9290-92B743649371}" name="Table645" displayName="Table645" ref="A9:DY300" headerRowDxfId="502" dataDxfId="501">
  <autoFilter ref="A9:DY300" xr:uid="{9026648E-9793-464E-9290-92B743649371}"/>
  <tableColumns count="129">
    <tableColumn id="1" xr3:uid="{862D3910-B5D8-42A5-85F2-A96070DD8EC4}" name="Column1" totalsRowLabel="Total" dataDxfId="500"/>
    <tableColumn id="51" xr3:uid="{ABAD5A47-4626-4C57-A18A-3D5A208D5556}" name="Column2" dataDxfId="499" totalsRowDxfId="498"/>
    <tableColumn id="71" xr3:uid="{9A78AB3F-5A59-4DF5-9E6B-610625E94F63}" name="Column3" dataDxfId="497" totalsRowDxfId="496"/>
    <tableColumn id="2" xr3:uid="{A0A52512-F90E-4D65-9EFF-378AAEC9DDDA}" name="Column4" dataDxfId="495" totalsRowDxfId="494"/>
    <tableColumn id="4" xr3:uid="{0E0CEC9B-CFF4-4D4F-8774-3FA6D7BA8354}" name="Column5" dataDxfId="493" totalsRowDxfId="492"/>
    <tableColumn id="5" xr3:uid="{DB655A4A-E3BF-44B6-841F-E3E7239E0952}" name="Column6" dataDxfId="491" totalsRowDxfId="490"/>
    <tableColumn id="6" xr3:uid="{89EF2200-8430-4BFE-A3D3-2976182CAF83}" name="Column7" dataDxfId="489" totalsRowDxfId="488"/>
    <tableColumn id="102" xr3:uid="{D05B8DE4-FDCF-403F-B540-75263463F165}" name="Column8" dataDxfId="487" totalsRowDxfId="486">
      <calculatedColumnFormula>IF(E10&gt;0,E10*F10*G10/1000000*8*(1+$H$4),"--")</calculatedColumnFormula>
    </tableColumn>
    <tableColumn id="103" xr3:uid="{64BE577F-4914-4640-BB06-F40344562EA4}" name="Column9" dataDxfId="485" totalsRowDxfId="484">
      <calculatedColumnFormula>IF(Table645[[#This Row],[Column8]]="--",0,Table645[[#This Row],[Column4]]*Table645[[#This Row],[Column8]])</calculatedColumnFormula>
    </tableColumn>
    <tableColumn id="7" xr3:uid="{C14AEAAA-3794-4545-86AB-DAFE59415444}" name="Column10" dataDxfId="483"/>
    <tableColumn id="42" xr3:uid="{FA4F6E54-CA2D-43E0-9A9D-44EC60A7E581}" name="Column11" dataDxfId="482" totalsRowDxfId="481">
      <calculatedColumnFormula>Table645[[#This Row],[Column4]]*Table645[[#This Row],[Column10]]</calculatedColumnFormula>
    </tableColumn>
    <tableColumn id="8" xr3:uid="{7D517116-7F99-4021-9C09-725AEAF91E61}" name="Column12" dataDxfId="480">
      <calculatedColumnFormula>IF(J10=0,"--",J10/$J$3)</calculatedColumnFormula>
    </tableColumn>
    <tableColumn id="80" xr3:uid="{760AD0D3-E11F-42C5-A357-0E39576118B9}" name="Column13" dataDxfId="479">
      <calculatedColumnFormula>IF(Table645[[#This Row],[Column10]]=0,0,Table645[[#This Row],[Column4]]*Table645[[#This Row],[Column12]])</calculatedColumnFormula>
    </tableColumn>
    <tableColumn id="9" xr3:uid="{A7689F4F-D17F-4578-B340-97BBCF6FA598}" name="Column14" dataDxfId="478" totalsRowDxfId="477">
      <calculatedColumnFormula>IF(SUM(Q10:AX10)=0,"--",(Q10/$Q$4+T10/$T$4+W10/$W$4+Z10/$Z$4+AC10/$AC$4+AF10/$AF$4+AI10/$AI$4+AL10/$AL$4+AO10/$AO$4+AR10/$AR$4+AU10/$AU$4+AX10/$AX$4)/60/24)</calculatedColumnFormula>
    </tableColumn>
    <tableColumn id="10" xr3:uid="{BC154E99-969D-48AD-BE90-998DFA01C7DC}" name="Column15" dataDxfId="476" totalsRowDxfId="475"/>
    <tableColumn id="12" xr3:uid="{31513BEB-90B7-4333-A4F2-A6D8EFB0993F}" name="Column16" dataDxfId="474" totalsRowDxfId="473"/>
    <tableColumn id="13" xr3:uid="{EC9C4F1E-AC9D-45A0-BA9C-750959E2FFF7}" name="Column17" dataDxfId="472" totalsRowDxfId="471"/>
    <tableColumn id="14" xr3:uid="{9D4A509F-4C3F-4F50-8EEE-4912203A2F4C}" name="Column18" dataDxfId="470" totalsRowDxfId="469"/>
    <tableColumn id="15" xr3:uid="{E8485E04-6052-4E5B-8118-8A249284F7B3}" name="Column19" dataDxfId="468" totalsRowDxfId="467"/>
    <tableColumn id="16" xr3:uid="{19427A46-4F07-4832-96B9-155713791C3C}" name="Column20" dataDxfId="466" totalsRowDxfId="465"/>
    <tableColumn id="17" xr3:uid="{95C86C41-8A95-4FA3-A4B5-1EF62E2791B1}" name="Column21" dataDxfId="464" totalsRowDxfId="463"/>
    <tableColumn id="18" xr3:uid="{646F7084-95D1-407E-B38B-74258F42844C}" name="Column22" dataDxfId="462" totalsRowDxfId="461"/>
    <tableColumn id="19" xr3:uid="{1ED4588B-77EF-49B2-9DA6-C78043E850EC}" name="Column23" dataDxfId="460" totalsRowDxfId="459"/>
    <tableColumn id="20" xr3:uid="{421FB2B3-FE7C-4E86-B59D-9EF1D11956D9}" name="Column24" dataDxfId="458" totalsRowDxfId="457"/>
    <tableColumn id="21" xr3:uid="{2BA8C438-C41D-45E3-8A52-E6BB83F83C9B}" name="Column25" dataDxfId="456" totalsRowDxfId="455"/>
    <tableColumn id="22" xr3:uid="{E674B8FA-6727-44F0-B450-8EDC3CDAB1FD}" name="Column26" dataDxfId="454" totalsRowDxfId="453"/>
    <tableColumn id="23" xr3:uid="{BA62C001-884D-444D-97DB-E5927AF8FC65}" name="Column27" dataDxfId="452" totalsRowDxfId="451"/>
    <tableColumn id="24" xr3:uid="{38823906-67E0-407A-B935-40F33668F5AB}" name="Column28" dataDxfId="450" totalsRowDxfId="449"/>
    <tableColumn id="25" xr3:uid="{3390CE37-4C83-4514-B830-F72A19046CD1}" name="Column29" dataDxfId="448" totalsRowDxfId="447"/>
    <tableColumn id="26" xr3:uid="{62AF9081-372B-4423-BDE7-E4723D238C05}" name="Column30" dataDxfId="446" totalsRowDxfId="445"/>
    <tableColumn id="56" xr3:uid="{B21A61D2-3C37-42DC-A3BC-C831F209A99F}" name="Column31" totalsRowDxfId="444"/>
    <tableColumn id="57" xr3:uid="{83540089-0395-4EAC-91D0-00A7168890A8}" name="Column32" totalsRowDxfId="443"/>
    <tableColumn id="58" xr3:uid="{4819A7C9-9F24-4D2B-8197-A91509D23DE0}" name="Column33" totalsRowDxfId="442"/>
    <tableColumn id="55" xr3:uid="{50EC907B-008D-41A8-9CEA-C5A479E17D07}" name="Column34" totalsRowDxfId="441"/>
    <tableColumn id="59" xr3:uid="{BBB4ABDB-8EEE-441B-A89A-AEF608D5C7A4}" name="Column35" totalsRowDxfId="440"/>
    <tableColumn id="60" xr3:uid="{39A33243-1825-4380-BC86-13898D085BF9}" name="Column36" totalsRowDxfId="439"/>
    <tableColumn id="62" xr3:uid="{5CD0DE29-11AC-4F03-A44C-2F71A23413CF}" name="Column37" totalsRowDxfId="438"/>
    <tableColumn id="63" xr3:uid="{887D46AE-C38D-4947-889C-442BDA6B44E2}" name="Column38" totalsRowDxfId="437"/>
    <tableColumn id="64" xr3:uid="{7EAA92AD-0495-40D0-BEF2-7BDE67DBEB22}" name="Column39" totalsRowDxfId="436"/>
    <tableColumn id="65" xr3:uid="{65E0C71C-862F-4D57-99DE-F556B61CA775}" name="Column40" totalsRowDxfId="435"/>
    <tableColumn id="66" xr3:uid="{5EB66D1F-96C1-48B3-89CF-24FCFAD040E7}" name="Column41" totalsRowDxfId="434"/>
    <tableColumn id="67" xr3:uid="{B1D8F9FA-B206-4164-B1AC-9D07C9280856}" name="Column42" totalsRowDxfId="433"/>
    <tableColumn id="68" xr3:uid="{E0CEABD5-853A-41E4-B802-AB9186AE55B4}" name="Column43" totalsRowDxfId="432"/>
    <tableColumn id="69" xr3:uid="{41127981-007D-445C-A215-486FBE148AA6}" name="Column44" totalsRowDxfId="431"/>
    <tableColumn id="70" xr3:uid="{F2025C95-21C5-49B9-8FD8-42C1737E2E19}" name="Column45" totalsRowDxfId="430"/>
    <tableColumn id="110" xr3:uid="{F4328783-76DC-4167-A567-BEA81CFE0EE7}" name="Column46" totalsRowDxfId="429"/>
    <tableColumn id="111" xr3:uid="{876AA160-904D-4122-BC5E-9A74F7C6F0D3}" name="Column47" totalsRowDxfId="428"/>
    <tableColumn id="112" xr3:uid="{CC0B50CE-BAF0-48BB-872F-A49E0706F055}" name="Column48" totalsRowDxfId="427"/>
    <tableColumn id="61" xr3:uid="{19FD4399-9F02-4E73-B37E-B20D773513FD}" name="Column49" totalsRowDxfId="426"/>
    <tableColumn id="54" xr3:uid="{518119DE-AE13-498B-A017-AD73C840A4E0}" name="Column50" totalsRowDxfId="425"/>
    <tableColumn id="11" xr3:uid="{F21842B6-4433-4D15-9227-DFD91A77643B}" name="Column51" totalsRowDxfId="424"/>
    <tableColumn id="27" xr3:uid="{38D87397-F0E8-41E4-957C-B81436FC02B4}" name="Column52" dataDxfId="423" totalsRowDxfId="422">
      <calculatedColumnFormula>IF(Table645[[#This Row],[Column14]]="--",0,Table645[[#This Row],[Column4]]*Table645[[#This Row],[Column14]])</calculatedColumnFormula>
    </tableColumn>
    <tableColumn id="28" xr3:uid="{D9981D64-AF37-408B-93CA-91B0067B981A}" name="Column53" dataDxfId="421" totalsRowDxfId="420"/>
    <tableColumn id="29" xr3:uid="{80AA0E99-1A86-4DF3-A07F-0BF549346EFE}" name="Column54" dataDxfId="419" totalsRowDxfId="418">
      <calculatedColumnFormula>IF(BA10=0,"--",BA10*$BA$3*IF(Table645[[#This Row],[Column5]]&lt;4.1,1,2)/60/24)</calculatedColumnFormula>
    </tableColumn>
    <tableColumn id="75" xr3:uid="{B0B2E6A8-1541-444A-99ED-3203596001E8}" name="Column55" dataDxfId="417" totalsRowDxfId="416">
      <calculatedColumnFormula>IF(Table645[[#This Row],[Column54]]="--",0,Table645[[#This Row],[Column4]]*Table645[[#This Row],[Column54]])</calculatedColumnFormula>
    </tableColumn>
    <tableColumn id="31" xr3:uid="{A52E3A88-0EB6-48F8-B579-907F6AE52D11}" name="Column56" dataDxfId="415" totalsRowDxfId="414"/>
    <tableColumn id="86" xr3:uid="{7FB461D0-51DB-4888-99F8-9ED007CE8DB0}" name="Column57" dataDxfId="413" totalsRowDxfId="412"/>
    <tableColumn id="91" xr3:uid="{366C507F-8AB2-4631-8042-80B905373AEF}" name="Column58" dataDxfId="411" totalsRowDxfId="410"/>
    <tableColumn id="32" xr3:uid="{8B154F5A-0BCE-4891-8783-6CEAC7C8D331}" name="Column59" dataDxfId="409" totalsRowDxfId="408">
      <calculatedColumnFormula>IF(BD10+Table645[[#This Row],[Column58]]=0,"--",(BD10*$BF$3*Table645[[#This Row],[Column57]]+Table645[[#This Row],[Column58]]*$BF$4)/60/24)</calculatedColumnFormula>
    </tableColumn>
    <tableColumn id="76" xr3:uid="{D2B2FC90-BA43-400D-BBD1-06620A7CF829}" name="Column60" dataDxfId="407" totalsRowDxfId="406">
      <calculatedColumnFormula>IF(Table645[[#This Row],[Column59]]="--",0,Table645[[#This Row],[Column4]]*Table645[[#This Row],[Column59]])</calculatedColumnFormula>
    </tableColumn>
    <tableColumn id="106" xr3:uid="{076A290C-2559-4A9D-A370-24E05A1867B3}" name="Column61" dataDxfId="405" totalsRowDxfId="404"/>
    <tableColumn id="107" xr3:uid="{176D4EAA-31AD-4271-AAAB-55ADC60FF9DE}" name="Column62" dataDxfId="403" totalsRowDxfId="402">
      <calculatedColumnFormula>IF(BI10=0,"--",BI10/$BI$3/60/24)</calculatedColumnFormula>
    </tableColumn>
    <tableColumn id="108" xr3:uid="{1EF31EC9-5FA2-4B0F-AC11-58C5632322BC}" name="Column63" dataDxfId="401" totalsRowDxfId="400">
      <calculatedColumnFormula>IF(Table645[[#This Row],[Column62]]="--",0,Table645[[#This Row],[Column4]]*Table645[[#This Row],[Column62]])</calculatedColumnFormula>
    </tableColumn>
    <tableColumn id="34" xr3:uid="{AD838B7C-6C7D-44BA-B792-1D98651476A3}" name="Column64" dataDxfId="399" totalsRowDxfId="398"/>
    <tableColumn id="35" xr3:uid="{964212E0-4FCA-4D20-8660-361CD67008ED}" name="Column65" dataDxfId="397" totalsRowDxfId="396">
      <calculatedColumnFormula>IF(BL10=0,"--",BL10*$BL$3/60/60/24)</calculatedColumnFormula>
    </tableColumn>
    <tableColumn id="36" xr3:uid="{7093820B-8DA0-40F0-9847-B90BAEA4A76B}" name="Column66" dataDxfId="395" totalsRowDxfId="394">
      <calculatedColumnFormula>IF(Table645[[#This Row],[Column65]]="--",0,Table645[[#This Row],[Column4]]*Table645[[#This Row],[Column65]])</calculatedColumnFormula>
    </tableColumn>
    <tableColumn id="37" xr3:uid="{6DA33660-D410-4BF0-98CD-750D29E5718B}" name="Column67" dataDxfId="393" totalsRowDxfId="392"/>
    <tableColumn id="38" xr3:uid="{A548784E-3B8B-476A-AFD3-D9CE7E05875E}" name="Column68" dataDxfId="391" totalsRowDxfId="390">
      <calculatedColumnFormula>IF(BO10=0,"--",BO10*$BO$3/60/60/24)</calculatedColumnFormula>
    </tableColumn>
    <tableColumn id="39" xr3:uid="{F46C8983-1387-46EE-AFB4-48151C408E62}" name="Column69" dataDxfId="389" totalsRowDxfId="388">
      <calculatedColumnFormula>IF(Table645[[#This Row],[Column68]]="--",0,Table645[[#This Row],[Column4]]*Table645[[#This Row],[Column68]])</calculatedColumnFormula>
    </tableColumn>
    <tableColumn id="40" xr3:uid="{6A80FA9D-BEE6-4694-91E4-83713572E428}" name="Column70" dataDxfId="387" totalsRowDxfId="386"/>
    <tableColumn id="41" xr3:uid="{A6ECEB7F-42D0-4E5F-9461-AE23F2DCF03E}" name="Column71" dataDxfId="385" totalsRowDxfId="384">
      <calculatedColumnFormula>IF(BR10=0,"--",BR10*$BR$3/60/60/24)</calculatedColumnFormula>
    </tableColumn>
    <tableColumn id="77" xr3:uid="{14DB7C0F-31F4-43D0-B2F6-77E350CDA0EA}" name="Column72" dataDxfId="383" totalsRowDxfId="382">
      <calculatedColumnFormula>IF(Table645[[#This Row],[Column71]]="--",0,Table645[[#This Row],[Column4]]*Table645[[#This Row],[Column71]])</calculatedColumnFormula>
    </tableColumn>
    <tableColumn id="90" xr3:uid="{0AEBAFDF-EC9A-4C44-8C2E-FC18E70270AF}" name="Column73" dataDxfId="381" totalsRowDxfId="380"/>
    <tableColumn id="43" xr3:uid="{454D5159-10A8-4AB4-B4D3-491DBCE3F670}" name="Column74" dataDxfId="379" totalsRowDxfId="378"/>
    <tableColumn id="44" xr3:uid="{2F69417C-96FD-4FE2-B223-68B7699EDDFE}" name="Column75" dataDxfId="377" totalsRowDxfId="376">
      <calculatedColumnFormula>IF(BV10=0,"--",(Table645[[#This Row],[Column73]]*$BV$4*(IF(J10&lt;0.5001,1,IF(J10&lt;2.0001,2,3)))+BV10/$BV$3)/60/24)</calculatedColumnFormula>
    </tableColumn>
    <tableColumn id="78" xr3:uid="{2D7A9EB8-9F63-423E-82E7-F17AFD6F086A}" name="Column76" dataDxfId="375" totalsRowDxfId="374">
      <calculatedColumnFormula>IF(Table645[[#This Row],[Column75]]="--",0,Table645[[#This Row],[Column4]]*Table645[[#This Row],[Column75]])</calculatedColumnFormula>
    </tableColumn>
    <tableColumn id="46" xr3:uid="{159814B2-1D4D-4DAC-8723-5C54A7F03108}" name="Column77" dataDxfId="373" totalsRowDxfId="372"/>
    <tableColumn id="45" xr3:uid="{0D9061FE-E5C3-4E9E-B5C9-03BDD194125E}" name="Column78" dataDxfId="371">
      <calculatedColumnFormula>IF(Table645[[#This Row],[Column74]]=0,"--",BW10*$BY$3)</calculatedColumnFormula>
    </tableColumn>
    <tableColumn id="99" xr3:uid="{F83CD5FA-205D-495A-909B-7B4282D39137}" name="Column79" dataDxfId="370" totalsRowDxfId="369">
      <calculatedColumnFormula>IF(Table645[[#This Row],[Column78]]="--",0,Table645[[#This Row],[Column4]]*Table645[[#This Row],[Column78]])</calculatedColumnFormula>
    </tableColumn>
    <tableColumn id="47" xr3:uid="{C56D3EC6-2B84-4F11-9D12-F4606686890C}" name="Column80" dataDxfId="368"/>
    <tableColumn id="48" xr3:uid="{EADCCC1C-CBE3-429D-8E4E-1283644163C3}" name="Column81" dataDxfId="367" totalsRowDxfId="366">
      <calculatedColumnFormula>IF(Table645[[#This Row],[Column10]]+Table645[[#This Row],[Column74]]=0,"--",J10*$CB$4*$CB$5/(24*60)+IF(Table645[[#This Row],[Column74]]=0,0,$CB$3*Table645[[#This Row],[Column75]]))</calculatedColumnFormula>
    </tableColumn>
    <tableColumn id="98" xr3:uid="{3F4B777E-A33E-4FED-9F49-5877D75DD453}" name="Column82" dataDxfId="365" totalsRowDxfId="364">
      <calculatedColumnFormula>IF(Table645[[#This Row],[Column81]]="--",0,Table645[[#This Row],[Column4]]*Table645[[#This Row],[Column81]])</calculatedColumnFormula>
    </tableColumn>
    <tableColumn id="123" xr3:uid="{03833EAA-ED37-4540-94B8-2C81F6EBBF74}" name="Column83" dataDxfId="363" totalsRowDxfId="362"/>
    <tableColumn id="124" xr3:uid="{E9FD6472-C700-4F2E-9B80-13427814CA3D}" name="Column84" dataDxfId="361" totalsRowDxfId="360">
      <calculatedColumnFormula>IF(CE10=0,"--",CE10*$BR$3/60/60/24)</calculatedColumnFormula>
    </tableColumn>
    <tableColumn id="125" xr3:uid="{3002D60D-E45A-4E06-8255-EE90905759C3}" name="Column85" dataDxfId="359" totalsRowDxfId="358">
      <calculatedColumnFormula>IF(Table645[[#This Row],[Column84]]="--",0,Table645[[#This Row],[Column4]]*Table645[[#This Row],[Column84]])</calculatedColumnFormula>
    </tableColumn>
    <tableColumn id="126" xr3:uid="{142BF87F-C8FA-4458-BEA7-ADA4CB678DC8}" name="Column86" dataDxfId="357" totalsRowDxfId="356"/>
    <tableColumn id="127" xr3:uid="{132B9ED4-D8E5-40F9-BA54-27CA2D9FF364}" name="Column87" dataDxfId="355" totalsRowDxfId="354"/>
    <tableColumn id="128" xr3:uid="{3652D24E-1091-45C4-8307-664517EE98FF}" name="Column88" dataDxfId="353" totalsRowDxfId="352">
      <calculatedColumnFormula>IF(CI10=0,"--",(Table645[[#This Row],[Column86]]*$CI$4*(IF(W10&lt;0.5001,1,IF(W10&lt;2.0001,2,3)))+CI10/$CI$3)/60/24)</calculatedColumnFormula>
    </tableColumn>
    <tableColumn id="129" xr3:uid="{631C9B88-DB30-499D-A531-6AB1EA43A10C}" name="Column89" dataDxfId="351" totalsRowDxfId="350">
      <calculatedColumnFormula>IF(Table645[[#This Row],[Column88]]="--",0,Table645[[#This Row],[Column4]]*Table645[[#This Row],[Column88]])</calculatedColumnFormula>
    </tableColumn>
    <tableColumn id="130" xr3:uid="{0A399305-6313-4C7D-8136-7CEAE48267C3}" name="Column90" dataDxfId="349" totalsRowDxfId="348"/>
    <tableColumn id="131" xr3:uid="{DB40D903-448B-47D0-8149-91BC15B6D0C0}" name="Column91" dataDxfId="347" totalsRowDxfId="346">
      <calculatedColumnFormula>IF(Table645[[#This Row],[Column87]]=0,"--",CJ10*$CL$3)</calculatedColumnFormula>
    </tableColumn>
    <tableColumn id="132" xr3:uid="{39FDE585-01E2-40A6-9E60-9925F63F8F46}" name="Column92" dataDxfId="345" totalsRowDxfId="344">
      <calculatedColumnFormula>IF(Table645[[#This Row],[Column91]]="--",0,Table645[[#This Row],[Column4]]*Table645[[#This Row],[Column91]])</calculatedColumnFormula>
    </tableColumn>
    <tableColumn id="133" xr3:uid="{22493DA0-CBF3-41D2-883D-9749E9DD68F3}" name="Column93" dataDxfId="343" totalsRowDxfId="342"/>
    <tableColumn id="134" xr3:uid="{D7A817AE-2EDD-4651-85ED-E0E1DA526843}" name="Column94" dataDxfId="341" totalsRowDxfId="340">
      <calculatedColumnFormula>IF(Table645[[#This Row],[Column10]]+Table645[[#This Row],[Column87]]=0, "--", IF($D10="", 1, $D10) * IF($J10="", 1, $J10) * $CO$3 * $CO$4 * IF(Table645[[#This Row],[Column95]]="", 1, Table645[[#This Row],[Column95]]) / (24 * 60))</calculatedColumnFormula>
    </tableColumn>
    <tableColumn id="141" xr3:uid="{80249AA7-154E-4E45-B062-0023CEA417C3}" name="Column95" dataDxfId="339" totalsRowDxfId="338"/>
    <tableColumn id="135" xr3:uid="{E0D37C1A-1EBF-42A5-A3DE-2FBF14703CD3}" name="Column96" dataDxfId="337" totalsRowDxfId="336">
      <calculatedColumnFormula>IF(Table645[[#This Row],[Column94]]="--",0,Table645[[#This Row],[Column4]]*Table645[[#This Row],[Column94]])</calculatedColumnFormula>
    </tableColumn>
    <tableColumn id="136" xr3:uid="{9DF19A49-4D04-4FD5-8EC7-87DEE1EDA6B3}" name="Column97" dataDxfId="335">
      <calculatedColumnFormula>IF(Table645[[#This Row],[Column87]]="","",Table645[[#This Row],[Column87]])</calculatedColumnFormula>
    </tableColumn>
    <tableColumn id="137" xr3:uid="{4C9B84F1-7125-43C0-B546-A3DB4730BBC2}" name="Column98" dataDxfId="334">
      <calculatedColumnFormula>IF(Table645[[#This Row],[Column97]]="","--",Table645[[#This Row],[Column97]]/$CS$3/60/24)</calculatedColumnFormula>
    </tableColumn>
    <tableColumn id="138" xr3:uid="{A8E1253A-F534-4E89-804B-9023598295DA}" name="Column99" dataDxfId="333">
      <calculatedColumnFormula>IF(Table645[[#This Row],[Column98]]="--",0,Table645[[#This Row],[Column4]]*Table645[[#This Row],[Column98]])</calculatedColumnFormula>
    </tableColumn>
    <tableColumn id="72" xr3:uid="{7540F82F-072B-416C-A39C-920E70FFF98B}" name="Column100" dataDxfId="332"/>
    <tableColumn id="74" xr3:uid="{8033BFF8-134E-4EDB-9752-2F0783399215}" name="Column101" dataDxfId="331">
      <calculatedColumnFormula>IF(AND(Table645[[#This Row],[Column88]]="--", Table645[[#This Row],[Column75]]="--"), "--", IF(Table645[[#This Row],[Column88]]="--", 0, Table645[[#This Row],[Column86]]) + IF(Table645[[#This Row],[Column75]]="--", 0, Table645[[#This Row],[Column73]]) + 1)</calculatedColumnFormula>
    </tableColumn>
    <tableColumn id="73" xr3:uid="{D18D0CA2-1DF4-46CC-9426-308861DE9E1F}" name="Column102" dataDxfId="330" totalsRowDxfId="329">
      <calculatedColumnFormula>IF(OR(Table645[[#This Row],[Column74]]&gt;0,Table645[[#This Row],[Column87]]&gt;0),(Table645[[#This Row],[Column73]]+Table645[[#This Row],[Column86]]+1)*$CW$3/60/24,"--")</calculatedColumnFormula>
    </tableColumn>
    <tableColumn id="97" xr3:uid="{B4A3E2A8-DA59-4790-943B-3F7E29B00DA0}" name="Column103" dataDxfId="328">
      <calculatedColumnFormula>IF(Table645[[#This Row],[Column102]]="--",0,Table645[[#This Row],[Column4]]*Table645[[#This Row],[Column102]])</calculatedColumnFormula>
    </tableColumn>
    <tableColumn id="49" xr3:uid="{93EF4F80-8B48-4AE0-AE01-EC5E65AFFEC3}" name="Column104" dataDxfId="327" totalsRowDxfId="326">
      <calculatedColumnFormula>IF(J10=0,"--",J10/$CZ$3/(24)*DA10)</calculatedColumnFormula>
    </tableColumn>
    <tableColumn id="50" xr3:uid="{00AC631A-5052-4089-8FD6-98607D890254}" name="Column105" dataDxfId="325"/>
    <tableColumn id="79" xr3:uid="{BCB8411A-770F-4B1F-B871-E04F90C67913}" name="Column106" dataDxfId="324">
      <calculatedColumnFormula>IF(Table645[[#This Row],[Column104]]="--",0,Table645[[#This Row],[Column4]]*Table645[[#This Row],[Column104]])</calculatedColumnFormula>
    </tableColumn>
    <tableColumn id="104" xr3:uid="{6587EBC5-61AC-443C-A38D-85DEEC8A8800}" name="Column107" dataDxfId="323"/>
    <tableColumn id="105" xr3:uid="{9462A984-8F3A-435E-B340-0B49D655F94D}" name="Column108" dataDxfId="322">
      <calculatedColumnFormula>IF(DC10=0,"--",1/$DC$3*1000/(60*60*24)*Table645[[#This Row],[Column107]])</calculatedColumnFormula>
    </tableColumn>
    <tableColumn id="109" xr3:uid="{78F8E435-1374-4888-AF79-BCBE7A5AC20E}" name="Column109" dataDxfId="321">
      <calculatedColumnFormula>IF(Table645[[#This Row],[Column108]]="--",0,Table645[[#This Row],[Column4]]*Table645[[#This Row],[Column108]])</calculatedColumnFormula>
    </tableColumn>
    <tableColumn id="95" xr3:uid="{E25D4B4C-88DE-4DE9-A723-CF78FF8CB665}" name="Column110" dataDxfId="320"/>
    <tableColumn id="100" xr3:uid="{7C0D9385-AFD7-44F2-990E-2A19A26D0FD9}" name="Column111" dataDxfId="319">
      <calculatedColumnFormula>IF(DA10=0,"--",(J10*$DF$3)/60/24)</calculatedColumnFormula>
    </tableColumn>
    <tableColumn id="101" xr3:uid="{0DF6C18F-2F1A-4A1F-96A0-2FBB7ED6252C}" name="Column112" dataDxfId="318">
      <calculatedColumnFormula>IF(Table645[[#This Row],[Column111]]="--",0,Table645[[#This Row],[Column4]]*Table645[[#This Row],[Column111]])</calculatedColumnFormula>
    </tableColumn>
    <tableColumn id="82" xr3:uid="{18FB276C-E1AB-4722-A2F5-3255F8EE4732}" name="Column113" dataDxfId="317"/>
    <tableColumn id="83" xr3:uid="{4A838174-4FD1-4029-BC49-EAFC7C2384BD}" name="Column114" dataDxfId="316"/>
    <tableColumn id="85" xr3:uid="{77E4C604-6703-435D-AEC8-BDE9444353EC}" name="Column115" dataDxfId="315"/>
    <tableColumn id="84" xr3:uid="{E2B0A428-8FBC-448A-B28A-11DEB47E6579}" name="Column116" dataDxfId="314"/>
    <tableColumn id="87" xr3:uid="{97617B6A-832D-4AF6-826E-C220BEBCE87B}" name="Column117" dataDxfId="313"/>
    <tableColumn id="52" xr3:uid="{031253A2-2C9F-46A1-9189-3DC061C61D50}" name="Column118" dataDxfId="312" totalsRowDxfId="311">
      <calculatedColumnFormula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calculatedColumnFormula>
    </tableColumn>
    <tableColumn id="94" xr3:uid="{D9460677-47C0-4B37-AF6F-8B01D92B3AF9}" name="Column119" dataDxfId="310" totalsRowDxfId="309">
      <calculatedColumnFormula>IF(Table645[[#This Row],[Column118]]="--",0,Table645[[#This Row],[Column4]]*Table645[[#This Row],[Column118]])</calculatedColumnFormula>
    </tableColumn>
    <tableColumn id="81" xr3:uid="{D715ED0C-2162-4831-A0D4-9FFC4A64DD49}" name="Column120" dataDxfId="308"/>
    <tableColumn id="96" xr3:uid="{3ED7B88F-DF12-4C4C-989D-F5487893A761}" name="Column121" dataDxfId="307"/>
    <tableColumn id="88" xr3:uid="{696BF7C8-D0E4-4A93-9B2E-37CBAEF0C1AF}" name="Column122" dataDxfId="306">
      <calculatedColumnFormula>IF(DP10+DQ10&gt;0,(DP10*$DQ$3+DQ10*$DQ$4)/60/24,IF(DN10="--","--",(DP10*$DQ$3+DQ10*$DQ$4)/60/24))</calculatedColumnFormula>
    </tableColumn>
    <tableColumn id="93" xr3:uid="{DFB3DAC2-88E4-4B55-8644-B4A86D6587F2}" name="Column123" dataDxfId="305">
      <calculatedColumnFormula>IF(Table645[[#This Row],[Column122]]="--",0,Table645[[#This Row],[Column4]]*Table645[[#This Row],[Column122]])</calculatedColumnFormula>
    </tableColumn>
    <tableColumn id="89" xr3:uid="{B9E20B6E-F773-4EBB-9FC8-758351333CA8}" name="Column124" dataDxfId="304">
      <calculatedColumnFormula>IF(Table645[[#This Row],[Column125]]=0,"--",Table645[[#This Row],[Column125]]*Table645[[#This Row],[Column126]]*Table645[[#This Row],[Column127]]/1000000000)</calculatedColumnFormula>
    </tableColumn>
    <tableColumn id="3" xr3:uid="{2CDBBCBB-1FCE-40BF-AECE-B00D956838F4}" name="Column125" dataDxfId="303"/>
    <tableColumn id="33" xr3:uid="{99D819CC-0C0A-477F-8B29-5A34AE8A1DAA}" name="Column126" dataDxfId="302"/>
    <tableColumn id="30" xr3:uid="{29F55BB5-9136-4428-825B-9BDE8E7A7428}" name="Column127" dataDxfId="301"/>
    <tableColumn id="53" xr3:uid="{D5DF6DF6-4AFA-4B51-84B9-E3135753CF28}" name="Column128" totalsRowFunction="count" dataDxfId="300">
      <calculatedColumnFormula>IF(DT10="--","--",(1+DT10*$DT$3)/60/24)</calculatedColumnFormula>
    </tableColumn>
    <tableColumn id="92" xr3:uid="{A2B340C6-DDEC-41C0-8D65-4438FF7E37F4}" name="Column129" dataDxfId="299">
      <calculatedColumnFormula>IF(Table645[[#This Row],[Column128]]="--",0,Table645[[#This Row],[Column4]]*Table645[[#This Row],[Column128]])</calculatedColumnFormula>
    </tableColumn>
  </tableColumns>
  <tableStyleInfo name="TableStyleMedium11"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FA32861-DA14-4C31-9CC6-74C896A12548}" name="Table63" displayName="Table63" ref="A8:CV38" headerRowCount="0" headerRowDxfId="298" dataDxfId="297">
  <tableColumns count="100">
    <tableColumn id="1" xr3:uid="{2FF656B3-4629-41E4-8F4D-D797810D67D6}" name="Column1" totalsRowLabel="Total" headerRowDxfId="296" dataDxfId="295" totalsRowDxfId="294"/>
    <tableColumn id="51" xr3:uid="{450D556D-5491-4764-BD09-87B8670A87F1}" name="Column99" headerRowDxfId="293" dataDxfId="292" totalsRowDxfId="291"/>
    <tableColumn id="71" xr3:uid="{2CA1AFE6-6F3D-4FCB-BC84-69E6DC0C0D35}" name="Column71" headerRowDxfId="290" dataDxfId="289" totalsRowDxfId="288"/>
    <tableColumn id="2" xr3:uid="{76403C9E-7494-42D9-8C0F-58FF8D5A161A}" name="Column2" headerRowDxfId="287" dataDxfId="286" totalsRowDxfId="285"/>
    <tableColumn id="4" xr3:uid="{45F3D91B-97CF-45A4-9886-A7172C3E1ED4}" name="Column4" headerRowDxfId="284" dataDxfId="283" totalsRowDxfId="282"/>
    <tableColumn id="5" xr3:uid="{73FA3348-D66C-46A2-B45C-D36BE79A58E3}" name="Column5" headerRowDxfId="281" dataDxfId="280" totalsRowDxfId="279"/>
    <tableColumn id="6" xr3:uid="{38D34642-4272-4932-96DD-EC2D557C7B97}" name="Column6" headerRowDxfId="278" dataDxfId="277" totalsRowDxfId="276"/>
    <tableColumn id="102" xr3:uid="{643FB760-5DFA-46D5-A4BD-103EAC43A822}" name="Column75" headerRowDxfId="275" dataDxfId="274" totalsRowDxfId="273">
      <calculatedColumnFormula>IF(E8&gt;0,E8*F8*G8/1000000*8*(1+$H$4),"--")</calculatedColumnFormula>
    </tableColumn>
    <tableColumn id="103" xr3:uid="{ACD4B19D-A3E4-4C1E-9A68-AAF81D21440F}" name="Column3" headerRowDxfId="272" dataDxfId="271" totalsRowDxfId="270">
      <calculatedColumnFormula>IF(Table63[[#This Row],[Column75]]="--",0,Table63[[#This Row],[Column2]]*Table63[[#This Row],[Column75]])</calculatedColumnFormula>
    </tableColumn>
    <tableColumn id="7" xr3:uid="{FF386EE4-0DD3-4C41-A291-834AFBB5809D}" name="Column7" headerRowDxfId="269" dataDxfId="268" totalsRowDxfId="267"/>
    <tableColumn id="42" xr3:uid="{C07E65CA-C609-4004-8550-FB3EAC66EA4B}" name="Column42" headerRowDxfId="266" dataDxfId="265" totalsRowDxfId="264">
      <calculatedColumnFormula>Table63[[#This Row],[Column2]]*Table63[[#This Row],[Column7]]</calculatedColumnFormula>
    </tableColumn>
    <tableColumn id="8" xr3:uid="{7628D742-4295-4F5A-95E1-A4838806557C}" name="Column8" headerRowDxfId="263" dataDxfId="262">
      <calculatedColumnFormula>IF(J8=0,"--",J8/$J$3)</calculatedColumnFormula>
    </tableColumn>
    <tableColumn id="80" xr3:uid="{A5FC0713-F714-4E23-9EBA-16A02A493526}" name="Column100" headerRowDxfId="261" dataDxfId="260">
      <calculatedColumnFormula>IF(Table63[[#This Row],[Column7]]=0,0,Table63[[#This Row],[Column2]]*Table63[[#This Row],[Column8]])</calculatedColumnFormula>
    </tableColumn>
    <tableColumn id="9" xr3:uid="{1305543A-3941-4FFB-ADCE-FA3888E950A0}" name="Column9" headerRowDxfId="259" dataDxfId="258" totalsRowDxfId="257">
      <calculatedColumnFormula>IF(SUM(Q8:AU8)=0,"--",(Q8/$Q$4+T8/$T$4+W8/$W$4+Z8/$Z$4+AC8/$AC$4+AF8/$AF$4+AI8/$AI$4+AL8/$AL$4+AO8/$AO$4+AR8/$AR$4+AU8/$AU$4)/60/24)</calculatedColumnFormula>
    </tableColumn>
    <tableColumn id="10" xr3:uid="{84428609-576A-4DBB-81FF-33EFB61DFF71}" name="Column10" headerRowDxfId="256" dataDxfId="255" totalsRowDxfId="254"/>
    <tableColumn id="12" xr3:uid="{2BEE587A-30A0-4A01-844F-F4623B062CA1}" name="Column12" headerRowDxfId="253" dataDxfId="252" totalsRowDxfId="251"/>
    <tableColumn id="13" xr3:uid="{AE2321E7-2C2C-4A80-B5CD-3E6F45022260}" name="Column13" headerRowDxfId="250" dataDxfId="249" totalsRowDxfId="248"/>
    <tableColumn id="14" xr3:uid="{C25D351A-8621-4647-98F4-0D3E43C9814F}" name="Column14" headerRowDxfId="247" dataDxfId="246" totalsRowDxfId="245"/>
    <tableColumn id="15" xr3:uid="{5F558AED-2991-42BE-AEEA-46FE978F0893}" name="Column15" headerRowDxfId="244" dataDxfId="243" totalsRowDxfId="242"/>
    <tableColumn id="16" xr3:uid="{056597FB-039D-4260-8CA1-65F9E484EEE1}" name="Column16" headerRowDxfId="241" dataDxfId="240" totalsRowDxfId="239"/>
    <tableColumn id="17" xr3:uid="{FD1A602B-F137-4509-8C74-2C39E099D771}" name="Column17" headerRowDxfId="238" dataDxfId="237" totalsRowDxfId="236"/>
    <tableColumn id="18" xr3:uid="{E6AA7B1D-05C1-4AE4-8F84-7D8373DECCC7}" name="Column18" headerRowDxfId="235" dataDxfId="234" totalsRowDxfId="233"/>
    <tableColumn id="19" xr3:uid="{114AACC5-1BBE-4609-A08F-689A34936EF6}" name="Column19" headerRowDxfId="232" dataDxfId="231" totalsRowDxfId="230"/>
    <tableColumn id="20" xr3:uid="{DFC30EA8-CA45-4792-A3FD-6BEDC9049139}" name="Column20" headerRowDxfId="229" dataDxfId="228" totalsRowDxfId="227"/>
    <tableColumn id="21" xr3:uid="{18385DA6-15E8-4E67-958D-B959C05AB025}" name="Column21" headerRowDxfId="226" dataDxfId="225" totalsRowDxfId="224"/>
    <tableColumn id="22" xr3:uid="{89DF0F30-EFAB-43B8-9324-44E97495375A}" name="Column22" headerRowDxfId="223" dataDxfId="222" totalsRowDxfId="221"/>
    <tableColumn id="23" xr3:uid="{7AAFE454-3811-4DCB-ACB2-D0A63B040ECF}" name="Column23" headerRowDxfId="220" dataDxfId="219" totalsRowDxfId="218"/>
    <tableColumn id="24" xr3:uid="{BE2108B4-1FC6-49FA-B549-22A604D1CB6C}" name="Column24" headerRowDxfId="217" dataDxfId="216" totalsRowDxfId="215"/>
    <tableColumn id="25" xr3:uid="{735C0E3B-35E4-4825-8916-CF51F4AFFECC}" name="Column25" headerRowDxfId="214" dataDxfId="213" totalsRowDxfId="212"/>
    <tableColumn id="26" xr3:uid="{EE945615-C922-4429-8A5D-3906E935B20D}" name="Column26" headerRowDxfId="211" dataDxfId="210" totalsRowDxfId="209"/>
    <tableColumn id="56" xr3:uid="{824BC483-D438-4E52-A177-8E701098020F}" name="Column56" headerRowDxfId="208" totalsRowDxfId="207"/>
    <tableColumn id="57" xr3:uid="{515E8E31-2429-43F5-92B1-E05ACFD9F78F}" name="Column57" headerRowDxfId="206" totalsRowDxfId="205"/>
    <tableColumn id="58" xr3:uid="{513F5735-3130-42DD-B91A-AB5C24B4AECF}" name="Column58" headerRowDxfId="204" totalsRowDxfId="203"/>
    <tableColumn id="55" xr3:uid="{C248689D-565A-4704-A324-C3A329CE80B8}" name="Column55" headerRowDxfId="202" totalsRowDxfId="201"/>
    <tableColumn id="59" xr3:uid="{1A503E56-D5FE-48DD-9349-B8FBBD86A752}" name="Column59" headerRowDxfId="200" totalsRowDxfId="199"/>
    <tableColumn id="60" xr3:uid="{8233B57C-2E71-4276-9512-6C1C8DBA5D2C}" name="Column60" headerRowDxfId="198" totalsRowDxfId="197"/>
    <tableColumn id="62" xr3:uid="{47D8B57D-21C2-4AAC-87FA-86FEC0E17D7D}" name="Column62" headerRowDxfId="196" totalsRowDxfId="195"/>
    <tableColumn id="63" xr3:uid="{D4066D55-07AA-46BF-AB0E-6E9945BC7976}" name="Column63" headerRowDxfId="194" totalsRowDxfId="193"/>
    <tableColumn id="64" xr3:uid="{13E9A205-24A3-41B2-9DF0-BB54CFE58544}" name="Column64" headerRowDxfId="192" totalsRowDxfId="191"/>
    <tableColumn id="65" xr3:uid="{3D75835B-FA4B-460B-93CA-C6C542435617}" name="Column65" headerRowDxfId="190" totalsRowDxfId="189"/>
    <tableColumn id="66" xr3:uid="{A88EC239-F4FB-465B-847A-5A4DB8203B99}" name="Column66" headerRowDxfId="188" totalsRowDxfId="187"/>
    <tableColumn id="67" xr3:uid="{E9F6206E-3A8D-4F3D-ACB1-7E12EE8D33C0}" name="Column67" headerRowDxfId="186" totalsRowDxfId="185"/>
    <tableColumn id="68" xr3:uid="{3BB8023D-EC72-4260-90D8-9878BCAF8728}" name="Column68" headerRowDxfId="184" totalsRowDxfId="183"/>
    <tableColumn id="69" xr3:uid="{78CFF05D-7C08-48D0-BC75-683F8F60F6D5}" name="Column69" headerRowDxfId="182" totalsRowDxfId="181"/>
    <tableColumn id="70" xr3:uid="{F34CFE37-166E-4DC9-BACD-9F97FC0E3C1C}" name="Column70" headerRowDxfId="180" totalsRowDxfId="179"/>
    <tableColumn id="61" xr3:uid="{7CA5318F-F2A6-44DD-9944-05D88F0C0032}" name="Column61" headerRowDxfId="178" totalsRowDxfId="177"/>
    <tableColumn id="54" xr3:uid="{80C5D221-C1D6-46E5-8385-52FD819A4C0C}" name="Column54" headerRowDxfId="176" totalsRowDxfId="175"/>
    <tableColumn id="11" xr3:uid="{2329A943-42F9-4370-B6F7-F46EA9C07F05}" name="Column11" headerRowDxfId="174" totalsRowDxfId="173"/>
    <tableColumn id="27" xr3:uid="{276DA346-E47A-4EBC-B54B-ADB46FFDED18}" name="Column27" headerRowDxfId="172" dataDxfId="171" totalsRowDxfId="170">
      <calculatedColumnFormula>IF(Table63[[#This Row],[Column9]]="--",0,Table63[[#This Row],[Column2]]*Table63[[#This Row],[Column9]])</calculatedColumnFormula>
    </tableColumn>
    <tableColumn id="28" xr3:uid="{5C0742AE-9521-4487-8AE2-54F4C7CF82D9}" name="Column28" headerRowDxfId="169" dataDxfId="168" totalsRowDxfId="167"/>
    <tableColumn id="29" xr3:uid="{42146DCA-CAD3-4A05-9951-C0AA6142D776}" name="Column29" headerRowDxfId="166" dataDxfId="165" totalsRowDxfId="164">
      <calculatedColumnFormula>IF(AX8=0,"--",AX8*$AX$3*IF(Table63[[#This Row],[Column4]]&lt;4.1,1,2)/60/24)</calculatedColumnFormula>
    </tableColumn>
    <tableColumn id="75" xr3:uid="{096E3A88-8234-47DE-A2BF-08EAFBED8F70}" name="Column86" headerRowDxfId="163" dataDxfId="162" totalsRowDxfId="161">
      <calculatedColumnFormula>IF(Table63[[#This Row],[Column29]]="--",0,Table63[[#This Row],[Column2]]*Table63[[#This Row],[Column29]])</calculatedColumnFormula>
    </tableColumn>
    <tableColumn id="31" xr3:uid="{B37D651E-7015-44ED-99E0-23AA038625B1}" name="Column31" headerRowDxfId="160" dataDxfId="159" totalsRowDxfId="158"/>
    <tableColumn id="32" xr3:uid="{44E0BAD1-05A3-4F99-ACAA-2C6C6215DC5C}" name="Column32" headerRowDxfId="157" dataDxfId="156" totalsRowDxfId="155">
      <calculatedColumnFormula>IF(BA8=0,"--",BA8*$BA$3/60/60/24)</calculatedColumnFormula>
    </tableColumn>
    <tableColumn id="76" xr3:uid="{0F60D797-7ED1-4984-8766-07AB6710074B}" name="Column30" headerRowDxfId="154" dataDxfId="153" totalsRowDxfId="152">
      <calculatedColumnFormula>IF(Table63[[#This Row],[Column32]]="--",0,Table63[[#This Row],[Column2]]*Table63[[#This Row],[Column32]])</calculatedColumnFormula>
    </tableColumn>
    <tableColumn id="34" xr3:uid="{87E31D37-416C-40EF-8434-D9CBBF8EB90D}" name="Column34" headerRowDxfId="151" dataDxfId="150" totalsRowDxfId="149"/>
    <tableColumn id="35" xr3:uid="{A982981A-8F70-4000-8A00-41A4025AB29D}" name="Column35" headerRowDxfId="148" dataDxfId="147" totalsRowDxfId="146">
      <calculatedColumnFormula>IF(BD8=0,"--",BD8*$BD$3/60/60/24)</calculatedColumnFormula>
    </tableColumn>
    <tableColumn id="36" xr3:uid="{E79F803D-FD2C-46A3-A0A6-2B85DA82F225}" name="Column36" headerRowDxfId="145" dataDxfId="144" totalsRowDxfId="143">
      <calculatedColumnFormula>IF(Table63[[#This Row],[Column35]]="--",0,Table63[[#This Row],[Column2]]*Table63[[#This Row],[Column35]])</calculatedColumnFormula>
    </tableColumn>
    <tableColumn id="37" xr3:uid="{AA2E5277-7EE5-4D73-8A62-2CA3CEBF187F}" name="Column37" headerRowDxfId="142" dataDxfId="141" totalsRowDxfId="140"/>
    <tableColumn id="38" xr3:uid="{1CA58462-D74E-4669-A98C-AD4CD36A4A75}" name="Column38" headerRowDxfId="139" dataDxfId="138" totalsRowDxfId="137">
      <calculatedColumnFormula>IF(BG8=0,"--",BG8*$BG$3/60/60/24)</calculatedColumnFormula>
    </tableColumn>
    <tableColumn id="39" xr3:uid="{5A2ECC54-C244-4514-BB8C-F16919656F5A}" name="Column39" headerRowDxfId="136" dataDxfId="135" totalsRowDxfId="134">
      <calculatedColumnFormula>IF(Table63[[#This Row],[Column38]]="--",0,Table63[[#This Row],[Column2]]*Table63[[#This Row],[Column38]])</calculatedColumnFormula>
    </tableColumn>
    <tableColumn id="40" xr3:uid="{8F97F0FA-4128-4E07-8317-E4E7073EC555}" name="Column40" headerRowDxfId="133" dataDxfId="132" totalsRowDxfId="131"/>
    <tableColumn id="41" xr3:uid="{89DF5D97-7CF8-4F05-AC37-AE8E3CCC55FA}" name="Column41" headerRowDxfId="130" dataDxfId="129" totalsRowDxfId="128">
      <calculatedColumnFormula>IF(BJ8=0,"--",BJ8*$BJ$3/60/60/24)</calculatedColumnFormula>
    </tableColumn>
    <tableColumn id="77" xr3:uid="{64386D5C-2C93-41A4-ADF5-6780D35ECF0C}" name="Column33" headerRowDxfId="127" dataDxfId="126" totalsRowDxfId="125">
      <calculatedColumnFormula>IF(Table63[[#This Row],[Column41]]="--",0,Table63[[#This Row],[Column2]]*Table63[[#This Row],[Column41]])</calculatedColumnFormula>
    </tableColumn>
    <tableColumn id="90" xr3:uid="{93BA11A5-7306-470F-A84A-38F6D9A51A9A}" name="Column84" headerRowDxfId="124" dataDxfId="123" totalsRowDxfId="122"/>
    <tableColumn id="43" xr3:uid="{0DD6AE98-CA76-44D6-9D56-B92ABA9744C2}" name="Column43" headerRowDxfId="121" dataDxfId="120" totalsRowDxfId="119"/>
    <tableColumn id="44" xr3:uid="{9A3A3063-CDE8-4A4F-935C-8D6568578E52}" name="Column44" headerRowDxfId="118" dataDxfId="117" totalsRowDxfId="116">
      <calculatedColumnFormula>IF(BN8=0,"--",(Table63[[#This Row],[Column84]]*$BN$4*(IF(J8&lt;0.5001,1,IF(J8&lt;2.0001,2,3)))+BN8/$BN$3)/60/24)</calculatedColumnFormula>
    </tableColumn>
    <tableColumn id="78" xr3:uid="{11E1BC1D-7EC0-4057-93C0-1691A1E4B337}" name="Column87" headerRowDxfId="115" dataDxfId="114" totalsRowDxfId="113">
      <calculatedColumnFormula>IF(Table63[[#This Row],[Column44]]="--",0,Table63[[#This Row],[Column2]]*Table63[[#This Row],[Column44]])</calculatedColumnFormula>
    </tableColumn>
    <tableColumn id="46" xr3:uid="{2E859815-39FA-4AE1-AF0E-60BF0AAF8F47}" name="Column46" headerRowDxfId="112" dataDxfId="111" totalsRowDxfId="110"/>
    <tableColumn id="45" xr3:uid="{408A8F97-C7E7-4AE3-BCCC-01A9C1A5FBF0}" name="Column45" headerRowDxfId="109" dataDxfId="108" totalsRowDxfId="107">
      <calculatedColumnFormula>IF(Table63[[#This Row],[Column43]]=0,"--",BO8*$BQ$3)</calculatedColumnFormula>
    </tableColumn>
    <tableColumn id="99" xr3:uid="{9585699B-3633-4F84-A5A0-F81EDFA54C10}" name="Column96" headerRowDxfId="106" dataDxfId="105" totalsRowDxfId="104">
      <calculatedColumnFormula>IF(Table63[[#This Row],[Column45]]="--",0,Table63[[#This Row],[Column2]]*Table63[[#This Row],[Column45]])</calculatedColumnFormula>
    </tableColumn>
    <tableColumn id="47" xr3:uid="{90095873-C0F7-4D66-BA42-6C810D6D3A71}" name="Column47" headerRowDxfId="103" dataDxfId="102"/>
    <tableColumn id="48" xr3:uid="{C78C2E87-33CB-4921-B0F0-E54657238279}" name="Column48" headerRowDxfId="101" dataDxfId="100" totalsRowDxfId="99">
      <calculatedColumnFormula>IF(Table63[[#This Row],[Column7]]+Table63[[#This Row],[Column43]]=0,"--",J8*$BT$4*$BT$5/(24*60)+IF(Table63[[#This Row],[Column43]]=0,0,BT3*Table63[[#This Row],[Column44]]))</calculatedColumnFormula>
    </tableColumn>
    <tableColumn id="98" xr3:uid="{879CA3F1-AD32-492F-B6F7-C9390B8EDE2E}" name="Column95" headerRowDxfId="98" dataDxfId="97" totalsRowDxfId="96">
      <calculatedColumnFormula>IF(Table63[[#This Row],[Column48]]="--",0,Table63[[#This Row],[Column2]]*Table63[[#This Row],[Column48]])</calculatedColumnFormula>
    </tableColumn>
    <tableColumn id="72" xr3:uid="{7F156E1F-3F6D-4395-9695-48CB4D02AF08}" name="Column72" headerRowDxfId="95" dataDxfId="94">
      <calculatedColumnFormula>IF(Table63[[#This Row],[Column37]]="","--",Table63[[#This Row],[Column37]])</calculatedColumnFormula>
    </tableColumn>
    <tableColumn id="74" xr3:uid="{59A48D4B-8E4B-4FD9-A8D6-7BAB67EA5508}" name="Column74" headerRowDxfId="93" dataDxfId="92">
      <calculatedColumnFormula>IF(Table63[[#This Row],[Column44]]="--","--",Table63[[#This Row],[Column84]]+1)</calculatedColumnFormula>
    </tableColumn>
    <tableColumn id="73" xr3:uid="{AC5C0A5A-5EC9-4B8E-92A5-4CD992EE72F5}" name="Column73" headerRowDxfId="91" dataDxfId="90" totalsRowDxfId="89">
      <calculatedColumnFormula>IF(Table63[[#This Row],[Column37]]+Table63[[#This Row],[Column84]]+Table63[[#This Row],[Column43]]=0,"--",(BG8*$BW$3/60+IF(Table63[[#This Row],[Column43]]=0,0,(BM8+1)*$BW$4))/60/24)</calculatedColumnFormula>
    </tableColumn>
    <tableColumn id="97" xr3:uid="{6639F5D4-968D-4215-926F-E7363A7DCC27}" name="Column94" headerRowDxfId="88" dataDxfId="87">
      <calculatedColumnFormula>IF(Table63[[#This Row],[Column73]]="--",0,Table63[[#This Row],[Column2]]*Table63[[#This Row],[Column73]])</calculatedColumnFormula>
    </tableColumn>
    <tableColumn id="49" xr3:uid="{03108EF1-AD24-4DCA-9FA5-A371135150EF}" name="Column49" headerRowDxfId="86" dataDxfId="85" totalsRowDxfId="84">
      <calculatedColumnFormula>IF(J8=0,"--",J8/$CA$3/(24)*CB8)</calculatedColumnFormula>
    </tableColumn>
    <tableColumn id="50" xr3:uid="{832BD6AF-AE3D-4870-8689-0D1FE9789F1C}" name="Column50" headerRowDxfId="83" dataDxfId="82"/>
    <tableColumn id="79" xr3:uid="{21EBBCAF-9EFF-4887-A7DE-C0B48BB206C6}" name="Column76" headerRowDxfId="81" dataDxfId="80">
      <calculatedColumnFormula>IF(Table63[[#This Row],[Column49]]="--",0,Table63[[#This Row],[Column2]]*Table63[[#This Row],[Column49]])</calculatedColumnFormula>
    </tableColumn>
    <tableColumn id="95" xr3:uid="{D30E8FFE-74C1-442C-AF28-2E6D49173F42}" name="Column92" headerRowDxfId="79" dataDxfId="78"/>
    <tableColumn id="100" xr3:uid="{4A1592DC-FA06-4FEE-AE19-9B5632743A41}" name="Column88" headerRowDxfId="77" dataDxfId="76">
      <calculatedColumnFormula>IF(J8=0,"--",(J8*$CD$3)/60/24)</calculatedColumnFormula>
    </tableColumn>
    <tableColumn id="101" xr3:uid="{4AA9979B-D66E-46DB-81C9-B18CE9DE33C3}" name="Column93" headerRowDxfId="75" dataDxfId="74">
      <calculatedColumnFormula>IF(Table63[[#This Row],[Column88]]="--",0,Table63[[#This Row],[Column2]]*Table63[[#This Row],[Column88]])</calculatedColumnFormula>
    </tableColumn>
    <tableColumn id="82" xr3:uid="{37DA232C-4A55-4405-899E-A0AC9DBE0B57}" name="Column78" headerRowDxfId="73" dataDxfId="72"/>
    <tableColumn id="83" xr3:uid="{20BA63DA-6B3B-4D63-A5C9-0C6379CB135B}" name="Column79" headerRowDxfId="71" dataDxfId="70"/>
    <tableColumn id="85" xr3:uid="{7074E406-8B20-42B5-989F-B4D5BCDAF004}" name="Column81" headerRowDxfId="69" dataDxfId="68"/>
    <tableColumn id="84" xr3:uid="{1F0DF0A7-2028-42E4-A53D-76910AD8C9DB}" name="Column80" headerRowDxfId="67" dataDxfId="66"/>
    <tableColumn id="87" xr3:uid="{466E5254-8C72-4D0E-87EA-41245FDF883A}" name="Column82" headerRowDxfId="65" dataDxfId="64"/>
    <tableColumn id="52" xr3:uid="{EF586ECD-5C47-44CA-8D11-AA9E0CD085E4}" name="Column52" headerRowDxfId="63" dataDxfId="62" totalsRowDxfId="61">
      <calculatedColumnFormula>IF(Table63[[#This Row],[Column78]]+Table63[[#This Row],[Column79]]+Table63[[#This Row],[Column81]]+Table63[[#This Row],[Column80]]+Table63[[#This Row],[Column82]]=0,"--",((Table63[[#This Row],[Column78]]*2+Table63[[#This Row],[Column79]]+Table63[[#This Row],[Column81]])*$CK$3+Table63[[#This Row],[Column80]]*$CK$4+Table63[[#This Row],[Column82]]*$CK$5)/60/24)</calculatedColumnFormula>
    </tableColumn>
    <tableColumn id="94" xr3:uid="{1A4906FC-A60D-4A9E-BCC4-B93E050A7624}" name="Column91" headerRowDxfId="60" dataDxfId="59" totalsRowDxfId="58">
      <calculatedColumnFormula>IF(Table63[[#This Row],[Column52]]="--",0,Table63[[#This Row],[Column2]]*Table63[[#This Row],[Column52]])</calculatedColumnFormula>
    </tableColumn>
    <tableColumn id="81" xr3:uid="{68A6560F-3D92-4CCA-BE49-14108F12664A}" name="Column77" headerRowDxfId="57" dataDxfId="56"/>
    <tableColumn id="88" xr3:uid="{5FC895FF-CF32-4B7F-A39E-28017907C1E1}" name="Column51" headerRowDxfId="55" dataDxfId="54">
      <calculatedColumnFormula>IF(Table63[[#This Row],[Column52]]="--","--",Table63[[#This Row],[Column77]]*$CN$3/60/24)</calculatedColumnFormula>
    </tableColumn>
    <tableColumn id="93" xr3:uid="{AE86BA18-06CC-48A5-8E73-EF92DDAA3745}" name="Column90" headerRowDxfId="53" dataDxfId="52">
      <calculatedColumnFormula>IF(Table63[[#This Row],[Column51]]="--",0,Table63[[#This Row],[Column2]]*Table63[[#This Row],[Column51]])</calculatedColumnFormula>
    </tableColumn>
    <tableColumn id="89" xr3:uid="{DA658C73-972C-426C-B9BB-42C7D3F68583}" name="Column83" headerRowDxfId="51" dataDxfId="50">
      <calculatedColumnFormula>IF(Table63[[#This Row],[Column85]]=0,"--",Table63[[#This Row],[Column85]]*Table63[[#This Row],[Column98]]*Table63[[#This Row],[Column97]]/1000000000)</calculatedColumnFormula>
    </tableColumn>
    <tableColumn id="3" xr3:uid="{FA86095C-E88D-4B04-A863-0EE90038C37C}" name="Column85" headerRowDxfId="49" dataDxfId="48"/>
    <tableColumn id="33" xr3:uid="{10B8D4AB-169C-4523-9D0A-1F24A23DC9A4}" name="Column98" headerRowDxfId="47" dataDxfId="46"/>
    <tableColumn id="30" xr3:uid="{32729699-BCC4-4063-B346-065B336CE6E3}" name="Column97" headerRowDxfId="45" dataDxfId="44"/>
    <tableColumn id="53" xr3:uid="{594F3FF5-2954-4F6D-8C7D-D0430605ABB6}" name="Column53" totalsRowFunction="count" headerRowDxfId="43" dataDxfId="42">
      <calculatedColumnFormula>IF(CQ8="--","--",(1+CQ8*$CQ$3)/60/24)</calculatedColumnFormula>
    </tableColumn>
    <tableColumn id="92" xr3:uid="{773D1AE0-DBB0-4AEA-A9C0-2C70057B3EA3}" name="Column89" headerRowDxfId="41" dataDxfId="40">
      <calculatedColumnFormula>IF(Table63[[#This Row],[Column53]]="--",0,Table63[[#This Row],[Column2]]*Table63[[#This Row],[Column53]])</calculatedColumnFormula>
    </tableColumn>
  </tableColumns>
  <tableStyleInfo name="TableStyleMedium11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Uputstvo%20za%20PROPISIVANJE%20VREMENA%20TEHNOLOGIJA%20(1.1).pdf" TargetMode="External"/><Relationship Id="rId6" Type="http://schemas.openxmlformats.org/officeDocument/2006/relationships/comments" Target="../comments1.xml"/><Relationship Id="rId5" Type="http://schemas.openxmlformats.org/officeDocument/2006/relationships/table" Target="../tables/table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../../BPV%20%20%20P%20R%20O%20C%20E%20D%20U%20R%20A/PROPISIVANJE%20TEHNOLOGIJA/Uputstvo%20za%20PROPISIVANJE%20VREMENA%20TEHNOLOGIJA.pdf" TargetMode="External"/><Relationship Id="rId1" Type="http://schemas.openxmlformats.org/officeDocument/2006/relationships/hyperlink" Target="../../BPV%20%20%20P%20R%20O%20C%20E%20D%20U%20R%20A/PROPISIVANJE%20TEHNOLOGIJA/Uputstvo%20za%20PROPISIVANJE%20VREMENA%20TEHNOLOGIJA.pdf" TargetMode="External"/><Relationship Id="rId6" Type="http://schemas.openxmlformats.org/officeDocument/2006/relationships/comments" Target="../comments2.xml"/><Relationship Id="rId5" Type="http://schemas.openxmlformats.org/officeDocument/2006/relationships/table" Target="../tables/table2.xml"/><Relationship Id="rId4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5C675-237A-4494-B5C5-9AB8142D9815}">
  <sheetPr>
    <outlinePr summaryRight="0"/>
    <pageSetUpPr fitToPage="1"/>
  </sheetPr>
  <dimension ref="A1:EU1000"/>
  <sheetViews>
    <sheetView tabSelected="1" zoomScale="85" zoomScaleNormal="85" workbookViewId="0">
      <pane xSplit="2" ySplit="9" topLeftCell="DM206" activePane="bottomRight" state="frozen"/>
      <selection pane="topRight" activeCell="C1" sqref="C1"/>
      <selection pane="bottomLeft" activeCell="A9" sqref="A9"/>
      <selection pane="bottomRight" activeCell="DU3" sqref="DU3"/>
    </sheetView>
  </sheetViews>
  <sheetFormatPr defaultRowHeight="15" outlineLevelCol="1" x14ac:dyDescent="0.25"/>
  <cols>
    <col min="1" max="1" width="48.28515625" bestFit="1" customWidth="1"/>
    <col min="2" max="2" width="9.7109375" customWidth="1"/>
    <col min="3" max="3" width="28.7109375" customWidth="1"/>
    <col min="4" max="4" width="3.140625" style="44" customWidth="1"/>
    <col min="5" max="5" width="4.28515625" style="44" customWidth="1"/>
    <col min="6" max="6" width="6.5703125" style="44" customWidth="1"/>
    <col min="7" max="7" width="6.28515625" customWidth="1"/>
    <col min="8" max="8" width="7.42578125" style="44" customWidth="1"/>
    <col min="9" max="9" width="0.85546875" style="44" customWidth="1"/>
    <col min="10" max="10" width="7.42578125" customWidth="1"/>
    <col min="11" max="11" width="0.85546875" style="27" customWidth="1"/>
    <col min="12" max="12" width="6" customWidth="1"/>
    <col min="13" max="13" width="0.85546875" customWidth="1"/>
    <col min="14" max="14" width="9.85546875" customWidth="1"/>
    <col min="15" max="15" width="7.140625" customWidth="1"/>
    <col min="16" max="16" width="1.42578125" customWidth="1"/>
    <col min="17" max="17" width="7.7109375" customWidth="1"/>
    <col min="18" max="18" width="8.28515625" customWidth="1"/>
    <col min="19" max="19" width="1.42578125" customWidth="1"/>
    <col min="20" max="20" width="7.7109375" customWidth="1"/>
    <col min="21" max="21" width="8.28515625" customWidth="1"/>
    <col min="22" max="22" width="1.42578125" customWidth="1"/>
    <col min="23" max="23" width="7.7109375" customWidth="1"/>
    <col min="24" max="24" width="8.28515625" customWidth="1"/>
    <col min="25" max="25" width="1.42578125" customWidth="1"/>
    <col min="26" max="26" width="7.7109375" customWidth="1"/>
    <col min="27" max="27" width="8.28515625" customWidth="1"/>
    <col min="28" max="28" width="1.42578125" customWidth="1"/>
    <col min="29" max="29" width="7.7109375" customWidth="1"/>
    <col min="30" max="30" width="8.28515625" customWidth="1"/>
    <col min="31" max="31" width="1.42578125" customWidth="1"/>
    <col min="32" max="32" width="7.7109375" customWidth="1"/>
    <col min="33" max="33" width="8.28515625" customWidth="1"/>
    <col min="34" max="34" width="1.42578125" customWidth="1"/>
    <col min="35" max="35" width="7.7109375" customWidth="1"/>
    <col min="36" max="36" width="8.28515625" customWidth="1"/>
    <col min="37" max="37" width="1.42578125" customWidth="1"/>
    <col min="38" max="38" width="7.7109375" customWidth="1"/>
    <col min="39" max="39" width="8.28515625" customWidth="1"/>
    <col min="40" max="40" width="1.42578125" customWidth="1"/>
    <col min="41" max="41" width="7.7109375" customWidth="1"/>
    <col min="42" max="42" width="8.28515625" customWidth="1"/>
    <col min="43" max="43" width="1.42578125" customWidth="1"/>
    <col min="44" max="44" width="7.7109375" customWidth="1"/>
    <col min="45" max="45" width="8.28515625" customWidth="1"/>
    <col min="46" max="46" width="1.42578125" customWidth="1"/>
    <col min="47" max="47" width="7.7109375" customWidth="1"/>
    <col min="48" max="48" width="8.28515625" customWidth="1"/>
    <col min="49" max="49" width="1.42578125" customWidth="1"/>
    <col min="50" max="50" width="7.7109375" customWidth="1"/>
    <col min="51" max="51" width="8.28515625" customWidth="1"/>
    <col min="52" max="52" width="0.85546875" customWidth="1"/>
    <col min="53" max="53" width="4" customWidth="1"/>
    <col min="54" max="54" width="8.7109375" customWidth="1"/>
    <col min="55" max="55" width="0.85546875" style="27" customWidth="1"/>
    <col min="56" max="58" width="3.5703125" customWidth="1"/>
    <col min="59" max="59" width="7.85546875" customWidth="1"/>
    <col min="60" max="60" width="0.85546875" style="27" customWidth="1"/>
    <col min="61" max="61" width="4.42578125" customWidth="1"/>
    <col min="62" max="62" width="8.7109375" customWidth="1"/>
    <col min="63" max="63" width="0.85546875" style="27" customWidth="1"/>
    <col min="64" max="64" width="4.42578125" customWidth="1"/>
    <col min="65" max="65" width="8.7109375" customWidth="1"/>
    <col min="66" max="66" width="0.85546875" style="27" customWidth="1"/>
    <col min="67" max="67" width="4.42578125" customWidth="1"/>
    <col min="68" max="68" width="8.7109375" customWidth="1"/>
    <col min="69" max="69" width="0.85546875" style="27" customWidth="1"/>
    <col min="70" max="70" width="4.28515625" customWidth="1"/>
    <col min="71" max="71" width="7.42578125" customWidth="1"/>
    <col min="72" max="72" width="0.85546875" style="27" customWidth="1"/>
    <col min="73" max="73" width="3.7109375" customWidth="1"/>
    <col min="74" max="74" width="5.7109375" customWidth="1"/>
    <col min="75" max="75" width="8.7109375" customWidth="1"/>
    <col min="76" max="76" width="0.85546875" style="27" customWidth="1"/>
    <col min="77" max="77" width="4.28515625" customWidth="1"/>
    <col min="78" max="78" width="7.28515625" customWidth="1"/>
    <col min="79" max="79" width="0.85546875" style="27" customWidth="1"/>
    <col min="80" max="80" width="4.28515625" customWidth="1"/>
    <col min="81" max="81" width="8.42578125" customWidth="1"/>
    <col min="82" max="82" width="0.85546875" style="27" customWidth="1"/>
    <col min="83" max="83" width="4.28515625" customWidth="1"/>
    <col min="84" max="84" width="7.42578125" customWidth="1"/>
    <col min="85" max="85" width="0.7109375" style="27" customWidth="1"/>
    <col min="86" max="86" width="3.7109375" customWidth="1"/>
    <col min="87" max="87" width="5.7109375" customWidth="1"/>
    <col min="88" max="88" width="8.7109375" customWidth="1"/>
    <col min="89" max="89" width="0.85546875" style="27" customWidth="1"/>
    <col min="90" max="90" width="4.28515625" customWidth="1"/>
    <col min="91" max="91" width="7.28515625" customWidth="1"/>
    <col min="92" max="92" width="0.85546875" style="27" customWidth="1"/>
    <col min="93" max="93" width="4.28515625" customWidth="1"/>
    <col min="94" max="94" width="8.42578125" customWidth="1"/>
    <col min="95" max="95" width="2.85546875" customWidth="1"/>
    <col min="96" max="96" width="0.85546875" style="27" customWidth="1"/>
    <col min="97" max="97" width="5.5703125" customWidth="1"/>
    <col min="98" max="98" width="8.28515625" customWidth="1"/>
    <col min="99" max="99" width="0.85546875" style="27" customWidth="1"/>
    <col min="100" max="101" width="3.7109375" customWidth="1"/>
    <col min="102" max="102" width="6.85546875" customWidth="1"/>
    <col min="103" max="103" width="0.85546875" style="27" customWidth="1"/>
    <col min="104" max="104" width="8" customWidth="1"/>
    <col min="105" max="105" width="5.140625" customWidth="1"/>
    <col min="106" max="106" width="0.85546875" style="27" customWidth="1"/>
    <col min="107" max="107" width="4.28515625" customWidth="1"/>
    <col min="108" max="108" width="9.140625" customWidth="1"/>
    <col min="109" max="109" width="0.85546875" style="27" customWidth="1"/>
    <col min="110" max="110" width="4.28515625" customWidth="1"/>
    <col min="111" max="111" width="8" customWidth="1"/>
    <col min="112" max="112" width="0.85546875" style="27" customWidth="1"/>
    <col min="113" max="115" width="3.28515625" customWidth="1"/>
    <col min="116" max="117" width="4" customWidth="1"/>
    <col min="118" max="118" width="7.85546875" customWidth="1"/>
    <col min="119" max="119" width="0.85546875" style="27" customWidth="1"/>
    <col min="120" max="120" width="3.140625" customWidth="1"/>
    <col min="121" max="121" width="5" customWidth="1"/>
    <col min="122" max="122" width="8.42578125" customWidth="1"/>
    <col min="123" max="123" width="0.85546875" style="27" customWidth="1"/>
    <col min="124" max="124" width="5" customWidth="1"/>
    <col min="125" max="127" width="5" customWidth="1" outlineLevel="1"/>
    <col min="128" max="128" width="7" customWidth="1"/>
    <col min="129" max="129" width="0.85546875" style="27" customWidth="1"/>
    <col min="130" max="130" width="11.140625" customWidth="1"/>
    <col min="131" max="131" width="0.85546875" style="27" customWidth="1"/>
    <col min="132" max="132" width="13.28515625" customWidth="1"/>
    <col min="133" max="133" width="0.85546875" style="27" customWidth="1"/>
    <col min="134" max="134" width="34.7109375" customWidth="1"/>
    <col min="135" max="135" width="0.85546875" style="27" customWidth="1"/>
    <col min="136" max="136" width="39.140625" customWidth="1"/>
    <col min="137" max="137" width="0.85546875" style="27" customWidth="1"/>
    <col min="139" max="139" width="0.85546875" style="27" customWidth="1"/>
  </cols>
  <sheetData>
    <row r="1" spans="1:139" s="7" customFormat="1" ht="25.5" x14ac:dyDescent="0.25">
      <c r="A1" s="1"/>
      <c r="B1" s="1"/>
      <c r="C1" s="1"/>
      <c r="D1" s="1"/>
      <c r="E1" s="1"/>
      <c r="F1" s="1"/>
      <c r="G1" s="1"/>
      <c r="H1" s="1"/>
      <c r="I1" s="1"/>
      <c r="J1" s="255"/>
      <c r="K1" s="255"/>
      <c r="L1" s="120" t="s">
        <v>0</v>
      </c>
      <c r="M1" s="2"/>
      <c r="N1" s="230" t="str">
        <f>IF(N7=0,"",51)</f>
        <v/>
      </c>
      <c r="O1" s="231"/>
      <c r="P1" s="231"/>
      <c r="Q1" s="4"/>
      <c r="R1" s="4"/>
      <c r="S1" s="4"/>
      <c r="T1" s="168" t="s">
        <v>189</v>
      </c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6"/>
      <c r="BA1" s="230" t="str">
        <f>IF(BA7=0,"",53)</f>
        <v/>
      </c>
      <c r="BB1" s="231"/>
      <c r="BC1" s="232"/>
      <c r="BD1" s="230" t="str">
        <f>IF(BD7=0,"",54)</f>
        <v/>
      </c>
      <c r="BE1" s="231"/>
      <c r="BF1" s="231"/>
      <c r="BG1" s="231"/>
      <c r="BH1" s="232"/>
      <c r="BI1" s="230" t="str">
        <f>IF(BI7=0,"",55)</f>
        <v/>
      </c>
      <c r="BJ1" s="231"/>
      <c r="BK1" s="232"/>
      <c r="BL1" s="230" t="str">
        <f>IF(BL7=0,"",56)</f>
        <v/>
      </c>
      <c r="BM1" s="231"/>
      <c r="BN1" s="232"/>
      <c r="BO1" s="230" t="str">
        <f>IF(BO7=0,"",57)</f>
        <v/>
      </c>
      <c r="BP1" s="231"/>
      <c r="BQ1" s="232"/>
      <c r="BR1" s="230" t="str">
        <f>IF(BS7=0,"",58)</f>
        <v/>
      </c>
      <c r="BS1" s="231"/>
      <c r="BT1" s="231"/>
      <c r="BU1" s="231"/>
      <c r="BV1" s="231"/>
      <c r="BW1" s="231"/>
      <c r="BX1" s="232"/>
      <c r="BY1" s="230" t="str">
        <f>IF(BY7=0,"",59)</f>
        <v/>
      </c>
      <c r="BZ1" s="231"/>
      <c r="CA1" s="232"/>
      <c r="CB1" s="230" t="str">
        <f>IF(CB7=0,"",60)</f>
        <v/>
      </c>
      <c r="CC1" s="231"/>
      <c r="CD1" s="232"/>
      <c r="CE1" s="230" t="str">
        <f>IF(CF7=0,"",80)</f>
        <v/>
      </c>
      <c r="CF1" s="231"/>
      <c r="CG1" s="231"/>
      <c r="CH1" s="231"/>
      <c r="CI1" s="231"/>
      <c r="CJ1" s="231"/>
      <c r="CK1" s="232"/>
      <c r="CL1" s="230" t="str">
        <f>IF(CL7=0,"",81)</f>
        <v/>
      </c>
      <c r="CM1" s="231"/>
      <c r="CN1" s="232"/>
      <c r="CO1" s="230" t="str">
        <f>IF(CO7=0,"",82)</f>
        <v/>
      </c>
      <c r="CP1" s="231"/>
      <c r="CQ1" s="231"/>
      <c r="CR1" s="232"/>
      <c r="CS1" s="230" t="str">
        <f>IF(CS7=0,"",83)</f>
        <v/>
      </c>
      <c r="CT1" s="231"/>
      <c r="CU1" s="232"/>
      <c r="CV1" s="230" t="str">
        <f>IF(CV7=0,"",64)</f>
        <v/>
      </c>
      <c r="CW1" s="231"/>
      <c r="CX1" s="231"/>
      <c r="CY1" s="232"/>
      <c r="CZ1" s="230" t="str">
        <f>IF(CZ7=0,"",61)</f>
        <v/>
      </c>
      <c r="DA1" s="231"/>
      <c r="DB1" s="232"/>
      <c r="DC1" s="230" t="str">
        <f>IF(DC7=0,"","P55")</f>
        <v/>
      </c>
      <c r="DD1" s="231"/>
      <c r="DE1" s="232"/>
      <c r="DF1" s="230" t="str">
        <f>IF(DF7=0,"",64)</f>
        <v/>
      </c>
      <c r="DG1" s="231"/>
      <c r="DH1" s="232"/>
      <c r="DI1" s="230" t="str">
        <f>IF(DK7=0,"",63)</f>
        <v/>
      </c>
      <c r="DJ1" s="231"/>
      <c r="DK1" s="231"/>
      <c r="DL1" s="231"/>
      <c r="DM1" s="231"/>
      <c r="DN1" s="231"/>
      <c r="DO1" s="232"/>
      <c r="DP1" s="230" t="str">
        <f>IF(DP7=0,"",65)</f>
        <v/>
      </c>
      <c r="DQ1" s="231"/>
      <c r="DR1" s="231"/>
      <c r="DS1" s="232"/>
      <c r="DT1" s="230" t="str">
        <f>IF(DT7=0,"","ILOP30")</f>
        <v/>
      </c>
      <c r="DU1" s="231"/>
      <c r="DV1" s="231"/>
      <c r="DW1" s="231"/>
      <c r="DX1" s="231"/>
      <c r="DY1" s="232"/>
      <c r="DZ1" s="229"/>
      <c r="EA1" s="227"/>
      <c r="EC1" s="227"/>
      <c r="EE1" s="227"/>
      <c r="EG1" s="227"/>
      <c r="EI1" s="227"/>
    </row>
    <row r="2" spans="1:139" s="194" customFormat="1" ht="25.5" customHeight="1" x14ac:dyDescent="0.25">
      <c r="A2" s="209" t="s">
        <v>3</v>
      </c>
      <c r="C2" s="195"/>
      <c r="D2" s="196" t="s">
        <v>4</v>
      </c>
      <c r="E2" s="259" t="s">
        <v>5</v>
      </c>
      <c r="F2" s="260"/>
      <c r="G2" s="261"/>
      <c r="H2" s="197" t="s">
        <v>6</v>
      </c>
      <c r="I2" s="198"/>
      <c r="J2" s="262" t="s">
        <v>7</v>
      </c>
      <c r="K2" s="263"/>
      <c r="L2" s="199"/>
      <c r="M2" s="200"/>
      <c r="N2" s="201" t="s">
        <v>8</v>
      </c>
      <c r="O2" s="202"/>
      <c r="Q2" s="194" t="s">
        <v>9</v>
      </c>
      <c r="AZ2" s="203"/>
      <c r="BA2" s="233" t="s">
        <v>10</v>
      </c>
      <c r="BB2" s="234"/>
      <c r="BC2" s="235"/>
      <c r="BD2" s="233" t="s">
        <v>72</v>
      </c>
      <c r="BE2" s="234"/>
      <c r="BF2" s="234"/>
      <c r="BG2" s="234"/>
      <c r="BH2" s="235"/>
      <c r="BI2" s="239" t="s">
        <v>74</v>
      </c>
      <c r="BJ2" s="240"/>
      <c r="BK2" s="241"/>
      <c r="BL2" s="239" t="s">
        <v>12</v>
      </c>
      <c r="BM2" s="240"/>
      <c r="BN2" s="241"/>
      <c r="BO2" s="256" t="s">
        <v>13</v>
      </c>
      <c r="BP2" s="257"/>
      <c r="BQ2" s="258"/>
      <c r="BR2" s="239" t="s">
        <v>201</v>
      </c>
      <c r="BS2" s="240"/>
      <c r="BT2" s="240"/>
      <c r="BU2" s="240" t="s">
        <v>202</v>
      </c>
      <c r="BV2" s="240"/>
      <c r="BW2" s="240"/>
      <c r="BX2" s="241"/>
      <c r="BY2" s="239" t="s">
        <v>203</v>
      </c>
      <c r="BZ2" s="240"/>
      <c r="CA2" s="241"/>
      <c r="CB2" s="239" t="s">
        <v>204</v>
      </c>
      <c r="CC2" s="240"/>
      <c r="CD2" s="241"/>
      <c r="CE2" s="248" t="s">
        <v>197</v>
      </c>
      <c r="CF2" s="249"/>
      <c r="CG2" s="249"/>
      <c r="CH2" s="249" t="s">
        <v>198</v>
      </c>
      <c r="CI2" s="249"/>
      <c r="CJ2" s="249"/>
      <c r="CK2" s="250"/>
      <c r="CL2" s="248" t="s">
        <v>205</v>
      </c>
      <c r="CM2" s="249"/>
      <c r="CN2" s="250"/>
      <c r="CO2" s="248" t="s">
        <v>199</v>
      </c>
      <c r="CP2" s="249"/>
      <c r="CQ2" s="249"/>
      <c r="CR2" s="250"/>
      <c r="CS2" s="264" t="s">
        <v>206</v>
      </c>
      <c r="CT2" s="265"/>
      <c r="CU2" s="266"/>
      <c r="CV2" s="239" t="s">
        <v>18</v>
      </c>
      <c r="CW2" s="240"/>
      <c r="CX2" s="240"/>
      <c r="CY2" s="241"/>
      <c r="CZ2" s="256" t="s">
        <v>19</v>
      </c>
      <c r="DA2" s="257"/>
      <c r="DB2" s="258"/>
      <c r="DC2" s="233" t="s">
        <v>191</v>
      </c>
      <c r="DD2" s="234"/>
      <c r="DE2" s="235"/>
      <c r="DF2" s="233" t="s">
        <v>20</v>
      </c>
      <c r="DG2" s="234"/>
      <c r="DH2" s="235"/>
      <c r="DI2" s="239" t="s">
        <v>21</v>
      </c>
      <c r="DJ2" s="240"/>
      <c r="DK2" s="240"/>
      <c r="DL2" s="240"/>
      <c r="DM2" s="240"/>
      <c r="DN2" s="240"/>
      <c r="DO2" s="241"/>
      <c r="DP2" s="239" t="s">
        <v>22</v>
      </c>
      <c r="DQ2" s="240"/>
      <c r="DR2" s="240"/>
      <c r="DS2" s="204"/>
      <c r="DT2" s="236" t="s">
        <v>23</v>
      </c>
      <c r="DU2" s="237"/>
      <c r="DV2" s="237"/>
      <c r="DW2" s="237"/>
      <c r="DX2" s="237"/>
      <c r="DY2" s="238"/>
      <c r="DZ2" s="229"/>
      <c r="EA2" s="227"/>
      <c r="EC2" s="227"/>
      <c r="EE2" s="227"/>
      <c r="EG2" s="227"/>
      <c r="EI2" s="227"/>
    </row>
    <row r="3" spans="1:139" ht="17.25" customHeight="1" x14ac:dyDescent="0.25">
      <c r="A3" s="8"/>
      <c r="B3" s="8"/>
      <c r="D3" s="165"/>
      <c r="E3" s="21" t="s">
        <v>25</v>
      </c>
      <c r="F3" s="22" t="s">
        <v>26</v>
      </c>
      <c r="G3" s="23" t="s">
        <v>27</v>
      </c>
      <c r="H3" s="24"/>
      <c r="I3" s="25"/>
      <c r="J3" s="26">
        <v>4</v>
      </c>
      <c r="L3" s="16" t="s">
        <v>28</v>
      </c>
      <c r="N3" s="28"/>
      <c r="Q3" s="29">
        <v>1</v>
      </c>
      <c r="R3" t="s">
        <v>29</v>
      </c>
      <c r="T3" s="29">
        <v>1.5</v>
      </c>
      <c r="U3" t="s">
        <v>29</v>
      </c>
      <c r="W3" s="29">
        <v>2</v>
      </c>
      <c r="X3" t="s">
        <v>29</v>
      </c>
      <c r="Z3" s="29">
        <v>3</v>
      </c>
      <c r="AA3" t="s">
        <v>29</v>
      </c>
      <c r="AC3" s="29">
        <v>4</v>
      </c>
      <c r="AD3" t="s">
        <v>29</v>
      </c>
      <c r="AF3" s="29">
        <v>5</v>
      </c>
      <c r="AG3" t="s">
        <v>29</v>
      </c>
      <c r="AI3" s="29">
        <v>6</v>
      </c>
      <c r="AJ3" t="s">
        <v>29</v>
      </c>
      <c r="AL3" s="29">
        <v>8</v>
      </c>
      <c r="AM3" t="s">
        <v>29</v>
      </c>
      <c r="AO3" s="29">
        <v>10</v>
      </c>
      <c r="AP3" t="s">
        <v>29</v>
      </c>
      <c r="AR3" s="29">
        <v>12</v>
      </c>
      <c r="AS3" t="s">
        <v>29</v>
      </c>
      <c r="AU3" s="29">
        <v>15</v>
      </c>
      <c r="AV3" t="s">
        <v>29</v>
      </c>
      <c r="AX3" s="29">
        <v>20</v>
      </c>
      <c r="AY3" t="s">
        <v>29</v>
      </c>
      <c r="AZ3" s="16"/>
      <c r="BA3" s="121">
        <v>0.3</v>
      </c>
      <c r="BB3" t="s">
        <v>30</v>
      </c>
      <c r="BC3" s="30"/>
      <c r="BF3">
        <v>1</v>
      </c>
      <c r="BG3" t="s">
        <v>73</v>
      </c>
      <c r="BH3" s="30"/>
      <c r="BI3" s="26">
        <v>360</v>
      </c>
      <c r="BJ3" t="s">
        <v>190</v>
      </c>
      <c r="BK3" s="30"/>
      <c r="BL3" s="26">
        <f>60*0.3</f>
        <v>18</v>
      </c>
      <c r="BM3" t="s">
        <v>32</v>
      </c>
      <c r="BN3" s="30"/>
      <c r="BO3" s="149">
        <f>60*0.4</f>
        <v>24</v>
      </c>
      <c r="BP3" s="153" t="s">
        <v>32</v>
      </c>
      <c r="BQ3" s="151"/>
      <c r="BR3" s="26">
        <f>60*0.3</f>
        <v>18</v>
      </c>
      <c r="BS3" t="s">
        <v>32</v>
      </c>
      <c r="BV3">
        <v>60</v>
      </c>
      <c r="BW3" t="s">
        <v>33</v>
      </c>
      <c r="BX3" s="30"/>
      <c r="BY3" s="31">
        <v>0.25</v>
      </c>
      <c r="BZ3" s="32" t="s">
        <v>34</v>
      </c>
      <c r="CA3" s="33"/>
      <c r="CB3" s="31">
        <v>0.25</v>
      </c>
      <c r="CC3" s="32" t="s">
        <v>34</v>
      </c>
      <c r="CD3" s="34"/>
      <c r="CE3" s="178">
        <v>30</v>
      </c>
      <c r="CF3" s="211" t="s">
        <v>211</v>
      </c>
      <c r="CG3" s="180"/>
      <c r="CH3" s="179" t="s">
        <v>209</v>
      </c>
      <c r="CI3" s="179">
        <f>60/6</f>
        <v>10</v>
      </c>
      <c r="CJ3" s="179" t="s">
        <v>33</v>
      </c>
      <c r="CK3" s="181"/>
      <c r="CL3" s="182">
        <v>0.25</v>
      </c>
      <c r="CM3" s="183" t="s">
        <v>34</v>
      </c>
      <c r="CN3" s="184"/>
      <c r="CO3" s="186">
        <v>0.5</v>
      </c>
      <c r="CP3" s="210" t="s">
        <v>210</v>
      </c>
      <c r="CQ3" s="183"/>
      <c r="CR3" s="34"/>
      <c r="CS3" s="205">
        <f>3000/120</f>
        <v>25</v>
      </c>
      <c r="CT3" s="207" t="s">
        <v>33</v>
      </c>
      <c r="CU3" s="184"/>
      <c r="CW3" s="42">
        <v>3</v>
      </c>
      <c r="CX3" s="53" t="s">
        <v>38</v>
      </c>
      <c r="CY3" s="36"/>
      <c r="CZ3" s="149">
        <v>20</v>
      </c>
      <c r="DA3" s="150" t="s">
        <v>188</v>
      </c>
      <c r="DB3" s="151"/>
      <c r="DC3" s="38">
        <v>166</v>
      </c>
      <c r="DD3" s="39" t="s">
        <v>192</v>
      </c>
      <c r="DE3" s="30"/>
      <c r="DF3" s="38">
        <v>0.5</v>
      </c>
      <c r="DG3" s="39" t="s">
        <v>37</v>
      </c>
      <c r="DH3" s="30"/>
      <c r="DI3" s="40"/>
      <c r="DJ3" s="39"/>
      <c r="DK3" s="39"/>
      <c r="DL3" s="39"/>
      <c r="DM3" s="41">
        <v>1</v>
      </c>
      <c r="DN3" s="42" t="s">
        <v>38</v>
      </c>
      <c r="DO3" s="43"/>
      <c r="DQ3">
        <v>0.3</v>
      </c>
      <c r="DR3" t="s">
        <v>38</v>
      </c>
      <c r="DS3" s="30"/>
      <c r="DT3" s="26">
        <v>10</v>
      </c>
      <c r="DX3" t="s">
        <v>39</v>
      </c>
      <c r="DY3" s="30"/>
      <c r="DZ3" s="229"/>
      <c r="EA3" s="227"/>
      <c r="EC3" s="227"/>
      <c r="EE3" s="227"/>
      <c r="EG3" s="227"/>
      <c r="EI3" s="227"/>
    </row>
    <row r="4" spans="1:139" ht="15.75" customHeight="1" x14ac:dyDescent="0.25">
      <c r="A4" t="s">
        <v>76</v>
      </c>
      <c r="D4" s="165"/>
      <c r="E4" s="47"/>
      <c r="F4" s="141"/>
      <c r="G4" s="142"/>
      <c r="H4" s="45">
        <v>0.19</v>
      </c>
      <c r="I4" s="46"/>
      <c r="J4" s="47"/>
      <c r="K4" s="48"/>
      <c r="L4" s="16"/>
      <c r="N4" s="26"/>
      <c r="Q4">
        <v>2000</v>
      </c>
      <c r="R4" t="s">
        <v>33</v>
      </c>
      <c r="T4">
        <v>1800</v>
      </c>
      <c r="U4" t="s">
        <v>33</v>
      </c>
      <c r="W4">
        <v>1500</v>
      </c>
      <c r="X4" t="s">
        <v>33</v>
      </c>
      <c r="Z4">
        <v>1300</v>
      </c>
      <c r="AA4" t="s">
        <v>33</v>
      </c>
      <c r="AC4">
        <v>800</v>
      </c>
      <c r="AD4" t="s">
        <v>33</v>
      </c>
      <c r="AF4">
        <v>600</v>
      </c>
      <c r="AG4" t="s">
        <v>33</v>
      </c>
      <c r="AI4">
        <v>500</v>
      </c>
      <c r="AJ4" t="s">
        <v>33</v>
      </c>
      <c r="AL4">
        <v>300</v>
      </c>
      <c r="AM4" t="s">
        <v>33</v>
      </c>
      <c r="AO4">
        <v>200</v>
      </c>
      <c r="AP4" t="s">
        <v>33</v>
      </c>
      <c r="AR4">
        <v>100</v>
      </c>
      <c r="AS4" t="s">
        <v>33</v>
      </c>
      <c r="AU4">
        <v>85</v>
      </c>
      <c r="AV4" t="s">
        <v>33</v>
      </c>
      <c r="AX4">
        <v>50</v>
      </c>
      <c r="AY4" t="s">
        <v>33</v>
      </c>
      <c r="AZ4" s="16"/>
      <c r="BA4" s="26"/>
      <c r="BC4" s="30"/>
      <c r="BD4" s="26"/>
      <c r="BF4">
        <v>1</v>
      </c>
      <c r="BG4" t="s">
        <v>73</v>
      </c>
      <c r="BH4" s="30"/>
      <c r="BI4" s="26"/>
      <c r="BK4" s="30"/>
      <c r="BL4" s="26"/>
      <c r="BN4" s="30"/>
      <c r="BO4" s="161"/>
      <c r="BP4" s="153"/>
      <c r="BQ4" s="151"/>
      <c r="BR4" s="49"/>
      <c r="BV4">
        <v>0.5</v>
      </c>
      <c r="BW4" t="s">
        <v>38</v>
      </c>
      <c r="BX4" s="30"/>
      <c r="CA4" s="30"/>
      <c r="CB4" s="50">
        <v>0.5</v>
      </c>
      <c r="CC4" s="51" t="s">
        <v>40</v>
      </c>
      <c r="CD4" s="30"/>
      <c r="CE4" s="185"/>
      <c r="CF4" s="179"/>
      <c r="CG4" s="180"/>
      <c r="CH4" s="179" t="s">
        <v>207</v>
      </c>
      <c r="CI4" s="179">
        <v>2</v>
      </c>
      <c r="CJ4" s="179" t="s">
        <v>38</v>
      </c>
      <c r="CK4" s="181"/>
      <c r="CL4" s="179"/>
      <c r="CM4" s="179"/>
      <c r="CN4" s="181"/>
      <c r="CO4" s="178">
        <f>6</f>
        <v>6</v>
      </c>
      <c r="CP4" s="179" t="s">
        <v>200</v>
      </c>
      <c r="CQ4" s="187"/>
      <c r="CR4" s="30"/>
      <c r="CS4" s="179"/>
      <c r="CT4" s="179"/>
      <c r="CU4" s="181"/>
      <c r="CY4" s="33"/>
      <c r="CZ4" s="152"/>
      <c r="DA4" s="153"/>
      <c r="DB4" s="151"/>
      <c r="DC4" s="174" t="s">
        <v>193</v>
      </c>
      <c r="DD4" s="173">
        <f>(120+12)*4/5*SUM(Table645[Column107])/1000</f>
        <v>0</v>
      </c>
      <c r="DE4" s="33"/>
      <c r="DF4" s="55"/>
      <c r="DG4" s="53"/>
      <c r="DH4" s="33"/>
      <c r="DI4" s="55"/>
      <c r="DJ4" s="53"/>
      <c r="DK4" s="53"/>
      <c r="DL4" s="53"/>
      <c r="DM4" s="56">
        <v>1</v>
      </c>
      <c r="DN4" s="42" t="s">
        <v>41</v>
      </c>
      <c r="DO4" s="43"/>
      <c r="DP4" s="26"/>
      <c r="DQ4">
        <v>0.3</v>
      </c>
      <c r="DR4" t="s">
        <v>45</v>
      </c>
      <c r="DS4" s="30"/>
      <c r="DT4" s="26"/>
      <c r="DY4" s="30"/>
      <c r="DZ4" s="229"/>
      <c r="EA4" s="227"/>
      <c r="EC4" s="227"/>
      <c r="EE4" s="227"/>
      <c r="EG4" s="227"/>
      <c r="EI4" s="227"/>
    </row>
    <row r="5" spans="1:139" ht="17.25" x14ac:dyDescent="0.25">
      <c r="A5" t="s">
        <v>187</v>
      </c>
      <c r="D5" s="165"/>
      <c r="E5" s="47"/>
      <c r="F5" s="141"/>
      <c r="G5" s="143"/>
      <c r="H5" s="24"/>
      <c r="J5" s="171">
        <f>SUBTOTAL(9,Table645[[#All],[Column13]])</f>
        <v>0</v>
      </c>
      <c r="K5" s="57"/>
      <c r="L5" s="16" t="s">
        <v>43</v>
      </c>
      <c r="N5" s="49"/>
      <c r="Q5">
        <f>Q7/Q4</f>
        <v>0</v>
      </c>
      <c r="R5" t="s">
        <v>44</v>
      </c>
      <c r="T5">
        <f>T7/T4</f>
        <v>0</v>
      </c>
      <c r="U5" t="s">
        <v>44</v>
      </c>
      <c r="W5">
        <f>W7/W4</f>
        <v>0</v>
      </c>
      <c r="X5" t="s">
        <v>44</v>
      </c>
      <c r="Z5">
        <f>Z7/Z4</f>
        <v>0</v>
      </c>
      <c r="AA5" t="s">
        <v>44</v>
      </c>
      <c r="AC5">
        <f>AC7/AC4</f>
        <v>0</v>
      </c>
      <c r="AD5" t="s">
        <v>44</v>
      </c>
      <c r="AF5">
        <f>AF7/AF4</f>
        <v>0</v>
      </c>
      <c r="AG5" t="s">
        <v>44</v>
      </c>
      <c r="AI5">
        <f>AI7/AI4</f>
        <v>0</v>
      </c>
      <c r="AJ5" t="s">
        <v>44</v>
      </c>
      <c r="AL5">
        <f>AL7/AL4</f>
        <v>0</v>
      </c>
      <c r="AM5" t="s">
        <v>44</v>
      </c>
      <c r="AO5">
        <f>AO7/AO4</f>
        <v>0</v>
      </c>
      <c r="AP5" t="s">
        <v>44</v>
      </c>
      <c r="AR5">
        <f>AR7/AR4</f>
        <v>0</v>
      </c>
      <c r="AS5" t="s">
        <v>44</v>
      </c>
      <c r="AU5">
        <f>AU7/AU4</f>
        <v>0</v>
      </c>
      <c r="AV5" t="s">
        <v>44</v>
      </c>
      <c r="AX5">
        <f>AX7/AX4</f>
        <v>0</v>
      </c>
      <c r="AY5" t="s">
        <v>44</v>
      </c>
      <c r="AZ5" s="16"/>
      <c r="BA5" s="49"/>
      <c r="BC5" s="30"/>
      <c r="BD5" s="49"/>
      <c r="BE5" s="90"/>
      <c r="BF5" s="90"/>
      <c r="BH5" s="30"/>
      <c r="BI5" s="49"/>
      <c r="BK5" s="30"/>
      <c r="BL5" s="49"/>
      <c r="BN5" s="30"/>
      <c r="BO5" s="149"/>
      <c r="BP5" s="153"/>
      <c r="BQ5" s="151"/>
      <c r="BR5" s="26"/>
      <c r="BV5" s="58"/>
      <c r="BX5" s="30"/>
      <c r="BY5" s="28"/>
      <c r="CA5" s="30"/>
      <c r="CB5" s="26">
        <v>3</v>
      </c>
      <c r="CC5" t="s">
        <v>45</v>
      </c>
      <c r="CD5" s="30"/>
      <c r="CE5" s="208">
        <v>10</v>
      </c>
      <c r="CF5" s="179" t="s">
        <v>38</v>
      </c>
      <c r="CG5" s="180"/>
      <c r="CH5" s="179" t="s">
        <v>208</v>
      </c>
      <c r="CI5" s="212">
        <v>3</v>
      </c>
      <c r="CJ5" s="212" t="s">
        <v>213</v>
      </c>
      <c r="CK5" s="181"/>
      <c r="CL5" s="188"/>
      <c r="CM5" s="179"/>
      <c r="CN5" s="181"/>
      <c r="CQ5" s="179"/>
      <c r="CR5" s="30"/>
      <c r="CS5" s="188"/>
      <c r="CT5" s="179"/>
      <c r="CU5" s="181"/>
      <c r="CV5" s="26"/>
      <c r="CY5" s="30"/>
      <c r="CZ5" s="149"/>
      <c r="DA5" s="153"/>
      <c r="DB5" s="151"/>
      <c r="DC5" s="175" t="s">
        <v>194</v>
      </c>
      <c r="DD5" s="173">
        <f>(120+12)*1/5*SUM(Table645[Column107])/1000</f>
        <v>0</v>
      </c>
      <c r="DE5" s="30"/>
      <c r="DF5" s="136" t="s">
        <v>78</v>
      </c>
      <c r="DG5" s="91">
        <f>CV7+DF7</f>
        <v>0</v>
      </c>
      <c r="DH5" s="30"/>
      <c r="DI5" s="26"/>
      <c r="DM5" s="56">
        <v>1</v>
      </c>
      <c r="DN5" s="42" t="s">
        <v>46</v>
      </c>
      <c r="DO5" s="43"/>
      <c r="DP5" s="26"/>
      <c r="DS5" s="30"/>
      <c r="DT5" s="26"/>
      <c r="DY5" s="30"/>
      <c r="DZ5" s="229"/>
      <c r="EA5" s="227"/>
      <c r="EC5" s="227"/>
      <c r="EE5" s="227"/>
      <c r="EG5" s="227"/>
      <c r="EI5" s="227"/>
    </row>
    <row r="6" spans="1:139" x14ac:dyDescent="0.25">
      <c r="A6" s="177" t="s">
        <v>195</v>
      </c>
      <c r="D6" s="165"/>
      <c r="E6" s="47"/>
      <c r="F6" s="141"/>
      <c r="G6" s="143"/>
      <c r="H6" s="24"/>
      <c r="J6" s="171"/>
      <c r="K6" s="57"/>
      <c r="L6" s="16"/>
      <c r="N6" s="243" t="str">
        <f>IF(COUNT(N10:N300)&gt;0,3/24/60,"--")</f>
        <v>--</v>
      </c>
      <c r="O6" s="243"/>
      <c r="AZ6" s="16"/>
      <c r="BA6" s="242" t="str">
        <f>IF(COUNT(BB10:BB300)&gt;0,3/24/60,"--")</f>
        <v>--</v>
      </c>
      <c r="BB6" s="243"/>
      <c r="BC6" s="30"/>
      <c r="BD6" s="242" t="str">
        <f>IF(COUNT(BG10:BG300)&gt;0,3/24/60,"--")</f>
        <v>--</v>
      </c>
      <c r="BE6" s="243"/>
      <c r="BF6" s="243"/>
      <c r="BG6" s="243"/>
      <c r="BH6" s="30"/>
      <c r="BI6" s="242" t="str">
        <f>IF(COUNT(BJ10:BJ300)&gt;0,3/24/60,"--")</f>
        <v>--</v>
      </c>
      <c r="BJ6" s="243"/>
      <c r="BK6" s="30"/>
      <c r="BL6" s="242" t="str">
        <f>IF(COUNT(BM10:BM300)&gt;0,3/24/60,"--")</f>
        <v>--</v>
      </c>
      <c r="BM6" s="243"/>
      <c r="BN6" s="30"/>
      <c r="BO6" s="242" t="str">
        <f>IF(COUNT(BP10:BP300)&gt;0,COUNT(BP10:BP300)*4/24/60,"--")</f>
        <v>--</v>
      </c>
      <c r="BP6" s="243"/>
      <c r="BQ6" s="151"/>
      <c r="BR6" s="26"/>
      <c r="BS6" s="243" t="str">
        <f>IF(COUNT(BW10:BW300,BS10:BS300)&gt;0,3/24/60,"--")</f>
        <v>--</v>
      </c>
      <c r="BT6" s="243"/>
      <c r="BU6" s="243"/>
      <c r="BV6" s="243"/>
      <c r="BX6" s="30"/>
      <c r="BY6" s="242" t="str">
        <f>IF(COUNT(BZ10:BZ300)&gt;0,3/24/60,"--")</f>
        <v>--</v>
      </c>
      <c r="BZ6" s="243"/>
      <c r="CA6" s="30"/>
      <c r="CB6" s="242" t="str">
        <f>IF(COUNT(CC10:CC300)&gt;0,3/24/60,"--")</f>
        <v>--</v>
      </c>
      <c r="CC6" s="243"/>
      <c r="CD6" s="30"/>
      <c r="CE6" s="178"/>
      <c r="CF6" s="246" t="str">
        <f>IF(COUNT(CF10:CF300)&gt;0,COUNT(CF10:CF300)*CE5/24/60,IF(COUNT(CJ10:CJ300)&gt;0,3/24/60,"--"))</f>
        <v>--</v>
      </c>
      <c r="CG6" s="246"/>
      <c r="CH6" s="246"/>
      <c r="CI6" s="246"/>
      <c r="CJ6" s="179"/>
      <c r="CK6" s="181"/>
      <c r="CL6" s="247" t="str">
        <f>IF(COUNT(CM10:CM300)&gt;0,3/24/60,"--")</f>
        <v>--</v>
      </c>
      <c r="CM6" s="246"/>
      <c r="CN6" s="181"/>
      <c r="CO6" s="247" t="str">
        <f>IF(COUNT(CP10:CP300)&gt;0,3/24/60,"--")</f>
        <v>--</v>
      </c>
      <c r="CP6" s="246"/>
      <c r="CQ6" s="189"/>
      <c r="CR6" s="30"/>
      <c r="CS6" s="247" t="str">
        <f>IF(COUNT(CT10:CT300)&gt;0,3/24/60,"--")</f>
        <v>--</v>
      </c>
      <c r="CT6" s="246"/>
      <c r="CU6" s="181"/>
      <c r="CV6" s="242" t="str">
        <f>IF(COUNT(CX10:CX300)&gt;0,3/24/60,"--")</f>
        <v>--</v>
      </c>
      <c r="CW6" s="243"/>
      <c r="CX6" s="243"/>
      <c r="CY6" s="30"/>
      <c r="CZ6" s="242" t="str">
        <f>IF(COUNT(DA10:DA300)&gt;0,3/24/60,"--")</f>
        <v>--</v>
      </c>
      <c r="DA6" s="243"/>
      <c r="DB6" s="151"/>
      <c r="DC6" s="242" t="str">
        <f>IF(COUNT(DD10:DD300)&gt;0,3/24/60,"--")</f>
        <v>--</v>
      </c>
      <c r="DD6" s="243"/>
      <c r="DE6" s="30"/>
      <c r="DF6" s="242" t="str">
        <f>IF(COUNT(DG10:DG300)=0,"--",IF(COUNT(CX10:CX300)&gt;0,0,3/24/60))</f>
        <v>--</v>
      </c>
      <c r="DG6" s="243"/>
      <c r="DH6" s="30"/>
      <c r="DI6" s="26"/>
      <c r="DK6" s="243" t="str">
        <f>IF(COUNT(DN10:DN300)&gt;0,3/24/60,"--")</f>
        <v>--</v>
      </c>
      <c r="DL6" s="243"/>
      <c r="DM6" s="243"/>
      <c r="DO6" s="43"/>
      <c r="DP6" s="242" t="str">
        <f>IF(COUNT(DR10:DR300)&gt;0,3/24/60,"--")</f>
        <v>--</v>
      </c>
      <c r="DQ6" s="243"/>
      <c r="DR6" s="243"/>
      <c r="DS6" s="30"/>
      <c r="DT6" s="26"/>
      <c r="DX6" s="87" t="str">
        <f>IF(COUNT(DX10:DX300)&gt;0,3/24/60,"--")</f>
        <v>--</v>
      </c>
      <c r="DY6" s="30"/>
      <c r="DZ6" s="176"/>
      <c r="EA6" s="227"/>
      <c r="EC6" s="227"/>
      <c r="EE6" s="227"/>
      <c r="EG6" s="227"/>
      <c r="EI6" s="227"/>
    </row>
    <row r="7" spans="1:139" ht="17.25" x14ac:dyDescent="0.25">
      <c r="A7" s="81" t="s">
        <v>196</v>
      </c>
      <c r="D7" s="166"/>
      <c r="E7" s="144"/>
      <c r="F7" s="145"/>
      <c r="G7" s="146"/>
      <c r="H7" s="63">
        <f>SUBTOTAL(9,Table645[[#All],[Column9]])</f>
        <v>0</v>
      </c>
      <c r="I7" s="64"/>
      <c r="J7" s="65">
        <f>SUBTOTAL(9,Table645[[#All],[Column11]])</f>
        <v>0</v>
      </c>
      <c r="K7" s="66"/>
      <c r="L7" s="62" t="s">
        <v>47</v>
      </c>
      <c r="M7" s="67"/>
      <c r="N7" s="244">
        <f>SUBTOTAL(9,Table645[[#All],[Column52]])</f>
        <v>0</v>
      </c>
      <c r="O7" s="245"/>
      <c r="P7" s="67"/>
      <c r="Q7" s="67">
        <f>SUM(Q10:Q300)</f>
        <v>0</v>
      </c>
      <c r="R7" s="67" t="s">
        <v>29</v>
      </c>
      <c r="S7" s="67"/>
      <c r="T7" s="67">
        <f>SUM(T10:T300)</f>
        <v>0</v>
      </c>
      <c r="U7" s="67" t="s">
        <v>29</v>
      </c>
      <c r="V7" s="67"/>
      <c r="W7" s="67">
        <f>SUM(W10:W300)</f>
        <v>0</v>
      </c>
      <c r="X7" s="67" t="s">
        <v>29</v>
      </c>
      <c r="Y7" s="67"/>
      <c r="Z7" s="67">
        <f>SUM(Z10:Z300)</f>
        <v>0</v>
      </c>
      <c r="AA7" s="67" t="s">
        <v>29</v>
      </c>
      <c r="AB7" s="67"/>
      <c r="AC7" s="67">
        <f>SUM(AC10:AC300)</f>
        <v>0</v>
      </c>
      <c r="AD7" s="67" t="s">
        <v>29</v>
      </c>
      <c r="AE7" s="67"/>
      <c r="AF7" s="67">
        <f>SUM(AF10:AF300)</f>
        <v>0</v>
      </c>
      <c r="AG7" s="67" t="s">
        <v>29</v>
      </c>
      <c r="AH7" s="67"/>
      <c r="AI7" s="67">
        <f>SUM(AI10:AI300)</f>
        <v>0</v>
      </c>
      <c r="AJ7" s="67" t="s">
        <v>29</v>
      </c>
      <c r="AK7" s="67"/>
      <c r="AL7" s="67">
        <f>SUM(AL10:AL300)</f>
        <v>0</v>
      </c>
      <c r="AM7" s="67" t="s">
        <v>29</v>
      </c>
      <c r="AN7" s="67"/>
      <c r="AO7" s="67">
        <f>SUM(AO10:AO300)</f>
        <v>0</v>
      </c>
      <c r="AP7" s="67" t="s">
        <v>29</v>
      </c>
      <c r="AQ7" s="67"/>
      <c r="AR7" s="67">
        <f>SUM(AR10:AR300)</f>
        <v>0</v>
      </c>
      <c r="AS7" s="67" t="s">
        <v>29</v>
      </c>
      <c r="AT7" s="67"/>
      <c r="AU7" s="67">
        <f>SUM(AU10:AU300)</f>
        <v>0</v>
      </c>
      <c r="AV7" s="67" t="s">
        <v>29</v>
      </c>
      <c r="AW7" s="67"/>
      <c r="AX7" s="67">
        <f>SUM(AX10:AX300)</f>
        <v>0</v>
      </c>
      <c r="AY7" s="67" t="s">
        <v>29</v>
      </c>
      <c r="AZ7" s="62"/>
      <c r="BA7" s="244">
        <f>SUBTOTAL(9,Table645[[#All],[Column55]])</f>
        <v>0</v>
      </c>
      <c r="BB7" s="245"/>
      <c r="BC7" s="68"/>
      <c r="BD7" s="244">
        <f>SUBTOTAL(9,Table645[[#All],[Column60]])</f>
        <v>0</v>
      </c>
      <c r="BE7" s="245"/>
      <c r="BF7" s="245"/>
      <c r="BG7" s="245"/>
      <c r="BH7" s="68"/>
      <c r="BI7" s="244">
        <f>SUBTOTAL(9,Table645[[#All],[Column63]])</f>
        <v>0</v>
      </c>
      <c r="BJ7" s="245"/>
      <c r="BK7" s="68"/>
      <c r="BL7" s="244">
        <f>SUBTOTAL(9,Table645[[#All],[Column66]])</f>
        <v>0</v>
      </c>
      <c r="BM7" s="245"/>
      <c r="BN7" s="68"/>
      <c r="BO7" s="253">
        <f>SUBTOTAL(9,Table645[[#All],[Column69]])</f>
        <v>0</v>
      </c>
      <c r="BP7" s="254"/>
      <c r="BQ7" s="154"/>
      <c r="BR7" s="69"/>
      <c r="BS7" s="245">
        <f>SUBTOTAL(9,Table645[[#All],[Column72]])+SUBTOTAL(9,Table645[[#All],[Column76]])</f>
        <v>0</v>
      </c>
      <c r="BT7" s="245"/>
      <c r="BU7" s="245"/>
      <c r="BV7" s="245"/>
      <c r="BW7" s="67"/>
      <c r="BX7" s="68"/>
      <c r="BY7" s="244">
        <f>SUBTOTAL(9,Table645[[#All],[Column79]])</f>
        <v>0</v>
      </c>
      <c r="BZ7" s="245"/>
      <c r="CA7" s="68"/>
      <c r="CB7" s="244">
        <f>SUBTOTAL(9,Table645[[#All],[Column82]])</f>
        <v>0</v>
      </c>
      <c r="CC7" s="245"/>
      <c r="CD7" s="68"/>
      <c r="CE7" s="190"/>
      <c r="CF7" s="268">
        <f>SUBTOTAL(9,Table645[[#All],[Column85]])+SUBTOTAL(9,Table645[[#All],[Column89]])</f>
        <v>0</v>
      </c>
      <c r="CG7" s="268"/>
      <c r="CH7" s="268"/>
      <c r="CI7" s="268"/>
      <c r="CJ7" s="192"/>
      <c r="CK7" s="193"/>
      <c r="CL7" s="267">
        <f>SUBTOTAL(9,Table645[[#All],[Column92]])</f>
        <v>0</v>
      </c>
      <c r="CM7" s="268"/>
      <c r="CN7" s="193"/>
      <c r="CO7" s="267">
        <f>SUBTOTAL(9,Table645[[#All],[Column96]])</f>
        <v>0</v>
      </c>
      <c r="CP7" s="268"/>
      <c r="CQ7" s="191"/>
      <c r="CR7" s="68"/>
      <c r="CS7" s="267">
        <f>SUBTOTAL(9,Table645[[#All],[Column99]])</f>
        <v>0</v>
      </c>
      <c r="CT7" s="268"/>
      <c r="CU7" s="193"/>
      <c r="CV7" s="244">
        <f>SUBTOTAL(9,Table645[[#All],[Column103]])</f>
        <v>0</v>
      </c>
      <c r="CW7" s="245"/>
      <c r="CX7" s="245"/>
      <c r="CY7" s="68"/>
      <c r="CZ7" s="253">
        <f>SUBTOTAL(9,Table645[[#All],[Column106]])</f>
        <v>0</v>
      </c>
      <c r="DA7" s="254"/>
      <c r="DB7" s="154"/>
      <c r="DC7" s="244">
        <f>SUBTOTAL(9,Table645[Column109])</f>
        <v>0</v>
      </c>
      <c r="DD7" s="245"/>
      <c r="DE7" s="68"/>
      <c r="DF7" s="244">
        <f>SUBTOTAL(9,Table645[[#All],[Column112]])</f>
        <v>0</v>
      </c>
      <c r="DG7" s="245"/>
      <c r="DH7" s="68"/>
      <c r="DI7" s="69"/>
      <c r="DJ7" s="67"/>
      <c r="DK7" s="245">
        <f>SUBTOTAL(9,Table645[[#All],[Column119]])</f>
        <v>0</v>
      </c>
      <c r="DL7" s="245"/>
      <c r="DM7" s="245"/>
      <c r="DN7" s="67" t="s">
        <v>48</v>
      </c>
      <c r="DO7" s="68"/>
      <c r="DP7" s="244">
        <f>SUBTOTAL(9,Table645[[#All],[Column123]])</f>
        <v>0</v>
      </c>
      <c r="DQ7" s="245"/>
      <c r="DR7" s="245"/>
      <c r="DS7" s="68"/>
      <c r="DT7" s="244">
        <f>SUBTOTAL(9,Table645[[#All],[Column129]])</f>
        <v>0</v>
      </c>
      <c r="DU7" s="245"/>
      <c r="DV7" s="245"/>
      <c r="DW7" s="245"/>
      <c r="DX7" s="245"/>
      <c r="DY7" s="68"/>
      <c r="DZ7" t="s">
        <v>49</v>
      </c>
      <c r="EA7" s="228"/>
      <c r="EC7" s="228"/>
      <c r="EE7" s="228"/>
      <c r="EG7" s="228"/>
      <c r="EI7" s="228"/>
    </row>
    <row r="8" spans="1:139" s="78" customFormat="1" ht="10.5" customHeight="1" x14ac:dyDescent="0.25">
      <c r="A8" s="70" t="s">
        <v>50</v>
      </c>
      <c r="B8" s="70" t="s">
        <v>51</v>
      </c>
      <c r="C8" s="70" t="s">
        <v>52</v>
      </c>
      <c r="D8" s="156" t="s">
        <v>53</v>
      </c>
      <c r="E8" s="70" t="s">
        <v>29</v>
      </c>
      <c r="F8" s="70" t="s">
        <v>29</v>
      </c>
      <c r="G8" s="70" t="s">
        <v>29</v>
      </c>
      <c r="H8" s="70" t="s">
        <v>43</v>
      </c>
      <c r="I8" s="71"/>
      <c r="J8" s="72" t="s">
        <v>54</v>
      </c>
      <c r="K8" s="73"/>
      <c r="L8" s="70" t="s">
        <v>43</v>
      </c>
      <c r="M8" s="73"/>
      <c r="N8" s="74" t="s">
        <v>48</v>
      </c>
      <c r="O8" s="70" t="s">
        <v>29</v>
      </c>
      <c r="P8" s="70"/>
      <c r="Q8" s="70" t="s">
        <v>29</v>
      </c>
      <c r="R8" s="70"/>
      <c r="S8" s="70"/>
      <c r="T8" s="70" t="s">
        <v>29</v>
      </c>
      <c r="U8" s="70"/>
      <c r="V8" s="70"/>
      <c r="W8" s="70" t="s">
        <v>29</v>
      </c>
      <c r="X8" s="70"/>
      <c r="Y8" s="70"/>
      <c r="Z8" s="70" t="s">
        <v>29</v>
      </c>
      <c r="AA8" s="70"/>
      <c r="AB8" s="70"/>
      <c r="AC8" s="70" t="s">
        <v>29</v>
      </c>
      <c r="AD8" s="70"/>
      <c r="AE8" s="70"/>
      <c r="AF8" s="70" t="s">
        <v>29</v>
      </c>
      <c r="AG8" s="70"/>
      <c r="AH8" s="70"/>
      <c r="AI8" s="70" t="s">
        <v>29</v>
      </c>
      <c r="AJ8" s="70"/>
      <c r="AK8" s="70"/>
      <c r="AL8" s="70" t="s">
        <v>29</v>
      </c>
      <c r="AM8" s="70"/>
      <c r="AN8" s="70"/>
      <c r="AO8" s="70" t="s">
        <v>29</v>
      </c>
      <c r="AP8" s="70"/>
      <c r="AQ8" s="70"/>
      <c r="AR8" s="70" t="s">
        <v>29</v>
      </c>
      <c r="AS8" s="70"/>
      <c r="AT8" s="70"/>
      <c r="AU8" s="70" t="s">
        <v>29</v>
      </c>
      <c r="AV8" s="70"/>
      <c r="AW8" s="70"/>
      <c r="AX8" s="70" t="s">
        <v>29</v>
      </c>
      <c r="AY8" s="70"/>
      <c r="AZ8" s="71"/>
      <c r="BA8" s="74" t="s">
        <v>55</v>
      </c>
      <c r="BB8" s="70" t="s">
        <v>48</v>
      </c>
      <c r="BC8" s="75"/>
      <c r="BD8" s="74" t="s">
        <v>55</v>
      </c>
      <c r="BE8" s="70" t="s">
        <v>59</v>
      </c>
      <c r="BF8" s="74" t="s">
        <v>55</v>
      </c>
      <c r="BG8" s="70" t="s">
        <v>48</v>
      </c>
      <c r="BH8" s="75"/>
      <c r="BI8" s="74" t="s">
        <v>75</v>
      </c>
      <c r="BJ8" s="70" t="s">
        <v>48</v>
      </c>
      <c r="BK8" s="75"/>
      <c r="BL8" s="74" t="s">
        <v>55</v>
      </c>
      <c r="BM8" s="70" t="s">
        <v>48</v>
      </c>
      <c r="BN8" s="75"/>
      <c r="BO8" s="162" t="s">
        <v>56</v>
      </c>
      <c r="BP8" s="156" t="s">
        <v>48</v>
      </c>
      <c r="BQ8" s="157"/>
      <c r="BR8" s="74" t="s">
        <v>55</v>
      </c>
      <c r="BS8" s="70" t="s">
        <v>48</v>
      </c>
      <c r="BT8" s="77"/>
      <c r="BU8" s="70" t="s">
        <v>57</v>
      </c>
      <c r="BV8" s="74" t="s">
        <v>29</v>
      </c>
      <c r="BW8" s="70" t="s">
        <v>48</v>
      </c>
      <c r="BX8" s="75"/>
      <c r="BY8" s="70"/>
      <c r="BZ8" s="74" t="s">
        <v>48</v>
      </c>
      <c r="CA8" s="75"/>
      <c r="CB8" s="70"/>
      <c r="CC8" s="74" t="s">
        <v>48</v>
      </c>
      <c r="CD8" s="75"/>
      <c r="CE8" s="74" t="s">
        <v>55</v>
      </c>
      <c r="CF8" s="70" t="s">
        <v>48</v>
      </c>
      <c r="CG8" s="77"/>
      <c r="CH8" s="70" t="s">
        <v>57</v>
      </c>
      <c r="CI8" s="74" t="s">
        <v>29</v>
      </c>
      <c r="CJ8" s="70" t="s">
        <v>48</v>
      </c>
      <c r="CK8" s="75"/>
      <c r="CL8" s="70"/>
      <c r="CM8" s="74" t="s">
        <v>48</v>
      </c>
      <c r="CN8" s="75"/>
      <c r="CO8" s="70"/>
      <c r="CP8" s="74" t="s">
        <v>48</v>
      </c>
      <c r="CQ8" s="156" t="s">
        <v>59</v>
      </c>
      <c r="CR8" s="75"/>
      <c r="CS8" s="70" t="s">
        <v>29</v>
      </c>
      <c r="CT8" s="74" t="s">
        <v>48</v>
      </c>
      <c r="CU8" s="75"/>
      <c r="CV8" s="70"/>
      <c r="CW8" s="70" t="s">
        <v>53</v>
      </c>
      <c r="CX8" s="74" t="s">
        <v>48</v>
      </c>
      <c r="CY8" s="75"/>
      <c r="CZ8" s="155" t="s">
        <v>48</v>
      </c>
      <c r="DA8" s="156" t="s">
        <v>59</v>
      </c>
      <c r="DB8" s="157"/>
      <c r="DC8" s="78" t="s">
        <v>63</v>
      </c>
      <c r="DD8" s="74" t="s">
        <v>48</v>
      </c>
      <c r="DE8" s="75"/>
      <c r="DG8" s="74" t="s">
        <v>48</v>
      </c>
      <c r="DH8" s="75"/>
      <c r="DI8" s="70" t="s">
        <v>60</v>
      </c>
      <c r="DJ8" s="70" t="s">
        <v>61</v>
      </c>
      <c r="DK8" s="70" t="s">
        <v>62</v>
      </c>
      <c r="DL8" s="70" t="s">
        <v>63</v>
      </c>
      <c r="DM8" s="70" t="s">
        <v>43</v>
      </c>
      <c r="DN8" s="70" t="s">
        <v>48</v>
      </c>
      <c r="DO8" s="75"/>
      <c r="DP8" s="70" t="s">
        <v>53</v>
      </c>
      <c r="DQ8" s="72" t="s">
        <v>54</v>
      </c>
      <c r="DR8" s="74" t="s">
        <v>48</v>
      </c>
      <c r="DS8" s="75"/>
      <c r="DT8" s="70" t="s">
        <v>64</v>
      </c>
      <c r="DU8" s="70" t="s">
        <v>65</v>
      </c>
      <c r="DV8" s="70" t="s">
        <v>66</v>
      </c>
      <c r="DW8" s="70" t="s">
        <v>67</v>
      </c>
      <c r="DX8" s="70" t="s">
        <v>48</v>
      </c>
      <c r="DY8" s="75"/>
      <c r="EA8" s="75"/>
      <c r="EB8" s="78" t="s">
        <v>214</v>
      </c>
      <c r="EC8" s="75"/>
      <c r="ED8" s="78" t="s">
        <v>215</v>
      </c>
      <c r="EE8" s="75"/>
      <c r="EF8" s="78" t="s">
        <v>246</v>
      </c>
      <c r="EG8" s="75"/>
      <c r="EH8" s="78" t="s">
        <v>247</v>
      </c>
      <c r="EI8" s="75"/>
    </row>
    <row r="9" spans="1:139" s="147" customFormat="1" ht="10.5" customHeight="1" x14ac:dyDescent="0.2">
      <c r="A9" s="225" t="s">
        <v>81</v>
      </c>
      <c r="B9" s="225" t="s">
        <v>84</v>
      </c>
      <c r="C9" s="225" t="s">
        <v>89</v>
      </c>
      <c r="D9" s="225" t="s">
        <v>85</v>
      </c>
      <c r="E9" s="225" t="s">
        <v>86</v>
      </c>
      <c r="F9" s="225" t="s">
        <v>87</v>
      </c>
      <c r="G9" s="225" t="s">
        <v>90</v>
      </c>
      <c r="H9" s="225" t="s">
        <v>92</v>
      </c>
      <c r="I9" s="225" t="s">
        <v>94</v>
      </c>
      <c r="J9" s="225" t="s">
        <v>95</v>
      </c>
      <c r="K9" s="225" t="s">
        <v>128</v>
      </c>
      <c r="L9" s="225" t="s">
        <v>96</v>
      </c>
      <c r="M9" s="225" t="s">
        <v>97</v>
      </c>
      <c r="N9" s="225" t="s">
        <v>98</v>
      </c>
      <c r="O9" s="225" t="s">
        <v>99</v>
      </c>
      <c r="P9" s="225" t="s">
        <v>100</v>
      </c>
      <c r="Q9" s="225" t="s">
        <v>101</v>
      </c>
      <c r="R9" s="225" t="s">
        <v>102</v>
      </c>
      <c r="S9" s="225" t="s">
        <v>103</v>
      </c>
      <c r="T9" s="225" t="s">
        <v>104</v>
      </c>
      <c r="U9" s="225" t="s">
        <v>105</v>
      </c>
      <c r="V9" s="225" t="s">
        <v>106</v>
      </c>
      <c r="W9" s="225" t="s">
        <v>107</v>
      </c>
      <c r="X9" s="225" t="s">
        <v>108</v>
      </c>
      <c r="Y9" s="225" t="s">
        <v>109</v>
      </c>
      <c r="Z9" s="225" t="s">
        <v>110</v>
      </c>
      <c r="AA9" s="225" t="s">
        <v>129</v>
      </c>
      <c r="AB9" s="225" t="s">
        <v>130</v>
      </c>
      <c r="AC9" s="225" t="s">
        <v>131</v>
      </c>
      <c r="AD9" s="225" t="s">
        <v>137</v>
      </c>
      <c r="AE9" s="225" t="s">
        <v>133</v>
      </c>
      <c r="AF9" s="225" t="s">
        <v>136</v>
      </c>
      <c r="AG9" s="225" t="s">
        <v>149</v>
      </c>
      <c r="AH9" s="225" t="s">
        <v>141</v>
      </c>
      <c r="AI9" s="225" t="s">
        <v>142</v>
      </c>
      <c r="AJ9" s="225" t="s">
        <v>143</v>
      </c>
      <c r="AK9" s="225" t="s">
        <v>144</v>
      </c>
      <c r="AL9" s="225" t="s">
        <v>145</v>
      </c>
      <c r="AM9" s="225" t="s">
        <v>146</v>
      </c>
      <c r="AN9" s="225" t="s">
        <v>147</v>
      </c>
      <c r="AO9" s="225" t="s">
        <v>148</v>
      </c>
      <c r="AP9" s="225" t="s">
        <v>91</v>
      </c>
      <c r="AQ9" s="225" t="s">
        <v>151</v>
      </c>
      <c r="AR9" s="225" t="s">
        <v>152</v>
      </c>
      <c r="AS9" s="225" t="s">
        <v>155</v>
      </c>
      <c r="AT9" s="225" t="s">
        <v>154</v>
      </c>
      <c r="AU9" s="225" t="s">
        <v>157</v>
      </c>
      <c r="AV9" s="225" t="s">
        <v>158</v>
      </c>
      <c r="AW9" s="225" t="s">
        <v>164</v>
      </c>
      <c r="AX9" s="225" t="s">
        <v>165</v>
      </c>
      <c r="AY9" s="225" t="s">
        <v>179</v>
      </c>
      <c r="AZ9" s="225" t="s">
        <v>175</v>
      </c>
      <c r="BA9" s="225" t="s">
        <v>185</v>
      </c>
      <c r="BB9" s="225" t="s">
        <v>127</v>
      </c>
      <c r="BC9" s="225" t="s">
        <v>114</v>
      </c>
      <c r="BD9" s="225" t="s">
        <v>111</v>
      </c>
      <c r="BE9" s="225" t="s">
        <v>112</v>
      </c>
      <c r="BF9" s="225" t="s">
        <v>113</v>
      </c>
      <c r="BG9" s="225" t="s">
        <v>115</v>
      </c>
      <c r="BH9" s="225" t="s">
        <v>116</v>
      </c>
      <c r="BI9" s="225" t="s">
        <v>126</v>
      </c>
      <c r="BJ9" s="225" t="s">
        <v>117</v>
      </c>
      <c r="BK9" s="225" t="s">
        <v>118</v>
      </c>
      <c r="BL9" s="225" t="s">
        <v>119</v>
      </c>
      <c r="BM9" s="225" t="s">
        <v>120</v>
      </c>
      <c r="BN9" s="225" t="s">
        <v>121</v>
      </c>
      <c r="BO9" s="225" t="s">
        <v>122</v>
      </c>
      <c r="BP9" s="225" t="s">
        <v>123</v>
      </c>
      <c r="BQ9" s="225" t="s">
        <v>124</v>
      </c>
      <c r="BR9" s="225" t="s">
        <v>125</v>
      </c>
      <c r="BS9" s="225" t="s">
        <v>83</v>
      </c>
      <c r="BT9" s="225" t="s">
        <v>160</v>
      </c>
      <c r="BU9" s="225" t="s">
        <v>162</v>
      </c>
      <c r="BV9" s="225" t="s">
        <v>161</v>
      </c>
      <c r="BW9" s="225" t="s">
        <v>88</v>
      </c>
      <c r="BX9" s="225" t="s">
        <v>166</v>
      </c>
      <c r="BY9" s="225" t="s">
        <v>177</v>
      </c>
      <c r="BZ9" s="225" t="s">
        <v>170</v>
      </c>
      <c r="CA9" s="225" t="s">
        <v>171</v>
      </c>
      <c r="CB9" s="225" t="s">
        <v>173</v>
      </c>
      <c r="CC9" s="225" t="s">
        <v>172</v>
      </c>
      <c r="CD9" s="225" t="s">
        <v>174</v>
      </c>
      <c r="CE9" s="225" t="s">
        <v>181</v>
      </c>
      <c r="CF9" s="225" t="s">
        <v>150</v>
      </c>
      <c r="CG9" s="225" t="s">
        <v>182</v>
      </c>
      <c r="CH9" s="225" t="s">
        <v>132</v>
      </c>
      <c r="CI9" s="225" t="s">
        <v>153</v>
      </c>
      <c r="CJ9" s="225" t="s">
        <v>168</v>
      </c>
      <c r="CK9" s="225" t="s">
        <v>186</v>
      </c>
      <c r="CL9" s="225" t="s">
        <v>180</v>
      </c>
      <c r="CM9" s="225" t="s">
        <v>176</v>
      </c>
      <c r="CN9" s="225" t="s">
        <v>167</v>
      </c>
      <c r="CO9" s="225" t="s">
        <v>169</v>
      </c>
      <c r="CP9" s="225" t="s">
        <v>163</v>
      </c>
      <c r="CQ9" s="225" t="s">
        <v>159</v>
      </c>
      <c r="CR9" s="225" t="s">
        <v>156</v>
      </c>
      <c r="CS9" s="225" t="s">
        <v>184</v>
      </c>
      <c r="CT9" s="225" t="s">
        <v>183</v>
      </c>
      <c r="CU9" s="225" t="s">
        <v>82</v>
      </c>
      <c r="CV9" s="225" t="s">
        <v>93</v>
      </c>
      <c r="CW9" s="225" t="s">
        <v>134</v>
      </c>
      <c r="CX9" s="225" t="s">
        <v>135</v>
      </c>
      <c r="CY9" s="225" t="s">
        <v>138</v>
      </c>
      <c r="CZ9" s="225" t="s">
        <v>139</v>
      </c>
      <c r="DA9" s="225" t="s">
        <v>140</v>
      </c>
      <c r="DB9" s="225" t="s">
        <v>178</v>
      </c>
      <c r="DC9" s="225" t="s">
        <v>216</v>
      </c>
      <c r="DD9" s="225" t="s">
        <v>217</v>
      </c>
      <c r="DE9" s="225" t="s">
        <v>218</v>
      </c>
      <c r="DF9" s="225" t="s">
        <v>219</v>
      </c>
      <c r="DG9" s="225" t="s">
        <v>220</v>
      </c>
      <c r="DH9" s="225" t="s">
        <v>221</v>
      </c>
      <c r="DI9" s="225" t="s">
        <v>222</v>
      </c>
      <c r="DJ9" s="225" t="s">
        <v>223</v>
      </c>
      <c r="DK9" s="225" t="s">
        <v>224</v>
      </c>
      <c r="DL9" s="225" t="s">
        <v>225</v>
      </c>
      <c r="DM9" s="225" t="s">
        <v>226</v>
      </c>
      <c r="DN9" s="225" t="s">
        <v>227</v>
      </c>
      <c r="DO9" s="225" t="s">
        <v>228</v>
      </c>
      <c r="DP9" s="225" t="s">
        <v>229</v>
      </c>
      <c r="DQ9" s="225" t="s">
        <v>230</v>
      </c>
      <c r="DR9" s="225" t="s">
        <v>231</v>
      </c>
      <c r="DS9" s="225" t="s">
        <v>232</v>
      </c>
      <c r="DT9" s="225" t="s">
        <v>233</v>
      </c>
      <c r="DU9" s="225" t="s">
        <v>234</v>
      </c>
      <c r="DV9" s="225" t="s">
        <v>235</v>
      </c>
      <c r="DW9" s="225" t="s">
        <v>236</v>
      </c>
      <c r="DX9" s="225" t="s">
        <v>237</v>
      </c>
      <c r="DY9" s="225" t="s">
        <v>238</v>
      </c>
      <c r="DZ9" s="225" t="s">
        <v>239</v>
      </c>
      <c r="EA9" s="225" t="s">
        <v>240</v>
      </c>
      <c r="EB9" s="225" t="s">
        <v>241</v>
      </c>
      <c r="EC9" s="225" t="s">
        <v>242</v>
      </c>
      <c r="ED9" s="225" t="s">
        <v>243</v>
      </c>
      <c r="EE9" s="225" t="s">
        <v>244</v>
      </c>
      <c r="EF9" s="225" t="s">
        <v>245</v>
      </c>
      <c r="EG9" s="225" t="s">
        <v>244</v>
      </c>
      <c r="EI9" s="225" t="s">
        <v>244</v>
      </c>
    </row>
    <row r="10" spans="1:139" x14ac:dyDescent="0.25">
      <c r="B10" s="79"/>
      <c r="C10" s="80"/>
      <c r="D10" s="167"/>
      <c r="E10" s="52"/>
      <c r="F10" s="81"/>
      <c r="G10" s="81"/>
      <c r="H10" s="82" t="str">
        <f t="shared" ref="H10:H34" si="0">IF(E10&gt;0,E10*F10*G10/1000000*8*(1+$H$4),"--")</f>
        <v>--</v>
      </c>
      <c r="I10" s="83">
        <f>IF(Table645[[#This Row],[Column8]]="--",0,Table645[[#This Row],[Column4]]*Table645[[#This Row],[Column8]])</f>
        <v>0</v>
      </c>
      <c r="J10" s="169"/>
      <c r="K10" s="85">
        <f>Table645[[#This Row],[Column4]]*Table645[[#This Row],[Column10]]</f>
        <v>0</v>
      </c>
      <c r="L10" s="170" t="str">
        <f t="shared" ref="L10:L34" si="1">IF(J10=0,"--",J10/$J$3)</f>
        <v>--</v>
      </c>
      <c r="M10" s="85">
        <f>IF(Table645[[#This Row],[Column10]]=0,0,Table645[[#This Row],[Column4]]*Table645[[#This Row],[Column12]])</f>
        <v>0</v>
      </c>
      <c r="N10" s="87" t="str">
        <f t="shared" ref="N10:N34" si="2">IF(SUM(Q10:AX10)=0,"--",(Q10/$Q$4+T10/$T$4+W10/$W$4+Z10/$Z$4+AC10/$AC$4+AF10/$AF$4+AI10/$AI$4+AL10/$AL$4+AO10/$AO$4+AR10/$AR$4+AU10/$AU$4+AX10/$AX$4)/60/24)</f>
        <v>--</v>
      </c>
      <c r="O10" s="138" t="str">
        <f>IF(SUM(Table645[[#This Row],[Column17]:[Column51]])=0,"--",SUM(Table645[[#This Row],[Column17]:[Column51]]))</f>
        <v>--</v>
      </c>
      <c r="AZ10" s="89">
        <f>IF(Table645[[#This Row],[Column14]]="--",0,Table645[[#This Row],[Column4]]*Table645[[#This Row],[Column14]])</f>
        <v>0</v>
      </c>
      <c r="BA10" s="90"/>
      <c r="BB10" s="91" t="str">
        <f>IF(BA10=0,"--",BA10*$BA$3*IF(Table645[[#This Row],[Column5]]&lt;4.1,1,2)/60/24)</f>
        <v>--</v>
      </c>
      <c r="BC10" s="92">
        <f>IF(Table645[[#This Row],[Column54]]="--",0,Table645[[#This Row],[Column4]]*Table645[[#This Row],[Column54]])</f>
        <v>0</v>
      </c>
      <c r="BD10" s="119"/>
      <c r="BE10" s="99"/>
      <c r="BF10" s="119"/>
      <c r="BG10" s="91" t="str">
        <f>IF(BD10+Table645[[#This Row],[Column58]]=0,"--",(BD10*$BF$3*Table645[[#This Row],[Column57]]+Table645[[#This Row],[Column58]]*$BF$4)/60/24)</f>
        <v>--</v>
      </c>
      <c r="BH10" s="92">
        <f>IF(Table645[[#This Row],[Column59]]="--",0,Table645[[#This Row],[Column4]]*Table645[[#This Row],[Column59]])</f>
        <v>0</v>
      </c>
      <c r="BI10" s="93"/>
      <c r="BJ10" s="91" t="str">
        <f>IF(BI10=0,"--",BI10/$BI$3/60/24)</f>
        <v>--</v>
      </c>
      <c r="BK10" s="92">
        <f>IF(Table645[[#This Row],[Column62]]="--",0,Table645[[#This Row],[Column4]]*Table645[[#This Row],[Column62]])</f>
        <v>0</v>
      </c>
      <c r="BL10" s="93"/>
      <c r="BM10" s="91" t="str">
        <f t="shared" ref="BM10:BM34" si="3">IF(BL10=0,"--",BL10*$BL$3/60/60/24)</f>
        <v>--</v>
      </c>
      <c r="BN10" s="92">
        <f>IF(Table645[[#This Row],[Column65]]="--",0,Table645[[#This Row],[Column4]]*Table645[[#This Row],[Column65]])</f>
        <v>0</v>
      </c>
      <c r="BO10" s="163"/>
      <c r="BP10" s="164" t="str">
        <f>IF(BO10=0,"--",BO10*$BO$3/60/60/24)</f>
        <v>--</v>
      </c>
      <c r="BQ10" s="159">
        <f>IF(Table645[[#This Row],[Column68]]="--",0,Table645[[#This Row],[Column4]]*Table645[[#This Row],[Column68]])</f>
        <v>0</v>
      </c>
      <c r="BR10" s="94"/>
      <c r="BS10" s="91" t="str">
        <f>IF(BR10=0,"--",BR10*$BR$3/60/60/24)</f>
        <v>--</v>
      </c>
      <c r="BT10" s="92">
        <f>IF(Table645[[#This Row],[Column71]]="--",0,Table645[[#This Row],[Column4]]*Table645[[#This Row],[Column71]])</f>
        <v>0</v>
      </c>
      <c r="BU10" s="44"/>
      <c r="BV10" s="90"/>
      <c r="BW10" s="91" t="str">
        <f>IF(BV10=0,"--",(Table645[[#This Row],[Column73]]*$BV$4*(IF(J10&lt;0.5001,1,IF(J10&lt;2.0001,2,3)))+BV10/$BV$3)/60/24)</f>
        <v>--</v>
      </c>
      <c r="BX10" s="92">
        <f>IF(Table645[[#This Row],[Column75]]="--",0,Table645[[#This Row],[Column4]]*Table645[[#This Row],[Column75]])</f>
        <v>0</v>
      </c>
      <c r="BY10" s="95" t="s">
        <v>70</v>
      </c>
      <c r="BZ10" s="91" t="str">
        <f>IF(Table645[[#This Row],[Column74]]=0,"--",BW10*$BY$3)</f>
        <v>--</v>
      </c>
      <c r="CA10" s="92">
        <f>IF(Table645[[#This Row],[Column78]]="--",0,Table645[[#This Row],[Column4]]*Table645[[#This Row],[Column78]])</f>
        <v>0</v>
      </c>
      <c r="CB10" s="95" t="s">
        <v>70</v>
      </c>
      <c r="CC10" s="91" t="str">
        <f>IF(Table645[[#This Row],[Column10]]+Table645[[#This Row],[Column74]]=0,"--",J10*$CB$4*$CB$5/(24*60)+IF(Table645[[#This Row],[Column74]]=0,0,$CB$3*Table645[[#This Row],[Column75]]))</f>
        <v>--</v>
      </c>
      <c r="CD10" s="92">
        <f>IF(Table645[[#This Row],[Column81]]="--",0,Table645[[#This Row],[Column4]]*Table645[[#This Row],[Column81]])</f>
        <v>0</v>
      </c>
      <c r="CE10" s="94"/>
      <c r="CF10" s="91" t="str">
        <f>IF(CE10=0,"--",CE10*$BR$3/60/60/24)</f>
        <v>--</v>
      </c>
      <c r="CG10" s="92">
        <f>IF(Table645[[#This Row],[Column84]]="--",0,Table645[[#This Row],[Column4]]*Table645[[#This Row],[Column84]])</f>
        <v>0</v>
      </c>
      <c r="CH10" s="141"/>
      <c r="CI10" s="90"/>
      <c r="CJ10" s="91" t="str">
        <f>IF(CI10=0,"--",(Table645[[#This Row],[Column86]]*$CI$4*(IF(W10&lt;0.5001,1,IF(W10&lt;2.0001,2,3)))+CI10/$CI$3)/60/24)</f>
        <v>--</v>
      </c>
      <c r="CK10" s="92">
        <f>IF(Table645[[#This Row],[Column88]]="--",0,Table645[[#This Row],[Column4]]*Table645[[#This Row],[Column88]])</f>
        <v>0</v>
      </c>
      <c r="CL10" s="95" t="s">
        <v>70</v>
      </c>
      <c r="CM10" s="91" t="str">
        <f>IF(Table645[[#This Row],[Column87]]=0,"--",CJ10*$CL$3)</f>
        <v>--</v>
      </c>
      <c r="CN10" s="92">
        <f>IF(Table645[[#This Row],[Column91]]="--",0,Table645[[#This Row],[Column4]]*Table645[[#This Row],[Column91]])</f>
        <v>0</v>
      </c>
      <c r="CO10" s="95" t="s">
        <v>70</v>
      </c>
      <c r="CP10" s="91" t="str">
        <f>IF(Table645[[#This Row],[Column10]]+Table645[[#This Row],[Column87]]=0, "--", IF($D10="", 1, $D10) * IF($J10="", 1, $J10) * $CO$3 * $CO$4 * IF(Table645[[#This Row],[Column95]]="", 1, Table645[[#This Row],[Column95]]) / (24 * 60))</f>
        <v>--</v>
      </c>
      <c r="CQ10" s="153"/>
      <c r="CR10" s="92">
        <f>IF(Table645[[#This Row],[Column94]]="--",0,Table645[[#This Row],[Column4]]*Table645[[#This Row],[Column94]])</f>
        <v>0</v>
      </c>
      <c r="CS10" s="206" t="str">
        <f>IF(Table645[[#This Row],[Column87]]="","",Table645[[#This Row],[Column87]])</f>
        <v/>
      </c>
      <c r="CT10" s="91" t="str">
        <f>IF(Table645[[#This Row],[Column97]]="","--",Table645[[#This Row],[Column97]]/$CS$3/60/24)</f>
        <v>--</v>
      </c>
      <c r="CU10" s="92">
        <f>IF(Table645[[#This Row],[Column98]]="--",0,Table645[[#This Row],[Column4]]*Table645[[#This Row],[Column98]])</f>
        <v>0</v>
      </c>
      <c r="CV10" s="93"/>
      <c r="CW10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0" s="91" t="str">
        <f>IF(OR(Table645[[#This Row],[Column74]]&gt;0,Table645[[#This Row],[Column87]]&gt;0),(Table645[[#This Row],[Column73]]+Table645[[#This Row],[Column86]]+1)*$CW$3/60/24,"--")</f>
        <v>--</v>
      </c>
      <c r="CY10" s="92">
        <f>IF(Table645[[#This Row],[Column102]]="--",0,Table645[[#This Row],[Column4]]*Table645[[#This Row],[Column102]])</f>
        <v>0</v>
      </c>
      <c r="CZ10" s="158" t="str">
        <f>IF(J10=0,"--",J10/$CZ$3/(24)*DA10)</f>
        <v>--</v>
      </c>
      <c r="DA10" s="153"/>
      <c r="DB10" s="159">
        <f>IF(Table645[[#This Row],[Column104]]="--",0,Table645[[#This Row],[Column4]]*Table645[[#This Row],[Column104]])</f>
        <v>0</v>
      </c>
      <c r="DC10" s="172"/>
      <c r="DD10" s="222" t="str">
        <f>IF(DC10=0,"--",1/$DC$3*1000/(60*60*24)*Table645[[#This Row],[Column107]])</f>
        <v>--</v>
      </c>
      <c r="DE10" s="92">
        <f>IF(Table645[[#This Row],[Column108]]="--",0,Table645[[#This Row],[Column4]]*Table645[[#This Row],[Column108]])</f>
        <v>0</v>
      </c>
      <c r="DF10" s="213" t="s">
        <v>70</v>
      </c>
      <c r="DG10" s="91" t="str">
        <f>IF(DA10=0,"--",(J10*$DF$3)/60/24)</f>
        <v>--</v>
      </c>
      <c r="DH10" s="92">
        <f>IF(Table645[[#This Row],[Column111]]="--",0,Table645[[#This Row],[Column4]]*Table645[[#This Row],[Column111]])</f>
        <v>0</v>
      </c>
      <c r="DI10" s="99"/>
      <c r="DJ10" s="99"/>
      <c r="DK10" s="99"/>
      <c r="DL10" s="99"/>
      <c r="DM10" s="99"/>
      <c r="DN10" s="9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0" s="92">
        <f>IF(Table645[[#This Row],[Column118]]="--",0,Table645[[#This Row],[Column4]]*Table645[[#This Row],[Column118]])</f>
        <v>0</v>
      </c>
      <c r="DP10" s="96"/>
      <c r="DQ10" s="137"/>
      <c r="DR10" s="91" t="str">
        <f>IF(DP10+DQ10&gt;0,(DP10*$DQ$3+DQ10*$DQ$4)/60/24,IF(DN10="--","--",(DP10*$DQ$3+DQ10*$DQ$4)/60/24))</f>
        <v>--</v>
      </c>
      <c r="DS10" s="92">
        <f>IF(Table645[[#This Row],[Column122]]="--",0,Table645[[#This Row],[Column4]]*Table645[[#This Row],[Column122]])</f>
        <v>0</v>
      </c>
      <c r="DT10" t="str">
        <f>IF(Table645[[#This Row],[Column125]]=0,"--",Table645[[#This Row],[Column125]]*Table645[[#This Row],[Column126]]*Table645[[#This Row],[Column127]]/1000000000)</f>
        <v>--</v>
      </c>
      <c r="DU10" s="53"/>
      <c r="DV10" s="53"/>
      <c r="DW10" s="53"/>
      <c r="DX10" s="91" t="str">
        <f>IF(DT10="--","--",(1+DT10*$DT$3)/60/24)</f>
        <v>--</v>
      </c>
      <c r="DY10" s="92">
        <f>IF(Table645[[#This Row],[Column128]]="--",0,Table645[[#This Row],[Column4]]*Table645[[#This Row],[Column128]])</f>
        <v>0</v>
      </c>
      <c r="EA10" s="92">
        <f>IF(Table645[[#This Row],[Column128]]="--",0,Table645[[#This Row],[Column4]]*Table645[[#This Row],[Column128]])</f>
        <v>0</v>
      </c>
      <c r="EC10" s="92">
        <f>IF(Table645[[#This Row],[Column128]]="--",0,Table645[[#This Row],[Column4]]*Table645[[#This Row],[Column128]])</f>
        <v>0</v>
      </c>
      <c r="EE10" s="92">
        <f>IF(Table645[[#This Row],[Column128]]="--",0,Table645[[#This Row],[Column4]]*Table645[[#This Row],[Column128]])</f>
        <v>0</v>
      </c>
      <c r="EG10" s="92">
        <f>IF(Table645[[#This Row],[Column128]]="--",0,Table645[[#This Row],[Column4]]*Table645[[#This Row],[Column128]])</f>
        <v>0</v>
      </c>
      <c r="EI10" s="92">
        <f>IF(Table645[[#This Row],[Column128]]="--",0,Table645[[#This Row],[Column4]]*Table645[[#This Row],[Column128]])</f>
        <v>0</v>
      </c>
    </row>
    <row r="11" spans="1:139" x14ac:dyDescent="0.25">
      <c r="A11" s="140"/>
      <c r="B11" s="79"/>
      <c r="C11" s="140"/>
      <c r="D11" s="167"/>
      <c r="E11" s="52"/>
      <c r="F11" s="81"/>
      <c r="G11" s="81"/>
      <c r="H11" s="102" t="str">
        <f>IF(E11&gt;0,E11*F11*G11/1000000*8*(1+$H$4),"--")</f>
        <v>--</v>
      </c>
      <c r="I11" s="83">
        <f>IF(Table645[[#This Row],[Column8]]="--",0,Table645[[#This Row],[Column4]]*Table645[[#This Row],[Column8]])</f>
        <v>0</v>
      </c>
      <c r="J11" s="169"/>
      <c r="K11" s="85">
        <f>Table645[[#This Row],[Column4]]*Table645[[#This Row],[Column10]]</f>
        <v>0</v>
      </c>
      <c r="L11" s="170" t="str">
        <f>IF(J11=0,"--",J11/$J$3)</f>
        <v>--</v>
      </c>
      <c r="M11" s="214">
        <f>IF(Table645[[#This Row],[Column10]]=0,0,Table645[[#This Row],[Column4]]*Table645[[#This Row],[Column12]])</f>
        <v>0</v>
      </c>
      <c r="N11" s="87" t="str">
        <f>IF(SUM(Q11:AX11)=0,"--",(Q11/$Q$4+T11/$T$4+W11/$W$4+Z11/$Z$4+AC11/$AC$4+AF11/$AF$4+AI11/$AI$4+AL11/$AL$4+AO11/$AO$4+AR11/$AR$4+AU11/$AU$4+AX11/$AX$4)/60/24)</f>
        <v>--</v>
      </c>
      <c r="O11" s="138" t="str">
        <f>IF(SUM(Table645[[#This Row],[Column17]:[Column51]])=0,"--",SUM(Table645[[#This Row],[Column17]:[Column51]]))</f>
        <v>--</v>
      </c>
      <c r="AZ11" s="89">
        <f>IF(Table645[[#This Row],[Column14]]="--",0,Table645[[#This Row],[Column4]]*Table645[[#This Row],[Column14]])</f>
        <v>0</v>
      </c>
      <c r="BA11" s="90"/>
      <c r="BB11" s="91" t="str">
        <f>IF(BA11=0,"--",BA11*$BA$3*IF(Table645[[#This Row],[Column5]]&lt;4.1,1,2)/60/24)</f>
        <v>--</v>
      </c>
      <c r="BC11" s="92">
        <f>IF(Table645[[#This Row],[Column54]]="--",0,Table645[[#This Row],[Column4]]*Table645[[#This Row],[Column54]])</f>
        <v>0</v>
      </c>
      <c r="BD11" s="119"/>
      <c r="BE11" s="119"/>
      <c r="BF11" s="119"/>
      <c r="BG11" s="91" t="str">
        <f>IF(BD11+Table645[[#This Row],[Column58]]=0,"--",(BD11*$BF$3*Table645[[#This Row],[Column57]]+Table645[[#This Row],[Column58]]*$BF$4)/60/24)</f>
        <v>--</v>
      </c>
      <c r="BH11" s="92">
        <f>IF(Table645[[#This Row],[Column59]]="--",0,Table645[[#This Row],[Column4]]*Table645[[#This Row],[Column59]])</f>
        <v>0</v>
      </c>
      <c r="BI11" s="119"/>
      <c r="BJ11" s="91" t="str">
        <f>IF(BI11=0,"--",BI11/$BI$3/60/24)</f>
        <v>--</v>
      </c>
      <c r="BK11" s="92">
        <f>IF(Table645[[#This Row],[Column62]]="--",0,Table645[[#This Row],[Column4]]*Table645[[#This Row],[Column62]])</f>
        <v>0</v>
      </c>
      <c r="BL11" s="93"/>
      <c r="BM11" s="91" t="str">
        <f>IF(BL11=0,"--",BL11*$BL$3/60/60/24)</f>
        <v>--</v>
      </c>
      <c r="BN11" s="92">
        <f>IF(Table645[[#This Row],[Column65]]="--",0,Table645[[#This Row],[Column4]]*Table645[[#This Row],[Column65]])</f>
        <v>0</v>
      </c>
      <c r="BO11" s="163"/>
      <c r="BP11" s="164" t="str">
        <f>IF(BO11=0,"--",BO11*$BO$3/60/60/24)</f>
        <v>--</v>
      </c>
      <c r="BQ11" s="159">
        <f>IF(Table645[[#This Row],[Column68]]="--",0,Table645[[#This Row],[Column4]]*Table645[[#This Row],[Column68]])</f>
        <v>0</v>
      </c>
      <c r="BR11" s="94"/>
      <c r="BS11" s="91" t="str">
        <f>IF(BR11=0,"--",BR11*$BR$3/60/60/24)</f>
        <v>--</v>
      </c>
      <c r="BT11" s="92">
        <f>IF(Table645[[#This Row],[Column71]]="--",0,Table645[[#This Row],[Column4]]*Table645[[#This Row],[Column71]])</f>
        <v>0</v>
      </c>
      <c r="BU11" s="44"/>
      <c r="BV11" s="90"/>
      <c r="BW11" s="91" t="str">
        <f>IF(BV11=0,"--",(Table645[[#This Row],[Column73]]*$BV$4*(IF(J11&lt;0.5001,1,IF(J11&lt;2.0001,2,3)))+BV11/$BV$3)/60/24)</f>
        <v>--</v>
      </c>
      <c r="BX11" s="92">
        <f>IF(Table645[[#This Row],[Column75]]="--",0,Table645[[#This Row],[Column4]]*Table645[[#This Row],[Column75]])</f>
        <v>0</v>
      </c>
      <c r="BY11" s="95" t="s">
        <v>70</v>
      </c>
      <c r="BZ11" s="91" t="str">
        <f>IF(Table645[[#This Row],[Column74]]=0,"--",BW11*$BY$3)</f>
        <v>--</v>
      </c>
      <c r="CA11" s="92">
        <f>IF(Table645[[#This Row],[Column78]]="--",0,Table645[[#This Row],[Column4]]*Table645[[#This Row],[Column78]])</f>
        <v>0</v>
      </c>
      <c r="CB11" s="95" t="s">
        <v>70</v>
      </c>
      <c r="CC11" s="91" t="str">
        <f>IF(Table645[[#This Row],[Column10]]+Table645[[#This Row],[Column74]]=0,"--",J11*$CB$4*$CB$5/(24*60)+IF(Table645[[#This Row],[Column74]]=0,0,$CB$3*Table645[[#This Row],[Column75]]))</f>
        <v>--</v>
      </c>
      <c r="CD11" s="92">
        <f>IF(Table645[[#This Row],[Column81]]="--",0,Table645[[#This Row],[Column4]]*Table645[[#This Row],[Column81]])</f>
        <v>0</v>
      </c>
      <c r="CE11" s="215"/>
      <c r="CF11" s="91" t="str">
        <f>IF(CE11=0,"--",CE11*$BR$3/60/60/24)</f>
        <v>--</v>
      </c>
      <c r="CG11" s="92">
        <f>IF(Table645[[#This Row],[Column84]]="--",0,Table645[[#This Row],[Column4]]*Table645[[#This Row],[Column84]])</f>
        <v>0</v>
      </c>
      <c r="CH11" s="226"/>
      <c r="CI11" s="216"/>
      <c r="CJ11" s="91" t="str">
        <f>IF(CI11=0,"--",(Table645[[#This Row],[Column86]]*$CI$4*(IF(W11&lt;0.5001,1,IF(W11&lt;2.0001,2,3)))+CI11/$CI$3)/60/24)</f>
        <v>--</v>
      </c>
      <c r="CK11" s="92">
        <f>IF(Table645[[#This Row],[Column88]]="--",0,Table645[[#This Row],[Column4]]*Table645[[#This Row],[Column88]])</f>
        <v>0</v>
      </c>
      <c r="CL11" s="95" t="s">
        <v>70</v>
      </c>
      <c r="CM11" s="91" t="str">
        <f>IF(Table645[[#This Row],[Column87]]=0,"--",CJ11*$CL$3)</f>
        <v>--</v>
      </c>
      <c r="CN11" s="92">
        <f>IF(Table645[[#This Row],[Column91]]="--",0,Table645[[#This Row],[Column4]]*Table645[[#This Row],[Column91]])</f>
        <v>0</v>
      </c>
      <c r="CO11" s="95" t="s">
        <v>70</v>
      </c>
      <c r="CP11" s="91" t="str">
        <f>IF(Table645[[#This Row],[Column10]]+Table645[[#This Row],[Column87]]=0, "--", IF($D11="", 1, $D11) * IF($J11="", 1, $J11) * $CO$3 * $CO$4 * IF(Table645[[#This Row],[Column95]]="", 1, Table645[[#This Row],[Column95]]) / (24 * 60))</f>
        <v>--</v>
      </c>
      <c r="CQ11" s="153"/>
      <c r="CR11" s="92">
        <f>IF(Table645[[#This Row],[Column94]]="--",0,Table645[[#This Row],[Column4]]*Table645[[#This Row],[Column94]])</f>
        <v>0</v>
      </c>
      <c r="CS11" s="218" t="str">
        <f>IF(Table645[[#This Row],[Column87]]="","",Table645[[#This Row],[Column87]])</f>
        <v/>
      </c>
      <c r="CT11" s="223" t="str">
        <f>IF(Table645[[#This Row],[Column97]]="","--",Table645[[#This Row],[Column97]]/$CS$3/60/24)</f>
        <v>--</v>
      </c>
      <c r="CU11" s="92">
        <f>IF(Table645[[#This Row],[Column98]]="--",0,Table645[[#This Row],[Column4]]*Table645[[#This Row],[Column98]])</f>
        <v>0</v>
      </c>
      <c r="CV11" s="93"/>
      <c r="CW11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1" s="91" t="str">
        <f>IF(OR(Table645[[#This Row],[Column74]]&gt;0,Table645[[#This Row],[Column87]]&gt;0),(Table645[[#This Row],[Column73]]+Table645[[#This Row],[Column86]]+1)*$CW$3/60/24,"--")</f>
        <v>--</v>
      </c>
      <c r="CY11" s="92">
        <f>IF(Table645[[#This Row],[Column102]]="--",0,Table645[[#This Row],[Column4]]*Table645[[#This Row],[Column102]])</f>
        <v>0</v>
      </c>
      <c r="CZ11" s="158" t="str">
        <f>IF(J11=0,"--",J11/$CZ$3/(24)*DA11)</f>
        <v>--</v>
      </c>
      <c r="DA11" s="153"/>
      <c r="DB11" s="159">
        <f>IF(Table645[[#This Row],[Column104]]="--",0,Table645[[#This Row],[Column4]]*Table645[[#This Row],[Column104]])</f>
        <v>0</v>
      </c>
      <c r="DC11" s="221"/>
      <c r="DD11" s="220" t="str">
        <f>IF(DC11=0,"--",1/$DC$3*1000/(60*60*24)*Table645[[#This Row],[Column107]])</f>
        <v>--</v>
      </c>
      <c r="DE11" s="160">
        <f>IF(Table645[[#This Row],[Column108]]="--",0,Table645[[#This Row],[Column4]]*Table645[[#This Row],[Column108]])</f>
        <v>0</v>
      </c>
      <c r="DF11" s="213" t="s">
        <v>70</v>
      </c>
      <c r="DG11" s="91" t="str">
        <f>IF(DA11=0,"--",(J11*$DF$3)/60/24)</f>
        <v>--</v>
      </c>
      <c r="DH11" s="92">
        <f>IF(Table645[[#This Row],[Column111]]="--",0,Table645[[#This Row],[Column4]]*Table645[[#This Row],[Column111]])</f>
        <v>0</v>
      </c>
      <c r="DI11" s="99"/>
      <c r="DJ11" s="99"/>
      <c r="DK11" s="99"/>
      <c r="DL11" s="99"/>
      <c r="DM11" s="99"/>
      <c r="DN11" s="9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1" s="92">
        <f>IF(Table645[[#This Row],[Column118]]="--",0,Table645[[#This Row],[Column4]]*Table645[[#This Row],[Column118]])</f>
        <v>0</v>
      </c>
      <c r="DP11" s="96"/>
      <c r="DQ11" s="137"/>
      <c r="DR11" s="91" t="str">
        <f>IF(DP11+DQ11&gt;0,(DP11*$DQ$3+DQ11*$DQ$4)/60/24,IF(DN11="--","--",(DP11*$DQ$3+DQ11*$DQ$4)/60/24))</f>
        <v>--</v>
      </c>
      <c r="DS11" s="92">
        <f>IF(Table645[[#This Row],[Column122]]="--",0,Table645[[#This Row],[Column4]]*Table645[[#This Row],[Column122]])</f>
        <v>0</v>
      </c>
      <c r="DT11" t="str">
        <f>IF(Table645[[#This Row],[Column125]]=0,"--",Table645[[#This Row],[Column125]]*Table645[[#This Row],[Column126]]*Table645[[#This Row],[Column127]]/1000000000)</f>
        <v>--</v>
      </c>
      <c r="DU11" s="53"/>
      <c r="DV11" s="53"/>
      <c r="DW11" s="53"/>
      <c r="DX11" s="91" t="str">
        <f>IF(DT11="--","--",(1+DT11*$DT$3)/60/24)</f>
        <v>--</v>
      </c>
      <c r="DY11" s="92">
        <f>IF(Table645[[#This Row],[Column128]]="--",0,Table645[[#This Row],[Column4]]*Table645[[#This Row],[Column128]])</f>
        <v>0</v>
      </c>
      <c r="EA11" s="92">
        <f>IF(Table645[[#This Row],[Column128]]="--",0,Table645[[#This Row],[Column4]]*Table645[[#This Row],[Column128]])</f>
        <v>0</v>
      </c>
      <c r="EC11" s="92">
        <f>IF(Table645[[#This Row],[Column128]]="--",0,Table645[[#This Row],[Column4]]*Table645[[#This Row],[Column128]])</f>
        <v>0</v>
      </c>
      <c r="EE11" s="92">
        <f>IF(Table645[[#This Row],[Column128]]="--",0,Table645[[#This Row],[Column4]]*Table645[[#This Row],[Column128]])</f>
        <v>0</v>
      </c>
      <c r="EG11" s="92">
        <f>IF(Table645[[#This Row],[Column128]]="--",0,Table645[[#This Row],[Column4]]*Table645[[#This Row],[Column128]])</f>
        <v>0</v>
      </c>
      <c r="EI11" s="92">
        <f>IF(Table645[[#This Row],[Column128]]="--",0,Table645[[#This Row],[Column4]]*Table645[[#This Row],[Column128]])</f>
        <v>0</v>
      </c>
    </row>
    <row r="12" spans="1:139" x14ac:dyDescent="0.25">
      <c r="B12" s="79"/>
      <c r="C12" s="148"/>
      <c r="D12" s="167"/>
      <c r="E12" s="52"/>
      <c r="F12" s="81"/>
      <c r="G12" s="81"/>
      <c r="H12" s="82" t="str">
        <f t="shared" si="0"/>
        <v>--</v>
      </c>
      <c r="I12" s="100">
        <f>IF(Table645[[#This Row],[Column8]]="--",0,Table645[[#This Row],[Column4]]*Table645[[#This Row],[Column8]])</f>
        <v>0</v>
      </c>
      <c r="J12" s="169"/>
      <c r="K12" s="85">
        <f>Table645[[#This Row],[Column4]]*Table645[[#This Row],[Column10]]</f>
        <v>0</v>
      </c>
      <c r="L12" s="170" t="str">
        <f t="shared" si="1"/>
        <v>--</v>
      </c>
      <c r="M12" s="85">
        <f>IF(Table645[[#This Row],[Column10]]=0,0,Table645[[#This Row],[Column4]]*Table645[[#This Row],[Column12]])</f>
        <v>0</v>
      </c>
      <c r="N12" s="87" t="str">
        <f t="shared" si="2"/>
        <v>--</v>
      </c>
      <c r="O12" s="138" t="str">
        <f>IF(SUM(Table645[[#This Row],[Column17]:[Column51]])=0,"--",SUM(Table645[[#This Row],[Column17]:[Column51]]))</f>
        <v>--</v>
      </c>
      <c r="AZ12" s="89">
        <f>IF(Table645[[#This Row],[Column14]]="--",0,Table645[[#This Row],[Column4]]*Table645[[#This Row],[Column14]])</f>
        <v>0</v>
      </c>
      <c r="BA12" s="90"/>
      <c r="BB12" s="91" t="str">
        <f>IF(BA12=0,"--",BA12*$BA$3*IF(Table645[[#This Row],[Column5]]&lt;4.1,1,2)/60/24)</f>
        <v>--</v>
      </c>
      <c r="BC12" s="92">
        <f>IF(Table645[[#This Row],[Column54]]="--",0,Table645[[#This Row],[Column4]]*Table645[[#This Row],[Column54]])</f>
        <v>0</v>
      </c>
      <c r="BD12" s="119"/>
      <c r="BE12" s="99"/>
      <c r="BF12" s="119"/>
      <c r="BG12" s="91" t="str">
        <f>IF(BD12+Table645[[#This Row],[Column58]]=0,"--",(BD12*$BF$3*Table645[[#This Row],[Column57]]+Table645[[#This Row],[Column58]]*$BF$4)/60/24)</f>
        <v>--</v>
      </c>
      <c r="BH12" s="92">
        <f>IF(Table645[[#This Row],[Column59]]="--",0,Table645[[#This Row],[Column4]]*Table645[[#This Row],[Column59]])</f>
        <v>0</v>
      </c>
      <c r="BI12" s="93"/>
      <c r="BJ12" s="91" t="str">
        <f t="shared" ref="BJ12:BJ34" si="4">IF(BI12=0,"--",BI12/$BI$3/60/24)</f>
        <v>--</v>
      </c>
      <c r="BK12" s="89">
        <f>IF(Table645[[#This Row],[Column62]]="--",0,Table645[[#This Row],[Column4]]*Table645[[#This Row],[Column62]])</f>
        <v>0</v>
      </c>
      <c r="BL12" s="93"/>
      <c r="BM12" s="91" t="str">
        <f t="shared" si="3"/>
        <v>--</v>
      </c>
      <c r="BN12" s="89">
        <f>IF(Table645[[#This Row],[Column65]]="--",0,Table645[[#This Row],[Column4]]*Table645[[#This Row],[Column65]])</f>
        <v>0</v>
      </c>
      <c r="BO12" s="163"/>
      <c r="BP12" s="164" t="str">
        <f t="shared" ref="BP12:BP34" si="5">IF(BO12=0,"--",BO12*$BO$3/60/60/24)</f>
        <v>--</v>
      </c>
      <c r="BQ12" s="160">
        <f>IF(Table645[[#This Row],[Column68]]="--",0,Table645[[#This Row],[Column4]]*Table645[[#This Row],[Column68]])</f>
        <v>0</v>
      </c>
      <c r="BR12" s="94"/>
      <c r="BS12" s="91" t="str">
        <f t="shared" ref="BS12:BS34" si="6">IF(BR12=0,"--",BR12*$BR$3/60/60/24)</f>
        <v>--</v>
      </c>
      <c r="BT12" s="92">
        <f>IF(Table645[[#This Row],[Column71]]="--",0,Table645[[#This Row],[Column4]]*Table645[[#This Row],[Column71]])</f>
        <v>0</v>
      </c>
      <c r="BU12" s="44"/>
      <c r="BV12" s="90"/>
      <c r="BW12" s="91" t="str">
        <f>IF(BV12=0,"--",(Table645[[#This Row],[Column73]]*$BV$4*(IF(J12&lt;0.5001,1,IF(J12&lt;2.0001,2,3)))+BV12/$BV$3)/60/24)</f>
        <v>--</v>
      </c>
      <c r="BX12" s="92">
        <f>IF(Table645[[#This Row],[Column75]]="--",0,Table645[[#This Row],[Column4]]*Table645[[#This Row],[Column75]])</f>
        <v>0</v>
      </c>
      <c r="BY12" s="95" t="s">
        <v>70</v>
      </c>
      <c r="BZ12" s="91" t="str">
        <f>IF(Table645[[#This Row],[Column74]]=0,"--",BW12*$BY$3)</f>
        <v>--</v>
      </c>
      <c r="CA12" s="89">
        <f>IF(Table645[[#This Row],[Column78]]="--",0,Table645[[#This Row],[Column4]]*Table645[[#This Row],[Column78]])</f>
        <v>0</v>
      </c>
      <c r="CB12" s="95" t="s">
        <v>70</v>
      </c>
      <c r="CC12" s="91" t="str">
        <f>IF(Table645[[#This Row],[Column10]]+Table645[[#This Row],[Column74]]=0,"--",J12*$CB$4*$CB$5/(24*60)+IF(Table645[[#This Row],[Column74]]=0,0,$CB$3*Table645[[#This Row],[Column75]]))</f>
        <v>--</v>
      </c>
      <c r="CD12" s="92">
        <f>IF(Table645[[#This Row],[Column81]]="--",0,Table645[[#This Row],[Column4]]*Table645[[#This Row],[Column81]])</f>
        <v>0</v>
      </c>
      <c r="CE12" s="94"/>
      <c r="CF12" s="91" t="str">
        <f t="shared" ref="CF12:CF34" si="7">IF(CE12=0,"--",CE12*$BR$3/60/60/24)</f>
        <v>--</v>
      </c>
      <c r="CG12" s="92">
        <f>IF(Table645[[#This Row],[Column84]]="--",0,Table645[[#This Row],[Column4]]*Table645[[#This Row],[Column84]])</f>
        <v>0</v>
      </c>
      <c r="CH12" s="226"/>
      <c r="CI12" s="90"/>
      <c r="CJ12" s="91" t="str">
        <f>IF(CI12=0,"--",(Table645[[#This Row],[Column86]]*$CI$4*(IF(W12&lt;0.5001,1,IF(W12&lt;2.0001,2,3)))+CI12/$CI$3)/60/24)</f>
        <v>--</v>
      </c>
      <c r="CK12" s="92">
        <f>IF(Table645[[#This Row],[Column88]]="--",0,Table645[[#This Row],[Column4]]*Table645[[#This Row],[Column88]])</f>
        <v>0</v>
      </c>
      <c r="CL12" s="95" t="s">
        <v>70</v>
      </c>
      <c r="CM12" s="91" t="str">
        <f>IF(Table645[[#This Row],[Column87]]=0,"--",CJ12*$CL$3)</f>
        <v>--</v>
      </c>
      <c r="CN12" s="89">
        <f>IF(Table645[[#This Row],[Column91]]="--",0,Table645[[#This Row],[Column4]]*Table645[[#This Row],[Column91]])</f>
        <v>0</v>
      </c>
      <c r="CO12" s="95" t="s">
        <v>70</v>
      </c>
      <c r="CP12" s="91" t="str">
        <f>IF(Table645[[#This Row],[Column10]]+Table645[[#This Row],[Column87]]=0, "--", IF($D12="", 1, $D12) * IF($J12="", 1, $J12) * $CO$3 * $CO$4 * IF(Table645[[#This Row],[Column95]]="", 1, Table645[[#This Row],[Column95]]) / (24 * 60))</f>
        <v>--</v>
      </c>
      <c r="CQ12" s="153"/>
      <c r="CR12" s="92">
        <f>IF(Table645[[#This Row],[Column94]]="--",0,Table645[[#This Row],[Column4]]*Table645[[#This Row],[Column94]])</f>
        <v>0</v>
      </c>
      <c r="CS12" s="206" t="str">
        <f>IF(Table645[[#This Row],[Column87]]="","",Table645[[#This Row],[Column87]])</f>
        <v/>
      </c>
      <c r="CT12" s="91" t="str">
        <f>IF(Table645[[#This Row],[Column97]]="","--",Table645[[#This Row],[Column97]]/$CS$3/60/24)</f>
        <v>--</v>
      </c>
      <c r="CU12" s="89">
        <f>IF(Table645[[#This Row],[Column98]]="--",0,Table645[[#This Row],[Column4]]*Table645[[#This Row],[Column98]])</f>
        <v>0</v>
      </c>
      <c r="CV12" s="93"/>
      <c r="CW12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2" s="91" t="str">
        <f>IF(OR(Table645[[#This Row],[Column74]]&gt;0,Table645[[#This Row],[Column87]]&gt;0),(Table645[[#This Row],[Column73]]+Table645[[#This Row],[Column86]]+1)*$CW$3/60/24,"--")</f>
        <v>--</v>
      </c>
      <c r="CY12" s="92">
        <f>IF(Table645[[#This Row],[Column102]]="--",0,Table645[[#This Row],[Column4]]*Table645[[#This Row],[Column102]])</f>
        <v>0</v>
      </c>
      <c r="CZ12" s="158" t="str">
        <f t="shared" ref="CZ12:CZ34" si="8">IF(J12=0,"--",J12/$CZ$3/(24)*DA12)</f>
        <v>--</v>
      </c>
      <c r="DA12" s="153"/>
      <c r="DB12" s="160">
        <f>IF(Table645[[#This Row],[Column104]]="--",0,Table645[[#This Row],[Column4]]*Table645[[#This Row],[Column104]])</f>
        <v>0</v>
      </c>
      <c r="DC12" s="116"/>
      <c r="DD12" s="222" t="str">
        <f>IF(DC12=0,"--",1/$DC$3*1000/(60*60*24)*Table645[[#This Row],[Column107]])</f>
        <v>--</v>
      </c>
      <c r="DE12" s="89">
        <f>IF(Table645[[#This Row],[Column108]]="--",0,Table645[[#This Row],[Column4]]*Table645[[#This Row],[Column108]])</f>
        <v>0</v>
      </c>
      <c r="DF12" s="101" t="s">
        <v>70</v>
      </c>
      <c r="DG12" s="91" t="str">
        <f t="shared" ref="DG12:DG34" si="9">IF(DA12=0,"--",(J12*$DF$3)/60/24)</f>
        <v>--</v>
      </c>
      <c r="DH12" s="89">
        <f>IF(Table645[[#This Row],[Column111]]="--",0,Table645[[#This Row],[Column4]]*Table645[[#This Row],[Column111]])</f>
        <v>0</v>
      </c>
      <c r="DI12" s="96"/>
      <c r="DJ12" s="96"/>
      <c r="DK12" s="96"/>
      <c r="DL12" s="96"/>
      <c r="DM12" s="96"/>
      <c r="DN12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2" s="89">
        <f>IF(Table645[[#This Row],[Column118]]="--",0,Table645[[#This Row],[Column4]]*Table645[[#This Row],[Column118]])</f>
        <v>0</v>
      </c>
      <c r="DP12" s="96"/>
      <c r="DQ12" s="96"/>
      <c r="DR12" s="91" t="str">
        <f t="shared" ref="DR12:DR34" si="10">IF(DP12+DQ12&gt;0,(DP12*$DQ$3+DQ12*$DQ$4)/60/24,IF(DN12="--","--",(DP12*$DQ$3+DQ12*$DQ$4)/60/24))</f>
        <v>--</v>
      </c>
      <c r="DS12" s="89">
        <f>IF(Table645[[#This Row],[Column122]]="--",0,Table645[[#This Row],[Column4]]*Table645[[#This Row],[Column122]])</f>
        <v>0</v>
      </c>
      <c r="DT12" t="str">
        <f>IF(Table645[[#This Row],[Column125]]=0,"--",Table645[[#This Row],[Column125]]*Table645[[#This Row],[Column126]]*Table645[[#This Row],[Column127]]/1000000000)</f>
        <v>--</v>
      </c>
      <c r="DU12" s="53"/>
      <c r="DV12" s="53"/>
      <c r="DW12" s="53"/>
      <c r="DX12" s="91" t="str">
        <f t="shared" ref="DX12:DX34" si="11">IF(DT12="--","--",(1+DT12*$DT$3)/60/24)</f>
        <v>--</v>
      </c>
      <c r="DY12" s="89">
        <f>IF(Table645[[#This Row],[Column128]]="--",0,Table645[[#This Row],[Column4]]*Table645[[#This Row],[Column128]])</f>
        <v>0</v>
      </c>
      <c r="EA12" s="89">
        <f>IF(Table645[[#This Row],[Column128]]="--",0,Table645[[#This Row],[Column4]]*Table645[[#This Row],[Column128]])</f>
        <v>0</v>
      </c>
      <c r="EC12" s="89">
        <f>IF(Table645[[#This Row],[Column128]]="--",0,Table645[[#This Row],[Column4]]*Table645[[#This Row],[Column128]])</f>
        <v>0</v>
      </c>
      <c r="EE12" s="89">
        <f>IF(Table645[[#This Row],[Column128]]="--",0,Table645[[#This Row],[Column4]]*Table645[[#This Row],[Column128]])</f>
        <v>0</v>
      </c>
      <c r="EG12" s="89">
        <f>IF(Table645[[#This Row],[Column128]]="--",0,Table645[[#This Row],[Column4]]*Table645[[#This Row],[Column128]])</f>
        <v>0</v>
      </c>
      <c r="EI12" s="89">
        <f>IF(Table645[[#This Row],[Column128]]="--",0,Table645[[#This Row],[Column4]]*Table645[[#This Row],[Column128]])</f>
        <v>0</v>
      </c>
    </row>
    <row r="13" spans="1:139" x14ac:dyDescent="0.25">
      <c r="B13" s="79"/>
      <c r="C13" s="148"/>
      <c r="D13" s="167"/>
      <c r="E13" s="52"/>
      <c r="F13" s="81"/>
      <c r="G13" s="81"/>
      <c r="H13" s="82" t="str">
        <f t="shared" si="0"/>
        <v>--</v>
      </c>
      <c r="I13" s="100">
        <f>IF(Table645[[#This Row],[Column8]]="--",0,Table645[[#This Row],[Column4]]*Table645[[#This Row],[Column8]])</f>
        <v>0</v>
      </c>
      <c r="J13" s="169"/>
      <c r="K13" s="85">
        <f>Table645[[#This Row],[Column4]]*Table645[[#This Row],[Column10]]</f>
        <v>0</v>
      </c>
      <c r="L13" s="170" t="str">
        <f t="shared" si="1"/>
        <v>--</v>
      </c>
      <c r="M13" s="85">
        <f>IF(Table645[[#This Row],[Column10]]=0,0,Table645[[#This Row],[Column4]]*Table645[[#This Row],[Column12]])</f>
        <v>0</v>
      </c>
      <c r="N13" s="87" t="str">
        <f t="shared" si="2"/>
        <v>--</v>
      </c>
      <c r="O13" s="138" t="str">
        <f>IF(SUM(Table645[[#This Row],[Column17]:[Column51]])=0,"--",SUM(Table645[[#This Row],[Column17]:[Column51]]))</f>
        <v>--</v>
      </c>
      <c r="AZ13" s="89">
        <f>IF(Table645[[#This Row],[Column14]]="--",0,Table645[[#This Row],[Column4]]*Table645[[#This Row],[Column14]])</f>
        <v>0</v>
      </c>
      <c r="BA13" s="90"/>
      <c r="BB13" s="91" t="str">
        <f>IF(BA13=0,"--",BA13*$BA$3*IF(Table645[[#This Row],[Column5]]&lt;4.1,1,2)/60/24)</f>
        <v>--</v>
      </c>
      <c r="BC13" s="92">
        <f>IF(Table645[[#This Row],[Column54]]="--",0,Table645[[#This Row],[Column4]]*Table645[[#This Row],[Column54]])</f>
        <v>0</v>
      </c>
      <c r="BD13" s="119"/>
      <c r="BE13" s="99"/>
      <c r="BF13" s="119"/>
      <c r="BG13" s="91" t="str">
        <f>IF(BD13+Table645[[#This Row],[Column58]]=0,"--",(BD13*$BF$3*Table645[[#This Row],[Column57]]+Table645[[#This Row],[Column58]]*$BF$4)/60/24)</f>
        <v>--</v>
      </c>
      <c r="BH13" s="92">
        <f>IF(Table645[[#This Row],[Column59]]="--",0,Table645[[#This Row],[Column4]]*Table645[[#This Row],[Column59]])</f>
        <v>0</v>
      </c>
      <c r="BI13" s="93"/>
      <c r="BJ13" s="91" t="str">
        <f t="shared" si="4"/>
        <v>--</v>
      </c>
      <c r="BK13" s="89">
        <f>IF(Table645[[#This Row],[Column62]]="--",0,Table645[[#This Row],[Column4]]*Table645[[#This Row],[Column62]])</f>
        <v>0</v>
      </c>
      <c r="BL13" s="93"/>
      <c r="BM13" s="91" t="str">
        <f t="shared" si="3"/>
        <v>--</v>
      </c>
      <c r="BN13" s="89">
        <f>IF(Table645[[#This Row],[Column65]]="--",0,Table645[[#This Row],[Column4]]*Table645[[#This Row],[Column65]])</f>
        <v>0</v>
      </c>
      <c r="BO13" s="163"/>
      <c r="BP13" s="164" t="str">
        <f t="shared" si="5"/>
        <v>--</v>
      </c>
      <c r="BQ13" s="160">
        <f>IF(Table645[[#This Row],[Column68]]="--",0,Table645[[#This Row],[Column4]]*Table645[[#This Row],[Column68]])</f>
        <v>0</v>
      </c>
      <c r="BR13" s="94"/>
      <c r="BS13" s="91" t="str">
        <f t="shared" si="6"/>
        <v>--</v>
      </c>
      <c r="BT13" s="92">
        <f>IF(Table645[[#This Row],[Column71]]="--",0,Table645[[#This Row],[Column4]]*Table645[[#This Row],[Column71]])</f>
        <v>0</v>
      </c>
      <c r="BU13" s="44"/>
      <c r="BV13" s="90"/>
      <c r="BW13" s="91" t="str">
        <f>IF(BV13=0,"--",(Table645[[#This Row],[Column73]]*$BV$4*(IF(J13&lt;0.5001,1,IF(J13&lt;2.0001,2,3)))+BV13/$BV$3)/60/24)</f>
        <v>--</v>
      </c>
      <c r="BX13" s="92">
        <f>IF(Table645[[#This Row],[Column75]]="--",0,Table645[[#This Row],[Column4]]*Table645[[#This Row],[Column75]])</f>
        <v>0</v>
      </c>
      <c r="BY13" s="95" t="s">
        <v>70</v>
      </c>
      <c r="BZ13" s="91" t="str">
        <f>IF(Table645[[#This Row],[Column74]]=0,"--",BW13*$BY$3)</f>
        <v>--</v>
      </c>
      <c r="CA13" s="89">
        <f>IF(Table645[[#This Row],[Column78]]="--",0,Table645[[#This Row],[Column4]]*Table645[[#This Row],[Column78]])</f>
        <v>0</v>
      </c>
      <c r="CB13" s="95" t="s">
        <v>70</v>
      </c>
      <c r="CC13" s="91" t="str">
        <f>IF(Table645[[#This Row],[Column10]]+Table645[[#This Row],[Column74]]=0,"--",J13*$CB$4*$CB$5/(24*60)+IF(Table645[[#This Row],[Column74]]=0,0,$CB$3*Table645[[#This Row],[Column75]]))</f>
        <v>--</v>
      </c>
      <c r="CD13" s="92">
        <f>IF(Table645[[#This Row],[Column81]]="--",0,Table645[[#This Row],[Column4]]*Table645[[#This Row],[Column81]])</f>
        <v>0</v>
      </c>
      <c r="CE13" s="94"/>
      <c r="CF13" s="91" t="str">
        <f t="shared" si="7"/>
        <v>--</v>
      </c>
      <c r="CG13" s="92">
        <f>IF(Table645[[#This Row],[Column84]]="--",0,Table645[[#This Row],[Column4]]*Table645[[#This Row],[Column84]])</f>
        <v>0</v>
      </c>
      <c r="CH13" s="226"/>
      <c r="CI13" s="90"/>
      <c r="CJ13" s="91" t="str">
        <f>IF(CI13=0,"--",(Table645[[#This Row],[Column86]]*$CI$4*(IF(W13&lt;0.5001,1,IF(W13&lt;2.0001,2,3)))+CI13/$CI$3)/60/24)</f>
        <v>--</v>
      </c>
      <c r="CK13" s="92">
        <f>IF(Table645[[#This Row],[Column88]]="--",0,Table645[[#This Row],[Column4]]*Table645[[#This Row],[Column88]])</f>
        <v>0</v>
      </c>
      <c r="CL13" s="95" t="s">
        <v>70</v>
      </c>
      <c r="CM13" s="91" t="str">
        <f>IF(Table645[[#This Row],[Column87]]=0,"--",CJ13*$CL$3)</f>
        <v>--</v>
      </c>
      <c r="CN13" s="89">
        <f>IF(Table645[[#This Row],[Column91]]="--",0,Table645[[#This Row],[Column4]]*Table645[[#This Row],[Column91]])</f>
        <v>0</v>
      </c>
      <c r="CO13" s="95" t="s">
        <v>70</v>
      </c>
      <c r="CP13" s="91" t="str">
        <f>IF(Table645[[#This Row],[Column10]]+Table645[[#This Row],[Column87]]=0, "--", IF($D13="", 1, $D13) * IF($J13="", 1, $J13) * $CO$3 * $CO$4 * IF(Table645[[#This Row],[Column95]]="", 1, Table645[[#This Row],[Column95]]) / (24 * 60))</f>
        <v>--</v>
      </c>
      <c r="CQ13" s="153"/>
      <c r="CR13" s="92">
        <f>IF(Table645[[#This Row],[Column94]]="--",0,Table645[[#This Row],[Column4]]*Table645[[#This Row],[Column94]])</f>
        <v>0</v>
      </c>
      <c r="CS13" s="206" t="str">
        <f>IF(Table645[[#This Row],[Column87]]="","",Table645[[#This Row],[Column87]])</f>
        <v/>
      </c>
      <c r="CT13" s="91" t="str">
        <f>IF(Table645[[#This Row],[Column97]]="","--",Table645[[#This Row],[Column97]]/$CS$3/60/24)</f>
        <v>--</v>
      </c>
      <c r="CU13" s="89">
        <f>IF(Table645[[#This Row],[Column98]]="--",0,Table645[[#This Row],[Column4]]*Table645[[#This Row],[Column98]])</f>
        <v>0</v>
      </c>
      <c r="CV13" s="93"/>
      <c r="CW13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3" s="91" t="str">
        <f>IF(OR(Table645[[#This Row],[Column74]]&gt;0,Table645[[#This Row],[Column87]]&gt;0),(Table645[[#This Row],[Column73]]+Table645[[#This Row],[Column86]]+1)*$CW$3/60/24,"--")</f>
        <v>--</v>
      </c>
      <c r="CY13" s="92">
        <f>IF(Table645[[#This Row],[Column102]]="--",0,Table645[[#This Row],[Column4]]*Table645[[#This Row],[Column102]])</f>
        <v>0</v>
      </c>
      <c r="CZ13" s="158" t="str">
        <f t="shared" si="8"/>
        <v>--</v>
      </c>
      <c r="DA13" s="153"/>
      <c r="DB13" s="160">
        <f>IF(Table645[[#This Row],[Column104]]="--",0,Table645[[#This Row],[Column4]]*Table645[[#This Row],[Column104]])</f>
        <v>0</v>
      </c>
      <c r="DC13" s="116"/>
      <c r="DD13" s="222" t="str">
        <f>IF(DC13=0,"--",1/$DC$3*1000/(60*60*24)*Table645[[#This Row],[Column107]])</f>
        <v>--</v>
      </c>
      <c r="DE13" s="89">
        <f>IF(Table645[[#This Row],[Column108]]="--",0,Table645[[#This Row],[Column4]]*Table645[[#This Row],[Column108]])</f>
        <v>0</v>
      </c>
      <c r="DF13" s="101" t="s">
        <v>70</v>
      </c>
      <c r="DG13" s="91" t="str">
        <f t="shared" si="9"/>
        <v>--</v>
      </c>
      <c r="DH13" s="89">
        <f>IF(Table645[[#This Row],[Column111]]="--",0,Table645[[#This Row],[Column4]]*Table645[[#This Row],[Column111]])</f>
        <v>0</v>
      </c>
      <c r="DI13" s="96"/>
      <c r="DJ13" s="96"/>
      <c r="DK13" s="96"/>
      <c r="DL13" s="96"/>
      <c r="DM13" s="96"/>
      <c r="DN13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3" s="89">
        <f>IF(Table645[[#This Row],[Column118]]="--",0,Table645[[#This Row],[Column4]]*Table645[[#This Row],[Column118]])</f>
        <v>0</v>
      </c>
      <c r="DP13" s="96"/>
      <c r="DQ13" s="96"/>
      <c r="DR13" s="91" t="str">
        <f t="shared" si="10"/>
        <v>--</v>
      </c>
      <c r="DS13" s="89">
        <f>IF(Table645[[#This Row],[Column122]]="--",0,Table645[[#This Row],[Column4]]*Table645[[#This Row],[Column122]])</f>
        <v>0</v>
      </c>
      <c r="DT13" t="str">
        <f>IF(Table645[[#This Row],[Column125]]=0,"--",Table645[[#This Row],[Column125]]*Table645[[#This Row],[Column126]]*Table645[[#This Row],[Column127]]/1000000000)</f>
        <v>--</v>
      </c>
      <c r="DU13" s="53"/>
      <c r="DV13" s="53"/>
      <c r="DW13" s="53"/>
      <c r="DX13" s="91" t="str">
        <f t="shared" si="11"/>
        <v>--</v>
      </c>
      <c r="DY13" s="89">
        <f>IF(Table645[[#This Row],[Column128]]="--",0,Table645[[#This Row],[Column4]]*Table645[[#This Row],[Column128]])</f>
        <v>0</v>
      </c>
      <c r="EA13" s="89">
        <f>IF(Table645[[#This Row],[Column128]]="--",0,Table645[[#This Row],[Column4]]*Table645[[#This Row],[Column128]])</f>
        <v>0</v>
      </c>
      <c r="EC13" s="89">
        <f>IF(Table645[[#This Row],[Column128]]="--",0,Table645[[#This Row],[Column4]]*Table645[[#This Row],[Column128]])</f>
        <v>0</v>
      </c>
      <c r="EE13" s="89">
        <f>IF(Table645[[#This Row],[Column128]]="--",0,Table645[[#This Row],[Column4]]*Table645[[#This Row],[Column128]])</f>
        <v>0</v>
      </c>
      <c r="EG13" s="89">
        <f>IF(Table645[[#This Row],[Column128]]="--",0,Table645[[#This Row],[Column4]]*Table645[[#This Row],[Column128]])</f>
        <v>0</v>
      </c>
      <c r="EI13" s="89">
        <f>IF(Table645[[#This Row],[Column128]]="--",0,Table645[[#This Row],[Column4]]*Table645[[#This Row],[Column128]])</f>
        <v>0</v>
      </c>
    </row>
    <row r="14" spans="1:139" x14ac:dyDescent="0.25">
      <c r="B14" s="79"/>
      <c r="C14" s="80"/>
      <c r="D14" s="167"/>
      <c r="E14" s="52"/>
      <c r="F14" s="81"/>
      <c r="G14" s="81"/>
      <c r="H14" s="82" t="str">
        <f t="shared" si="0"/>
        <v>--</v>
      </c>
      <c r="I14" s="100">
        <f>IF(Table645[[#This Row],[Column8]]="--",0,Table645[[#This Row],[Column4]]*Table645[[#This Row],[Column8]])</f>
        <v>0</v>
      </c>
      <c r="J14" s="169"/>
      <c r="K14" s="85">
        <f>Table645[[#This Row],[Column4]]*Table645[[#This Row],[Column10]]</f>
        <v>0</v>
      </c>
      <c r="L14" s="170" t="str">
        <f t="shared" si="1"/>
        <v>--</v>
      </c>
      <c r="M14" s="85">
        <f>IF(Table645[[#This Row],[Column10]]=0,0,Table645[[#This Row],[Column4]]*Table645[[#This Row],[Column12]])</f>
        <v>0</v>
      </c>
      <c r="N14" s="87" t="str">
        <f t="shared" si="2"/>
        <v>--</v>
      </c>
      <c r="O14" s="138" t="str">
        <f>IF(SUM(Table645[[#This Row],[Column17]:[Column51]])=0,"--",SUM(Table645[[#This Row],[Column17]:[Column51]]))</f>
        <v>--</v>
      </c>
      <c r="AZ14" s="89">
        <f>IF(Table645[[#This Row],[Column14]]="--",0,Table645[[#This Row],[Column4]]*Table645[[#This Row],[Column14]])</f>
        <v>0</v>
      </c>
      <c r="BA14" s="90"/>
      <c r="BB14" s="91" t="str">
        <f>IF(BA14=0,"--",BA14*$BA$3*IF(Table645[[#This Row],[Column5]]&lt;4.1,1,2)/60/24)</f>
        <v>--</v>
      </c>
      <c r="BC14" s="92">
        <f>IF(Table645[[#This Row],[Column54]]="--",0,Table645[[#This Row],[Column4]]*Table645[[#This Row],[Column54]])</f>
        <v>0</v>
      </c>
      <c r="BD14" s="119"/>
      <c r="BE14" s="99"/>
      <c r="BF14" s="119"/>
      <c r="BG14" s="91" t="str">
        <f>IF(BD14+Table645[[#This Row],[Column58]]=0,"--",(BD14*$BF$3*Table645[[#This Row],[Column57]]+Table645[[#This Row],[Column58]]*$BF$4)/60/24)</f>
        <v>--</v>
      </c>
      <c r="BH14" s="92">
        <f>IF(Table645[[#This Row],[Column59]]="--",0,Table645[[#This Row],[Column4]]*Table645[[#This Row],[Column59]])</f>
        <v>0</v>
      </c>
      <c r="BI14" s="93"/>
      <c r="BJ14" s="91" t="str">
        <f t="shared" si="4"/>
        <v>--</v>
      </c>
      <c r="BK14" s="89">
        <f>IF(Table645[[#This Row],[Column62]]="--",0,Table645[[#This Row],[Column4]]*Table645[[#This Row],[Column62]])</f>
        <v>0</v>
      </c>
      <c r="BL14" s="93"/>
      <c r="BM14" s="91" t="str">
        <f t="shared" si="3"/>
        <v>--</v>
      </c>
      <c r="BN14" s="89">
        <f>IF(Table645[[#This Row],[Column65]]="--",0,Table645[[#This Row],[Column4]]*Table645[[#This Row],[Column65]])</f>
        <v>0</v>
      </c>
      <c r="BO14" s="163"/>
      <c r="BP14" s="164" t="str">
        <f t="shared" si="5"/>
        <v>--</v>
      </c>
      <c r="BQ14" s="160">
        <f>IF(Table645[[#This Row],[Column68]]="--",0,Table645[[#This Row],[Column4]]*Table645[[#This Row],[Column68]])</f>
        <v>0</v>
      </c>
      <c r="BR14" s="94"/>
      <c r="BS14" s="91" t="str">
        <f t="shared" si="6"/>
        <v>--</v>
      </c>
      <c r="BT14" s="92">
        <f>IF(Table645[[#This Row],[Column71]]="--",0,Table645[[#This Row],[Column4]]*Table645[[#This Row],[Column71]])</f>
        <v>0</v>
      </c>
      <c r="BU14" s="44"/>
      <c r="BV14" s="90"/>
      <c r="BW14" s="91" t="str">
        <f>IF(BV14=0,"--",(Table645[[#This Row],[Column73]]*$BV$4*(IF(J14&lt;0.5001,1,IF(J14&lt;2.0001,2,3)))+BV14/$BV$3)/60/24)</f>
        <v>--</v>
      </c>
      <c r="BX14" s="92">
        <f>IF(Table645[[#This Row],[Column75]]="--",0,Table645[[#This Row],[Column4]]*Table645[[#This Row],[Column75]])</f>
        <v>0</v>
      </c>
      <c r="BY14" s="95" t="s">
        <v>70</v>
      </c>
      <c r="BZ14" s="91" t="str">
        <f>IF(Table645[[#This Row],[Column74]]=0,"--",BW14*$BY$3)</f>
        <v>--</v>
      </c>
      <c r="CA14" s="89">
        <f>IF(Table645[[#This Row],[Column78]]="--",0,Table645[[#This Row],[Column4]]*Table645[[#This Row],[Column78]])</f>
        <v>0</v>
      </c>
      <c r="CB14" s="95" t="s">
        <v>70</v>
      </c>
      <c r="CC14" s="91" t="str">
        <f>IF(Table645[[#This Row],[Column10]]+Table645[[#This Row],[Column74]]=0,"--",J14*$CB$4*$CB$5/(24*60)+IF(Table645[[#This Row],[Column74]]=0,0,$CB$3*Table645[[#This Row],[Column75]]))</f>
        <v>--</v>
      </c>
      <c r="CD14" s="92">
        <f>IF(Table645[[#This Row],[Column81]]="--",0,Table645[[#This Row],[Column4]]*Table645[[#This Row],[Column81]])</f>
        <v>0</v>
      </c>
      <c r="CE14" s="94"/>
      <c r="CF14" s="91" t="str">
        <f t="shared" si="7"/>
        <v>--</v>
      </c>
      <c r="CG14" s="92">
        <f>IF(Table645[[#This Row],[Column84]]="--",0,Table645[[#This Row],[Column4]]*Table645[[#This Row],[Column84]])</f>
        <v>0</v>
      </c>
      <c r="CH14" s="226"/>
      <c r="CI14" s="90"/>
      <c r="CJ14" s="91" t="str">
        <f>IF(CI14=0,"--",(Table645[[#This Row],[Column86]]*$CI$4*(IF(W14&lt;0.5001,1,IF(W14&lt;2.0001,2,3)))+CI14/$CI$3)/60/24)</f>
        <v>--</v>
      </c>
      <c r="CK14" s="92">
        <f>IF(Table645[[#This Row],[Column88]]="--",0,Table645[[#This Row],[Column4]]*Table645[[#This Row],[Column88]])</f>
        <v>0</v>
      </c>
      <c r="CL14" s="95" t="s">
        <v>70</v>
      </c>
      <c r="CM14" s="91" t="str">
        <f>IF(Table645[[#This Row],[Column87]]=0,"--",CJ14*$CL$3)</f>
        <v>--</v>
      </c>
      <c r="CN14" s="89">
        <f>IF(Table645[[#This Row],[Column91]]="--",0,Table645[[#This Row],[Column4]]*Table645[[#This Row],[Column91]])</f>
        <v>0</v>
      </c>
      <c r="CO14" s="95" t="s">
        <v>70</v>
      </c>
      <c r="CP14" s="91" t="str">
        <f>IF(Table645[[#This Row],[Column10]]+Table645[[#This Row],[Column87]]=0, "--", IF($D14="", 1, $D14) * IF($J14="", 1, $J14) * $CO$3 * $CO$4 * IF(Table645[[#This Row],[Column95]]="", 1, Table645[[#This Row],[Column95]]) / (24 * 60))</f>
        <v>--</v>
      </c>
      <c r="CQ14" s="153"/>
      <c r="CR14" s="92">
        <f>IF(Table645[[#This Row],[Column94]]="--",0,Table645[[#This Row],[Column4]]*Table645[[#This Row],[Column94]])</f>
        <v>0</v>
      </c>
      <c r="CS14" s="206" t="str">
        <f>IF(Table645[[#This Row],[Column87]]="","",Table645[[#This Row],[Column87]])</f>
        <v/>
      </c>
      <c r="CT14" s="91" t="str">
        <f>IF(Table645[[#This Row],[Column97]]="","--",Table645[[#This Row],[Column97]]/$CS$3/60/24)</f>
        <v>--</v>
      </c>
      <c r="CU14" s="89">
        <f>IF(Table645[[#This Row],[Column98]]="--",0,Table645[[#This Row],[Column4]]*Table645[[#This Row],[Column98]])</f>
        <v>0</v>
      </c>
      <c r="CV14" s="93"/>
      <c r="CW14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4" s="91" t="str">
        <f>IF(OR(Table645[[#This Row],[Column74]]&gt;0,Table645[[#This Row],[Column87]]&gt;0),(Table645[[#This Row],[Column73]]+Table645[[#This Row],[Column86]]+1)*$CW$3/60/24,"--")</f>
        <v>--</v>
      </c>
      <c r="CY14" s="92">
        <f>IF(Table645[[#This Row],[Column102]]="--",0,Table645[[#This Row],[Column4]]*Table645[[#This Row],[Column102]])</f>
        <v>0</v>
      </c>
      <c r="CZ14" s="158" t="str">
        <f t="shared" si="8"/>
        <v>--</v>
      </c>
      <c r="DA14" s="153"/>
      <c r="DB14" s="160">
        <f>IF(Table645[[#This Row],[Column104]]="--",0,Table645[[#This Row],[Column4]]*Table645[[#This Row],[Column104]])</f>
        <v>0</v>
      </c>
      <c r="DC14" s="116"/>
      <c r="DD14" s="222" t="str">
        <f>IF(DC14=0,"--",1/$DC$3*1000/(60*60*24)*Table645[[#This Row],[Column107]])</f>
        <v>--</v>
      </c>
      <c r="DE14" s="89">
        <f>IF(Table645[[#This Row],[Column108]]="--",0,Table645[[#This Row],[Column4]]*Table645[[#This Row],[Column108]])</f>
        <v>0</v>
      </c>
      <c r="DF14" s="101" t="s">
        <v>70</v>
      </c>
      <c r="DG14" s="91" t="str">
        <f t="shared" si="9"/>
        <v>--</v>
      </c>
      <c r="DH14" s="89">
        <f>IF(Table645[[#This Row],[Column111]]="--",0,Table645[[#This Row],[Column4]]*Table645[[#This Row],[Column111]])</f>
        <v>0</v>
      </c>
      <c r="DI14" s="96"/>
      <c r="DJ14" s="96"/>
      <c r="DK14" s="96"/>
      <c r="DL14" s="96"/>
      <c r="DM14" s="96"/>
      <c r="DN14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4" s="89">
        <f>IF(Table645[[#This Row],[Column118]]="--",0,Table645[[#This Row],[Column4]]*Table645[[#This Row],[Column118]])</f>
        <v>0</v>
      </c>
      <c r="DP14" s="96"/>
      <c r="DQ14" s="96"/>
      <c r="DR14" s="91" t="str">
        <f t="shared" si="10"/>
        <v>--</v>
      </c>
      <c r="DS14" s="89">
        <f>IF(Table645[[#This Row],[Column122]]="--",0,Table645[[#This Row],[Column4]]*Table645[[#This Row],[Column122]])</f>
        <v>0</v>
      </c>
      <c r="DT14" t="str">
        <f>IF(Table645[[#This Row],[Column125]]=0,"--",Table645[[#This Row],[Column125]]*Table645[[#This Row],[Column126]]*Table645[[#This Row],[Column127]]/1000000000)</f>
        <v>--</v>
      </c>
      <c r="DU14" s="53"/>
      <c r="DV14" s="53"/>
      <c r="DW14" s="53"/>
      <c r="DX14" s="91" t="str">
        <f t="shared" si="11"/>
        <v>--</v>
      </c>
      <c r="DY14" s="89">
        <f>IF(Table645[[#This Row],[Column128]]="--",0,Table645[[#This Row],[Column4]]*Table645[[#This Row],[Column128]])</f>
        <v>0</v>
      </c>
      <c r="EA14" s="89">
        <f>IF(Table645[[#This Row],[Column128]]="--",0,Table645[[#This Row],[Column4]]*Table645[[#This Row],[Column128]])</f>
        <v>0</v>
      </c>
      <c r="EC14" s="89">
        <f>IF(Table645[[#This Row],[Column128]]="--",0,Table645[[#This Row],[Column4]]*Table645[[#This Row],[Column128]])</f>
        <v>0</v>
      </c>
      <c r="EE14" s="89">
        <f>IF(Table645[[#This Row],[Column128]]="--",0,Table645[[#This Row],[Column4]]*Table645[[#This Row],[Column128]])</f>
        <v>0</v>
      </c>
      <c r="EG14" s="89">
        <f>IF(Table645[[#This Row],[Column128]]="--",0,Table645[[#This Row],[Column4]]*Table645[[#This Row],[Column128]])</f>
        <v>0</v>
      </c>
      <c r="EI14" s="89">
        <f>IF(Table645[[#This Row],[Column128]]="--",0,Table645[[#This Row],[Column4]]*Table645[[#This Row],[Column128]])</f>
        <v>0</v>
      </c>
    </row>
    <row r="15" spans="1:139" x14ac:dyDescent="0.25">
      <c r="B15" s="79"/>
      <c r="C15" s="80"/>
      <c r="D15" s="167"/>
      <c r="E15" s="52"/>
      <c r="F15" s="81"/>
      <c r="G15" s="81"/>
      <c r="H15" s="82" t="str">
        <f t="shared" si="0"/>
        <v>--</v>
      </c>
      <c r="I15" s="100">
        <f>IF(Table645[[#This Row],[Column8]]="--",0,Table645[[#This Row],[Column4]]*Table645[[#This Row],[Column8]])</f>
        <v>0</v>
      </c>
      <c r="J15" s="169"/>
      <c r="K15" s="85">
        <f>Table645[[#This Row],[Column4]]*Table645[[#This Row],[Column10]]</f>
        <v>0</v>
      </c>
      <c r="L15" s="170" t="str">
        <f t="shared" si="1"/>
        <v>--</v>
      </c>
      <c r="M15" s="85">
        <f>IF(Table645[[#This Row],[Column10]]=0,0,Table645[[#This Row],[Column4]]*Table645[[#This Row],[Column12]])</f>
        <v>0</v>
      </c>
      <c r="N15" s="87" t="str">
        <f t="shared" si="2"/>
        <v>--</v>
      </c>
      <c r="O15" s="138" t="str">
        <f>IF(SUM(Table645[[#This Row],[Column17]:[Column51]])=0,"--",SUM(Table645[[#This Row],[Column17]:[Column51]]))</f>
        <v>--</v>
      </c>
      <c r="AZ15" s="89">
        <f>IF(Table645[[#This Row],[Column14]]="--",0,Table645[[#This Row],[Column4]]*Table645[[#This Row],[Column14]])</f>
        <v>0</v>
      </c>
      <c r="BA15" s="90"/>
      <c r="BB15" s="91" t="str">
        <f>IF(BA15=0,"--",BA15*$BA$3*IF(Table645[[#This Row],[Column5]]&lt;4.1,1,2)/60/24)</f>
        <v>--</v>
      </c>
      <c r="BC15" s="92">
        <f>IF(Table645[[#This Row],[Column54]]="--",0,Table645[[#This Row],[Column4]]*Table645[[#This Row],[Column54]])</f>
        <v>0</v>
      </c>
      <c r="BD15" s="119"/>
      <c r="BE15" s="99"/>
      <c r="BF15" s="119"/>
      <c r="BG15" s="91" t="str">
        <f>IF(BD15+Table645[[#This Row],[Column58]]=0,"--",(BD15*$BF$3*Table645[[#This Row],[Column57]]+Table645[[#This Row],[Column58]]*$BF$4)/60/24)</f>
        <v>--</v>
      </c>
      <c r="BH15" s="92">
        <f>IF(Table645[[#This Row],[Column59]]="--",0,Table645[[#This Row],[Column4]]*Table645[[#This Row],[Column59]])</f>
        <v>0</v>
      </c>
      <c r="BI15" s="93"/>
      <c r="BJ15" s="91" t="str">
        <f t="shared" si="4"/>
        <v>--</v>
      </c>
      <c r="BK15" s="89">
        <f>IF(Table645[[#This Row],[Column62]]="--",0,Table645[[#This Row],[Column4]]*Table645[[#This Row],[Column62]])</f>
        <v>0</v>
      </c>
      <c r="BL15" s="93"/>
      <c r="BM15" s="91" t="str">
        <f t="shared" si="3"/>
        <v>--</v>
      </c>
      <c r="BN15" s="89">
        <f>IF(Table645[[#This Row],[Column65]]="--",0,Table645[[#This Row],[Column4]]*Table645[[#This Row],[Column65]])</f>
        <v>0</v>
      </c>
      <c r="BO15" s="163"/>
      <c r="BP15" s="164" t="str">
        <f t="shared" si="5"/>
        <v>--</v>
      </c>
      <c r="BQ15" s="160">
        <f>IF(Table645[[#This Row],[Column68]]="--",0,Table645[[#This Row],[Column4]]*Table645[[#This Row],[Column68]])</f>
        <v>0</v>
      </c>
      <c r="BR15" s="94"/>
      <c r="BS15" s="91" t="str">
        <f t="shared" si="6"/>
        <v>--</v>
      </c>
      <c r="BT15" s="92">
        <f>IF(Table645[[#This Row],[Column71]]="--",0,Table645[[#This Row],[Column4]]*Table645[[#This Row],[Column71]])</f>
        <v>0</v>
      </c>
      <c r="BU15" s="44"/>
      <c r="BV15" s="90"/>
      <c r="BW15" s="91" t="str">
        <f>IF(BV15=0,"--",(Table645[[#This Row],[Column73]]*$BV$4*(IF(J15&lt;0.5001,1,IF(J15&lt;2.0001,2,3)))+BV15/$BV$3)/60/24)</f>
        <v>--</v>
      </c>
      <c r="BX15" s="92">
        <f>IF(Table645[[#This Row],[Column75]]="--",0,Table645[[#This Row],[Column4]]*Table645[[#This Row],[Column75]])</f>
        <v>0</v>
      </c>
      <c r="BY15" s="95" t="s">
        <v>70</v>
      </c>
      <c r="BZ15" s="91" t="str">
        <f>IF(Table645[[#This Row],[Column74]]=0,"--",BW15*$BY$3)</f>
        <v>--</v>
      </c>
      <c r="CA15" s="89">
        <f>IF(Table645[[#This Row],[Column78]]="--",0,Table645[[#This Row],[Column4]]*Table645[[#This Row],[Column78]])</f>
        <v>0</v>
      </c>
      <c r="CB15" s="95" t="s">
        <v>70</v>
      </c>
      <c r="CC15" s="91" t="str">
        <f>IF(Table645[[#This Row],[Column10]]+Table645[[#This Row],[Column74]]=0,"--",J15*$CB$4*$CB$5/(24*60)+IF(Table645[[#This Row],[Column74]]=0,0,$CB$3*Table645[[#This Row],[Column75]]))</f>
        <v>--</v>
      </c>
      <c r="CD15" s="92">
        <f>IF(Table645[[#This Row],[Column81]]="--",0,Table645[[#This Row],[Column4]]*Table645[[#This Row],[Column81]])</f>
        <v>0</v>
      </c>
      <c r="CE15" s="94"/>
      <c r="CF15" s="91" t="str">
        <f t="shared" si="7"/>
        <v>--</v>
      </c>
      <c r="CG15" s="92">
        <f>IF(Table645[[#This Row],[Column84]]="--",0,Table645[[#This Row],[Column4]]*Table645[[#This Row],[Column84]])</f>
        <v>0</v>
      </c>
      <c r="CH15" s="226"/>
      <c r="CI15" s="90"/>
      <c r="CJ15" s="91" t="str">
        <f>IF(CI15=0,"--",(Table645[[#This Row],[Column86]]*$CI$4*(IF(W15&lt;0.5001,1,IF(W15&lt;2.0001,2,3)))+CI15/$CI$3)/60/24)</f>
        <v>--</v>
      </c>
      <c r="CK15" s="92">
        <f>IF(Table645[[#This Row],[Column88]]="--",0,Table645[[#This Row],[Column4]]*Table645[[#This Row],[Column88]])</f>
        <v>0</v>
      </c>
      <c r="CL15" s="95" t="s">
        <v>70</v>
      </c>
      <c r="CM15" s="91" t="str">
        <f>IF(Table645[[#This Row],[Column87]]=0,"--",CJ15*$CL$3)</f>
        <v>--</v>
      </c>
      <c r="CN15" s="89">
        <f>IF(Table645[[#This Row],[Column91]]="--",0,Table645[[#This Row],[Column4]]*Table645[[#This Row],[Column91]])</f>
        <v>0</v>
      </c>
      <c r="CO15" s="95" t="s">
        <v>70</v>
      </c>
      <c r="CP15" s="91" t="str">
        <f>IF(Table645[[#This Row],[Column10]]+Table645[[#This Row],[Column87]]=0, "--", IF($D15="", 1, $D15) * IF($J15="", 1, $J15) * $CO$3 * $CO$4 * IF(Table645[[#This Row],[Column95]]="", 1, Table645[[#This Row],[Column95]]) / (24 * 60))</f>
        <v>--</v>
      </c>
      <c r="CQ15" s="153"/>
      <c r="CR15" s="92">
        <f>IF(Table645[[#This Row],[Column94]]="--",0,Table645[[#This Row],[Column4]]*Table645[[#This Row],[Column94]])</f>
        <v>0</v>
      </c>
      <c r="CS15" s="206" t="str">
        <f>IF(Table645[[#This Row],[Column87]]="","",Table645[[#This Row],[Column87]])</f>
        <v/>
      </c>
      <c r="CT15" s="91" t="str">
        <f>IF(Table645[[#This Row],[Column97]]="","--",Table645[[#This Row],[Column97]]/$CS$3/60/24)</f>
        <v>--</v>
      </c>
      <c r="CU15" s="89">
        <f>IF(Table645[[#This Row],[Column98]]="--",0,Table645[[#This Row],[Column4]]*Table645[[#This Row],[Column98]])</f>
        <v>0</v>
      </c>
      <c r="CV15" s="93"/>
      <c r="CW15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5" s="91" t="str">
        <f>IF(OR(Table645[[#This Row],[Column74]]&gt;0,Table645[[#This Row],[Column87]]&gt;0),(Table645[[#This Row],[Column73]]+Table645[[#This Row],[Column86]]+1)*$CW$3/60/24,"--")</f>
        <v>--</v>
      </c>
      <c r="CY15" s="92">
        <f>IF(Table645[[#This Row],[Column102]]="--",0,Table645[[#This Row],[Column4]]*Table645[[#This Row],[Column102]])</f>
        <v>0</v>
      </c>
      <c r="CZ15" s="158" t="str">
        <f t="shared" si="8"/>
        <v>--</v>
      </c>
      <c r="DA15" s="153"/>
      <c r="DB15" s="160">
        <f>IF(Table645[[#This Row],[Column104]]="--",0,Table645[[#This Row],[Column4]]*Table645[[#This Row],[Column104]])</f>
        <v>0</v>
      </c>
      <c r="DC15" s="116"/>
      <c r="DD15" s="222" t="str">
        <f>IF(DC15=0,"--",1/$DC$3*1000/(60*60*24)*Table645[[#This Row],[Column107]])</f>
        <v>--</v>
      </c>
      <c r="DE15" s="89">
        <f>IF(Table645[[#This Row],[Column108]]="--",0,Table645[[#This Row],[Column4]]*Table645[[#This Row],[Column108]])</f>
        <v>0</v>
      </c>
      <c r="DF15" s="101" t="s">
        <v>70</v>
      </c>
      <c r="DG15" s="91" t="str">
        <f t="shared" si="9"/>
        <v>--</v>
      </c>
      <c r="DH15" s="89">
        <f>IF(Table645[[#This Row],[Column111]]="--",0,Table645[[#This Row],[Column4]]*Table645[[#This Row],[Column111]])</f>
        <v>0</v>
      </c>
      <c r="DI15" s="96"/>
      <c r="DJ15" s="96"/>
      <c r="DK15" s="96"/>
      <c r="DL15" s="96"/>
      <c r="DM15" s="96"/>
      <c r="DN15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5" s="89">
        <f>IF(Table645[[#This Row],[Column118]]="--",0,Table645[[#This Row],[Column4]]*Table645[[#This Row],[Column118]])</f>
        <v>0</v>
      </c>
      <c r="DP15" s="96"/>
      <c r="DQ15" s="96"/>
      <c r="DR15" s="91" t="str">
        <f t="shared" si="10"/>
        <v>--</v>
      </c>
      <c r="DS15" s="89">
        <f>IF(Table645[[#This Row],[Column122]]="--",0,Table645[[#This Row],[Column4]]*Table645[[#This Row],[Column122]])</f>
        <v>0</v>
      </c>
      <c r="DT15" t="str">
        <f>IF(Table645[[#This Row],[Column125]]=0,"--",Table645[[#This Row],[Column125]]*Table645[[#This Row],[Column126]]*Table645[[#This Row],[Column127]]/1000000000)</f>
        <v>--</v>
      </c>
      <c r="DU15" s="53"/>
      <c r="DV15" s="53"/>
      <c r="DW15" s="53"/>
      <c r="DX15" s="91" t="str">
        <f t="shared" si="11"/>
        <v>--</v>
      </c>
      <c r="DY15" s="89">
        <f>IF(Table645[[#This Row],[Column128]]="--",0,Table645[[#This Row],[Column4]]*Table645[[#This Row],[Column128]])</f>
        <v>0</v>
      </c>
      <c r="EA15" s="89">
        <f>IF(Table645[[#This Row],[Column128]]="--",0,Table645[[#This Row],[Column4]]*Table645[[#This Row],[Column128]])</f>
        <v>0</v>
      </c>
      <c r="EC15" s="89">
        <f>IF(Table645[[#This Row],[Column128]]="--",0,Table645[[#This Row],[Column4]]*Table645[[#This Row],[Column128]])</f>
        <v>0</v>
      </c>
      <c r="EE15" s="89">
        <f>IF(Table645[[#This Row],[Column128]]="--",0,Table645[[#This Row],[Column4]]*Table645[[#This Row],[Column128]])</f>
        <v>0</v>
      </c>
      <c r="EG15" s="89">
        <f>IF(Table645[[#This Row],[Column128]]="--",0,Table645[[#This Row],[Column4]]*Table645[[#This Row],[Column128]])</f>
        <v>0</v>
      </c>
      <c r="EI15" s="89">
        <f>IF(Table645[[#This Row],[Column128]]="--",0,Table645[[#This Row],[Column4]]*Table645[[#This Row],[Column128]])</f>
        <v>0</v>
      </c>
    </row>
    <row r="16" spans="1:139" x14ac:dyDescent="0.25">
      <c r="B16" s="79"/>
      <c r="C16" s="80"/>
      <c r="D16" s="167"/>
      <c r="E16" s="52"/>
      <c r="F16" s="81"/>
      <c r="G16" s="81"/>
      <c r="H16" s="82" t="str">
        <f t="shared" si="0"/>
        <v>--</v>
      </c>
      <c r="I16" s="100">
        <f>IF(Table645[[#This Row],[Column8]]="--",0,Table645[[#This Row],[Column4]]*Table645[[#This Row],[Column8]])</f>
        <v>0</v>
      </c>
      <c r="J16" s="169"/>
      <c r="K16" s="85">
        <f>Table645[[#This Row],[Column4]]*Table645[[#This Row],[Column10]]</f>
        <v>0</v>
      </c>
      <c r="L16" s="170" t="str">
        <f t="shared" si="1"/>
        <v>--</v>
      </c>
      <c r="M16" s="85">
        <f>IF(Table645[[#This Row],[Column10]]=0,0,Table645[[#This Row],[Column4]]*Table645[[#This Row],[Column12]])</f>
        <v>0</v>
      </c>
      <c r="N16" s="87" t="str">
        <f t="shared" si="2"/>
        <v>--</v>
      </c>
      <c r="O16" s="138" t="str">
        <f>IF(SUM(Table645[[#This Row],[Column17]:[Column51]])=0,"--",SUM(Table645[[#This Row],[Column17]:[Column51]]))</f>
        <v>--</v>
      </c>
      <c r="AZ16" s="89">
        <f>IF(Table645[[#This Row],[Column14]]="--",0,Table645[[#This Row],[Column4]]*Table645[[#This Row],[Column14]])</f>
        <v>0</v>
      </c>
      <c r="BA16" s="90"/>
      <c r="BB16" s="91" t="str">
        <f>IF(BA16=0,"--",BA16*$BA$3*IF(Table645[[#This Row],[Column5]]&lt;4.1,1,2)/60/24)</f>
        <v>--</v>
      </c>
      <c r="BC16" s="92">
        <f>IF(Table645[[#This Row],[Column54]]="--",0,Table645[[#This Row],[Column4]]*Table645[[#This Row],[Column54]])</f>
        <v>0</v>
      </c>
      <c r="BD16" s="119"/>
      <c r="BE16" s="99"/>
      <c r="BF16" s="119"/>
      <c r="BG16" s="91" t="str">
        <f>IF(BD16+Table645[[#This Row],[Column58]]=0,"--",(BD16*$BF$3*Table645[[#This Row],[Column57]]+Table645[[#This Row],[Column58]]*$BF$4)/60/24)</f>
        <v>--</v>
      </c>
      <c r="BH16" s="92">
        <f>IF(Table645[[#This Row],[Column59]]="--",0,Table645[[#This Row],[Column4]]*Table645[[#This Row],[Column59]])</f>
        <v>0</v>
      </c>
      <c r="BI16" s="93"/>
      <c r="BJ16" s="91" t="str">
        <f t="shared" si="4"/>
        <v>--</v>
      </c>
      <c r="BK16" s="89">
        <f>IF(Table645[[#This Row],[Column62]]="--",0,Table645[[#This Row],[Column4]]*Table645[[#This Row],[Column62]])</f>
        <v>0</v>
      </c>
      <c r="BL16" s="93"/>
      <c r="BM16" s="91" t="str">
        <f t="shared" si="3"/>
        <v>--</v>
      </c>
      <c r="BN16" s="89">
        <f>IF(Table645[[#This Row],[Column65]]="--",0,Table645[[#This Row],[Column4]]*Table645[[#This Row],[Column65]])</f>
        <v>0</v>
      </c>
      <c r="BO16" s="163"/>
      <c r="BP16" s="164" t="str">
        <f t="shared" si="5"/>
        <v>--</v>
      </c>
      <c r="BQ16" s="160">
        <f>IF(Table645[[#This Row],[Column68]]="--",0,Table645[[#This Row],[Column4]]*Table645[[#This Row],[Column68]])</f>
        <v>0</v>
      </c>
      <c r="BR16" s="94"/>
      <c r="BS16" s="91" t="str">
        <f t="shared" si="6"/>
        <v>--</v>
      </c>
      <c r="BT16" s="92">
        <f>IF(Table645[[#This Row],[Column71]]="--",0,Table645[[#This Row],[Column4]]*Table645[[#This Row],[Column71]])</f>
        <v>0</v>
      </c>
      <c r="BU16" s="44"/>
      <c r="BW16" s="91" t="str">
        <f>IF(BV16=0,"--",(Table645[[#This Row],[Column73]]*$BV$4*(IF(J16&lt;0.5001,1,IF(J16&lt;2.0001,2,3)))+BV16/$BV$3)/60/24)</f>
        <v>--</v>
      </c>
      <c r="BX16" s="92">
        <f>IF(Table645[[#This Row],[Column75]]="--",0,Table645[[#This Row],[Column4]]*Table645[[#This Row],[Column75]])</f>
        <v>0</v>
      </c>
      <c r="BY16" s="95" t="s">
        <v>70</v>
      </c>
      <c r="BZ16" s="91" t="str">
        <f>IF(Table645[[#This Row],[Column74]]=0,"--",BW16*$BY$3)</f>
        <v>--</v>
      </c>
      <c r="CA16" s="89">
        <f>IF(Table645[[#This Row],[Column78]]="--",0,Table645[[#This Row],[Column4]]*Table645[[#This Row],[Column78]])</f>
        <v>0</v>
      </c>
      <c r="CB16" s="95" t="s">
        <v>70</v>
      </c>
      <c r="CC16" s="91" t="str">
        <f>IF(Table645[[#This Row],[Column10]]+Table645[[#This Row],[Column74]]=0,"--",J16*$CB$4*$CB$5/(24*60)+IF(Table645[[#This Row],[Column74]]=0,0,$CB$3*Table645[[#This Row],[Column75]]))</f>
        <v>--</v>
      </c>
      <c r="CD16" s="92">
        <f>IF(Table645[[#This Row],[Column81]]="--",0,Table645[[#This Row],[Column4]]*Table645[[#This Row],[Column81]])</f>
        <v>0</v>
      </c>
      <c r="CE16" s="94"/>
      <c r="CF16" s="91" t="str">
        <f t="shared" si="7"/>
        <v>--</v>
      </c>
      <c r="CG16" s="92">
        <f>IF(Table645[[#This Row],[Column84]]="--",0,Table645[[#This Row],[Column4]]*Table645[[#This Row],[Column84]])</f>
        <v>0</v>
      </c>
      <c r="CH16" s="226"/>
      <c r="CJ16" s="91" t="str">
        <f>IF(CI16=0,"--",(Table645[[#This Row],[Column86]]*$CI$4*(IF(W16&lt;0.5001,1,IF(W16&lt;2.0001,2,3)))+CI16/$CI$3)/60/24)</f>
        <v>--</v>
      </c>
      <c r="CK16" s="92">
        <f>IF(Table645[[#This Row],[Column88]]="--",0,Table645[[#This Row],[Column4]]*Table645[[#This Row],[Column88]])</f>
        <v>0</v>
      </c>
      <c r="CL16" s="95" t="s">
        <v>70</v>
      </c>
      <c r="CM16" s="91" t="str">
        <f>IF(Table645[[#This Row],[Column87]]=0,"--",CJ16*$CL$3)</f>
        <v>--</v>
      </c>
      <c r="CN16" s="89">
        <f>IF(Table645[[#This Row],[Column91]]="--",0,Table645[[#This Row],[Column4]]*Table645[[#This Row],[Column91]])</f>
        <v>0</v>
      </c>
      <c r="CO16" s="95" t="s">
        <v>70</v>
      </c>
      <c r="CP16" s="91" t="str">
        <f>IF(Table645[[#This Row],[Column10]]+Table645[[#This Row],[Column87]]=0, "--", IF($D16="", 1, $D16) * IF($J16="", 1, $J16) * $CO$3 * $CO$4 * IF(Table645[[#This Row],[Column95]]="", 1, Table645[[#This Row],[Column95]]) / (24 * 60))</f>
        <v>--</v>
      </c>
      <c r="CQ16" s="153"/>
      <c r="CR16" s="92">
        <f>IF(Table645[[#This Row],[Column94]]="--",0,Table645[[#This Row],[Column4]]*Table645[[#This Row],[Column94]])</f>
        <v>0</v>
      </c>
      <c r="CS16" s="206" t="str">
        <f>IF(Table645[[#This Row],[Column87]]="","",Table645[[#This Row],[Column87]])</f>
        <v/>
      </c>
      <c r="CT16" s="91" t="str">
        <f>IF(Table645[[#This Row],[Column97]]="","--",Table645[[#This Row],[Column97]]/$CS$3/60/24)</f>
        <v>--</v>
      </c>
      <c r="CU16" s="89">
        <f>IF(Table645[[#This Row],[Column98]]="--",0,Table645[[#This Row],[Column4]]*Table645[[#This Row],[Column98]])</f>
        <v>0</v>
      </c>
      <c r="CV16" s="93"/>
      <c r="CW16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6" s="91" t="str">
        <f>IF(OR(Table645[[#This Row],[Column74]]&gt;0,Table645[[#This Row],[Column87]]&gt;0),(Table645[[#This Row],[Column73]]+Table645[[#This Row],[Column86]]+1)*$CW$3/60/24,"--")</f>
        <v>--</v>
      </c>
      <c r="CY16" s="92">
        <f>IF(Table645[[#This Row],[Column102]]="--",0,Table645[[#This Row],[Column4]]*Table645[[#This Row],[Column102]])</f>
        <v>0</v>
      </c>
      <c r="CZ16" s="158" t="str">
        <f t="shared" si="8"/>
        <v>--</v>
      </c>
      <c r="DA16" s="153"/>
      <c r="DB16" s="160">
        <f>IF(Table645[[#This Row],[Column104]]="--",0,Table645[[#This Row],[Column4]]*Table645[[#This Row],[Column104]])</f>
        <v>0</v>
      </c>
      <c r="DC16" s="116"/>
      <c r="DD16" s="222" t="str">
        <f>IF(DC16=0,"--",1/$DC$3*1000/(60*60*24)*Table645[[#This Row],[Column107]])</f>
        <v>--</v>
      </c>
      <c r="DE16" s="89">
        <f>IF(Table645[[#This Row],[Column108]]="--",0,Table645[[#This Row],[Column4]]*Table645[[#This Row],[Column108]])</f>
        <v>0</v>
      </c>
      <c r="DF16" s="101" t="s">
        <v>70</v>
      </c>
      <c r="DG16" s="91" t="str">
        <f t="shared" si="9"/>
        <v>--</v>
      </c>
      <c r="DH16" s="89">
        <f>IF(Table645[[#This Row],[Column111]]="--",0,Table645[[#This Row],[Column4]]*Table645[[#This Row],[Column111]])</f>
        <v>0</v>
      </c>
      <c r="DI16" s="96"/>
      <c r="DJ16" s="96"/>
      <c r="DK16" s="96"/>
      <c r="DL16" s="96"/>
      <c r="DM16" s="96"/>
      <c r="DN16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6" s="89">
        <f>IF(Table645[[#This Row],[Column118]]="--",0,Table645[[#This Row],[Column4]]*Table645[[#This Row],[Column118]])</f>
        <v>0</v>
      </c>
      <c r="DP16" s="96"/>
      <c r="DQ16" s="96"/>
      <c r="DR16" s="91" t="str">
        <f t="shared" si="10"/>
        <v>--</v>
      </c>
      <c r="DS16" s="89">
        <f>IF(Table645[[#This Row],[Column122]]="--",0,Table645[[#This Row],[Column4]]*Table645[[#This Row],[Column122]])</f>
        <v>0</v>
      </c>
      <c r="DT16" t="str">
        <f>IF(Table645[[#This Row],[Column125]]=0,"--",Table645[[#This Row],[Column125]]*Table645[[#This Row],[Column126]]*Table645[[#This Row],[Column127]]/1000000000)</f>
        <v>--</v>
      </c>
      <c r="DU16" s="53"/>
      <c r="DV16" s="53"/>
      <c r="DW16" s="53"/>
      <c r="DX16" s="91" t="str">
        <f t="shared" si="11"/>
        <v>--</v>
      </c>
      <c r="DY16" s="89">
        <f>IF(Table645[[#This Row],[Column128]]="--",0,Table645[[#This Row],[Column4]]*Table645[[#This Row],[Column128]])</f>
        <v>0</v>
      </c>
      <c r="DZ16" s="53"/>
      <c r="EA16" s="89">
        <f>IF(Table645[[#This Row],[Column128]]="--",0,Table645[[#This Row],[Column4]]*Table645[[#This Row],[Column128]])</f>
        <v>0</v>
      </c>
      <c r="EC16" s="89">
        <f>IF(Table645[[#This Row],[Column128]]="--",0,Table645[[#This Row],[Column4]]*Table645[[#This Row],[Column128]])</f>
        <v>0</v>
      </c>
      <c r="EE16" s="89">
        <f>IF(Table645[[#This Row],[Column128]]="--",0,Table645[[#This Row],[Column4]]*Table645[[#This Row],[Column128]])</f>
        <v>0</v>
      </c>
      <c r="EG16" s="89">
        <f>IF(Table645[[#This Row],[Column128]]="--",0,Table645[[#This Row],[Column4]]*Table645[[#This Row],[Column128]])</f>
        <v>0</v>
      </c>
      <c r="EI16" s="89">
        <f>IF(Table645[[#This Row],[Column128]]="--",0,Table645[[#This Row],[Column4]]*Table645[[#This Row],[Column128]])</f>
        <v>0</v>
      </c>
    </row>
    <row r="17" spans="1:139" x14ac:dyDescent="0.25">
      <c r="B17" s="79"/>
      <c r="C17" s="80"/>
      <c r="D17" s="167"/>
      <c r="E17" s="52"/>
      <c r="F17" s="81"/>
      <c r="G17" s="81"/>
      <c r="H17" s="82" t="str">
        <f t="shared" si="0"/>
        <v>--</v>
      </c>
      <c r="I17" s="100">
        <f>IF(Table645[[#This Row],[Column8]]="--",0,Table645[[#This Row],[Column4]]*Table645[[#This Row],[Column8]])</f>
        <v>0</v>
      </c>
      <c r="J17" s="169"/>
      <c r="K17" s="85">
        <f>Table645[[#This Row],[Column4]]*Table645[[#This Row],[Column10]]</f>
        <v>0</v>
      </c>
      <c r="L17" s="170" t="str">
        <f t="shared" si="1"/>
        <v>--</v>
      </c>
      <c r="M17" s="85">
        <f>IF(Table645[[#This Row],[Column10]]=0,0,Table645[[#This Row],[Column4]]*Table645[[#This Row],[Column12]])</f>
        <v>0</v>
      </c>
      <c r="N17" s="87" t="str">
        <f t="shared" si="2"/>
        <v>--</v>
      </c>
      <c r="O17" s="138" t="str">
        <f>IF(SUM(Table645[[#This Row],[Column17]:[Column51]])=0,"--",SUM(Table645[[#This Row],[Column17]:[Column51]]))</f>
        <v>--</v>
      </c>
      <c r="AZ17" s="89">
        <f>IF(Table645[[#This Row],[Column14]]="--",0,Table645[[#This Row],[Column4]]*Table645[[#This Row],[Column14]])</f>
        <v>0</v>
      </c>
      <c r="BA17" s="90"/>
      <c r="BB17" s="91" t="str">
        <f>IF(BA17=0,"--",BA17*$BA$3*IF(Table645[[#This Row],[Column5]]&lt;4.1,1,2)/60/24)</f>
        <v>--</v>
      </c>
      <c r="BC17" s="92">
        <f>IF(Table645[[#This Row],[Column54]]="--",0,Table645[[#This Row],[Column4]]*Table645[[#This Row],[Column54]])</f>
        <v>0</v>
      </c>
      <c r="BD17" s="119"/>
      <c r="BE17" s="99"/>
      <c r="BF17" s="119"/>
      <c r="BG17" s="91" t="str">
        <f>IF(BD17+Table645[[#This Row],[Column58]]=0,"--",(BD17*$BF$3*Table645[[#This Row],[Column57]]+Table645[[#This Row],[Column58]]*$BF$4)/60/24)</f>
        <v>--</v>
      </c>
      <c r="BH17" s="92">
        <f>IF(Table645[[#This Row],[Column59]]="--",0,Table645[[#This Row],[Column4]]*Table645[[#This Row],[Column59]])</f>
        <v>0</v>
      </c>
      <c r="BI17" s="93"/>
      <c r="BJ17" s="91" t="str">
        <f t="shared" si="4"/>
        <v>--</v>
      </c>
      <c r="BK17" s="89">
        <f>IF(Table645[[#This Row],[Column62]]="--",0,Table645[[#This Row],[Column4]]*Table645[[#This Row],[Column62]])</f>
        <v>0</v>
      </c>
      <c r="BL17" s="93"/>
      <c r="BM17" s="91" t="str">
        <f t="shared" si="3"/>
        <v>--</v>
      </c>
      <c r="BN17" s="89">
        <f>IF(Table645[[#This Row],[Column65]]="--",0,Table645[[#This Row],[Column4]]*Table645[[#This Row],[Column65]])</f>
        <v>0</v>
      </c>
      <c r="BO17" s="163"/>
      <c r="BP17" s="164" t="str">
        <f t="shared" si="5"/>
        <v>--</v>
      </c>
      <c r="BQ17" s="160">
        <f>IF(Table645[[#This Row],[Column68]]="--",0,Table645[[#This Row],[Column4]]*Table645[[#This Row],[Column68]])</f>
        <v>0</v>
      </c>
      <c r="BR17" s="94"/>
      <c r="BS17" s="91" t="str">
        <f t="shared" si="6"/>
        <v>--</v>
      </c>
      <c r="BT17" s="92">
        <f>IF(Table645[[#This Row],[Column71]]="--",0,Table645[[#This Row],[Column4]]*Table645[[#This Row],[Column71]])</f>
        <v>0</v>
      </c>
      <c r="BU17" s="44"/>
      <c r="BW17" s="91" t="str">
        <f>IF(BV17=0,"--",(Table645[[#This Row],[Column73]]*$BV$4*(IF(J17&lt;0.5001,1,IF(J17&lt;2.0001,2,3)))+BV17/$BV$3)/60/24)</f>
        <v>--</v>
      </c>
      <c r="BX17" s="92">
        <f>IF(Table645[[#This Row],[Column75]]="--",0,Table645[[#This Row],[Column4]]*Table645[[#This Row],[Column75]])</f>
        <v>0</v>
      </c>
      <c r="BY17" s="95" t="s">
        <v>70</v>
      </c>
      <c r="BZ17" s="91" t="str">
        <f>IF(Table645[[#This Row],[Column74]]=0,"--",BW17*$BY$3)</f>
        <v>--</v>
      </c>
      <c r="CA17" s="89">
        <f>IF(Table645[[#This Row],[Column78]]="--",0,Table645[[#This Row],[Column4]]*Table645[[#This Row],[Column78]])</f>
        <v>0</v>
      </c>
      <c r="CB17" s="95" t="s">
        <v>70</v>
      </c>
      <c r="CC17" s="91" t="str">
        <f>IF(Table645[[#This Row],[Column10]]+Table645[[#This Row],[Column74]]=0,"--",J17*$CB$4*$CB$5/(24*60)+IF(Table645[[#This Row],[Column74]]=0,0,$CB$3*Table645[[#This Row],[Column75]]))</f>
        <v>--</v>
      </c>
      <c r="CD17" s="92">
        <f>IF(Table645[[#This Row],[Column81]]="--",0,Table645[[#This Row],[Column4]]*Table645[[#This Row],[Column81]])</f>
        <v>0</v>
      </c>
      <c r="CE17" s="94"/>
      <c r="CF17" s="91" t="str">
        <f t="shared" si="7"/>
        <v>--</v>
      </c>
      <c r="CG17" s="92">
        <f>IF(Table645[[#This Row],[Column84]]="--",0,Table645[[#This Row],[Column4]]*Table645[[#This Row],[Column84]])</f>
        <v>0</v>
      </c>
      <c r="CH17" s="226"/>
      <c r="CJ17" s="91" t="str">
        <f>IF(CI17=0,"--",(Table645[[#This Row],[Column86]]*$CI$4*(IF(W17&lt;0.5001,1,IF(W17&lt;2.0001,2,3)))+CI17/$CI$3)/60/24)</f>
        <v>--</v>
      </c>
      <c r="CK17" s="92">
        <f>IF(Table645[[#This Row],[Column88]]="--",0,Table645[[#This Row],[Column4]]*Table645[[#This Row],[Column88]])</f>
        <v>0</v>
      </c>
      <c r="CL17" s="95" t="s">
        <v>70</v>
      </c>
      <c r="CM17" s="91" t="str">
        <f>IF(Table645[[#This Row],[Column87]]=0,"--",CJ17*$CL$3)</f>
        <v>--</v>
      </c>
      <c r="CN17" s="89">
        <f>IF(Table645[[#This Row],[Column91]]="--",0,Table645[[#This Row],[Column4]]*Table645[[#This Row],[Column91]])</f>
        <v>0</v>
      </c>
      <c r="CO17" s="95" t="s">
        <v>70</v>
      </c>
      <c r="CP17" s="91" t="str">
        <f>IF(Table645[[#This Row],[Column10]]+Table645[[#This Row],[Column87]]=0, "--", IF($D17="", 1, $D17) * IF($J17="", 1, $J17) * $CO$3 * $CO$4 * IF(Table645[[#This Row],[Column95]]="", 1, Table645[[#This Row],[Column95]]) / (24 * 60))</f>
        <v>--</v>
      </c>
      <c r="CQ17" s="153"/>
      <c r="CR17" s="92">
        <f>IF(Table645[[#This Row],[Column94]]="--",0,Table645[[#This Row],[Column4]]*Table645[[#This Row],[Column94]])</f>
        <v>0</v>
      </c>
      <c r="CS17" s="206" t="str">
        <f>IF(Table645[[#This Row],[Column87]]="","",Table645[[#This Row],[Column87]])</f>
        <v/>
      </c>
      <c r="CT17" s="91" t="str">
        <f>IF(Table645[[#This Row],[Column97]]="","--",Table645[[#This Row],[Column97]]/$CS$3/60/24)</f>
        <v>--</v>
      </c>
      <c r="CU17" s="89">
        <f>IF(Table645[[#This Row],[Column98]]="--",0,Table645[[#This Row],[Column4]]*Table645[[#This Row],[Column98]])</f>
        <v>0</v>
      </c>
      <c r="CV17" s="93"/>
      <c r="CW17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7" s="91" t="str">
        <f>IF(OR(Table645[[#This Row],[Column74]]&gt;0,Table645[[#This Row],[Column87]]&gt;0),(Table645[[#This Row],[Column73]]+Table645[[#This Row],[Column86]]+1)*$CW$3/60/24,"--")</f>
        <v>--</v>
      </c>
      <c r="CY17" s="92">
        <f>IF(Table645[[#This Row],[Column102]]="--",0,Table645[[#This Row],[Column4]]*Table645[[#This Row],[Column102]])</f>
        <v>0</v>
      </c>
      <c r="CZ17" s="158" t="str">
        <f t="shared" si="8"/>
        <v>--</v>
      </c>
      <c r="DA17" s="153"/>
      <c r="DB17" s="160">
        <f>IF(Table645[[#This Row],[Column104]]="--",0,Table645[[#This Row],[Column4]]*Table645[[#This Row],[Column104]])</f>
        <v>0</v>
      </c>
      <c r="DC17" s="116"/>
      <c r="DD17" s="222" t="str">
        <f>IF(DC17=0,"--",1/$DC$3*1000/(60*60*24)*Table645[[#This Row],[Column107]])</f>
        <v>--</v>
      </c>
      <c r="DE17" s="89">
        <f>IF(Table645[[#This Row],[Column108]]="--",0,Table645[[#This Row],[Column4]]*Table645[[#This Row],[Column108]])</f>
        <v>0</v>
      </c>
      <c r="DF17" s="101" t="s">
        <v>70</v>
      </c>
      <c r="DG17" s="91" t="str">
        <f t="shared" si="9"/>
        <v>--</v>
      </c>
      <c r="DH17" s="89">
        <f>IF(Table645[[#This Row],[Column111]]="--",0,Table645[[#This Row],[Column4]]*Table645[[#This Row],[Column111]])</f>
        <v>0</v>
      </c>
      <c r="DI17" s="96"/>
      <c r="DJ17" s="96"/>
      <c r="DK17" s="96"/>
      <c r="DL17" s="96"/>
      <c r="DM17" s="96"/>
      <c r="DN17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7" s="89">
        <f>IF(Table645[[#This Row],[Column118]]="--",0,Table645[[#This Row],[Column4]]*Table645[[#This Row],[Column118]])</f>
        <v>0</v>
      </c>
      <c r="DP17" s="96"/>
      <c r="DQ17" s="96"/>
      <c r="DR17" s="91" t="str">
        <f t="shared" si="10"/>
        <v>--</v>
      </c>
      <c r="DS17" s="89">
        <f>IF(Table645[[#This Row],[Column122]]="--",0,Table645[[#This Row],[Column4]]*Table645[[#This Row],[Column122]])</f>
        <v>0</v>
      </c>
      <c r="DT17" t="str">
        <f>IF(Table645[[#This Row],[Column125]]=0,"--",Table645[[#This Row],[Column125]]*Table645[[#This Row],[Column126]]*Table645[[#This Row],[Column127]]/1000000000)</f>
        <v>--</v>
      </c>
      <c r="DU17" s="53"/>
      <c r="DV17" s="53"/>
      <c r="DW17" s="53"/>
      <c r="DX17" s="91" t="str">
        <f t="shared" si="11"/>
        <v>--</v>
      </c>
      <c r="DY17" s="89">
        <f>IF(Table645[[#This Row],[Column128]]="--",0,Table645[[#This Row],[Column4]]*Table645[[#This Row],[Column128]])</f>
        <v>0</v>
      </c>
      <c r="EA17" s="89">
        <f>IF(Table645[[#This Row],[Column128]]="--",0,Table645[[#This Row],[Column4]]*Table645[[#This Row],[Column128]])</f>
        <v>0</v>
      </c>
      <c r="EC17" s="89">
        <f>IF(Table645[[#This Row],[Column128]]="--",0,Table645[[#This Row],[Column4]]*Table645[[#This Row],[Column128]])</f>
        <v>0</v>
      </c>
      <c r="EE17" s="89">
        <f>IF(Table645[[#This Row],[Column128]]="--",0,Table645[[#This Row],[Column4]]*Table645[[#This Row],[Column128]])</f>
        <v>0</v>
      </c>
      <c r="EG17" s="89">
        <f>IF(Table645[[#This Row],[Column128]]="--",0,Table645[[#This Row],[Column4]]*Table645[[#This Row],[Column128]])</f>
        <v>0</v>
      </c>
      <c r="EI17" s="89">
        <f>IF(Table645[[#This Row],[Column128]]="--",0,Table645[[#This Row],[Column4]]*Table645[[#This Row],[Column128]])</f>
        <v>0</v>
      </c>
    </row>
    <row r="18" spans="1:139" x14ac:dyDescent="0.25">
      <c r="B18" s="79"/>
      <c r="C18" s="80"/>
      <c r="D18" s="167"/>
      <c r="E18" s="52"/>
      <c r="F18" s="81"/>
      <c r="G18" s="81"/>
      <c r="H18" s="82" t="str">
        <f t="shared" si="0"/>
        <v>--</v>
      </c>
      <c r="I18" s="100">
        <f>IF(Table645[[#This Row],[Column8]]="--",0,Table645[[#This Row],[Column4]]*Table645[[#This Row],[Column8]])</f>
        <v>0</v>
      </c>
      <c r="J18" s="169"/>
      <c r="K18" s="85">
        <f>Table645[[#This Row],[Column4]]*Table645[[#This Row],[Column10]]</f>
        <v>0</v>
      </c>
      <c r="L18" s="170" t="str">
        <f t="shared" si="1"/>
        <v>--</v>
      </c>
      <c r="M18" s="85">
        <f>IF(Table645[[#This Row],[Column10]]=0,0,Table645[[#This Row],[Column4]]*Table645[[#This Row],[Column12]])</f>
        <v>0</v>
      </c>
      <c r="N18" s="87" t="str">
        <f t="shared" si="2"/>
        <v>--</v>
      </c>
      <c r="O18" s="138" t="str">
        <f>IF(SUM(Table645[[#This Row],[Column17]:[Column51]])=0,"--",SUM(Table645[[#This Row],[Column17]:[Column51]]))</f>
        <v>--</v>
      </c>
      <c r="AZ18" s="89">
        <f>IF(Table645[[#This Row],[Column14]]="--",0,Table645[[#This Row],[Column4]]*Table645[[#This Row],[Column14]])</f>
        <v>0</v>
      </c>
      <c r="BA18" s="90"/>
      <c r="BB18" s="91" t="str">
        <f>IF(BA18=0,"--",BA18*$BA$3*IF(Table645[[#This Row],[Column5]]&lt;4.1,1,2)/60/24)</f>
        <v>--</v>
      </c>
      <c r="BC18" s="92">
        <f>IF(Table645[[#This Row],[Column54]]="--",0,Table645[[#This Row],[Column4]]*Table645[[#This Row],[Column54]])</f>
        <v>0</v>
      </c>
      <c r="BD18" s="119"/>
      <c r="BE18" s="99"/>
      <c r="BF18" s="119"/>
      <c r="BG18" s="91" t="str">
        <f>IF(BD18+Table645[[#This Row],[Column58]]=0,"--",(BD18*$BF$3*Table645[[#This Row],[Column57]]+Table645[[#This Row],[Column58]]*$BF$4)/60/24)</f>
        <v>--</v>
      </c>
      <c r="BH18" s="92">
        <f>IF(Table645[[#This Row],[Column59]]="--",0,Table645[[#This Row],[Column4]]*Table645[[#This Row],[Column59]])</f>
        <v>0</v>
      </c>
      <c r="BI18" s="93"/>
      <c r="BJ18" s="91" t="str">
        <f t="shared" si="4"/>
        <v>--</v>
      </c>
      <c r="BK18" s="89">
        <f>IF(Table645[[#This Row],[Column62]]="--",0,Table645[[#This Row],[Column4]]*Table645[[#This Row],[Column62]])</f>
        <v>0</v>
      </c>
      <c r="BL18" s="93"/>
      <c r="BM18" s="91" t="str">
        <f t="shared" si="3"/>
        <v>--</v>
      </c>
      <c r="BN18" s="89">
        <f>IF(Table645[[#This Row],[Column65]]="--",0,Table645[[#This Row],[Column4]]*Table645[[#This Row],[Column65]])</f>
        <v>0</v>
      </c>
      <c r="BO18" s="163"/>
      <c r="BP18" s="164" t="str">
        <f t="shared" si="5"/>
        <v>--</v>
      </c>
      <c r="BQ18" s="160">
        <f>IF(Table645[[#This Row],[Column68]]="--",0,Table645[[#This Row],[Column4]]*Table645[[#This Row],[Column68]])</f>
        <v>0</v>
      </c>
      <c r="BR18" s="94"/>
      <c r="BS18" s="91" t="str">
        <f t="shared" si="6"/>
        <v>--</v>
      </c>
      <c r="BT18" s="92">
        <f>IF(Table645[[#This Row],[Column71]]="--",0,Table645[[#This Row],[Column4]]*Table645[[#This Row],[Column71]])</f>
        <v>0</v>
      </c>
      <c r="BU18" s="44"/>
      <c r="BV18" s="90"/>
      <c r="BW18" s="91" t="str">
        <f>IF(BV18=0,"--",(Table645[[#This Row],[Column73]]*$BV$4*(IF(J18&lt;0.5001,1,IF(J18&lt;2.0001,2,3)))+BV18/$BV$3)/60/24)</f>
        <v>--</v>
      </c>
      <c r="BX18" s="92">
        <f>IF(Table645[[#This Row],[Column75]]="--",0,Table645[[#This Row],[Column4]]*Table645[[#This Row],[Column75]])</f>
        <v>0</v>
      </c>
      <c r="BY18" s="95" t="s">
        <v>70</v>
      </c>
      <c r="BZ18" s="91" t="str">
        <f>IF(Table645[[#This Row],[Column74]]=0,"--",BW18*$BY$3)</f>
        <v>--</v>
      </c>
      <c r="CA18" s="89">
        <f>IF(Table645[[#This Row],[Column78]]="--",0,Table645[[#This Row],[Column4]]*Table645[[#This Row],[Column78]])</f>
        <v>0</v>
      </c>
      <c r="CB18" s="95" t="s">
        <v>70</v>
      </c>
      <c r="CC18" s="91" t="str">
        <f>IF(Table645[[#This Row],[Column10]]+Table645[[#This Row],[Column74]]=0,"--",J18*$CB$4*$CB$5/(24*60)+IF(Table645[[#This Row],[Column74]]=0,0,$CB$3*Table645[[#This Row],[Column75]]))</f>
        <v>--</v>
      </c>
      <c r="CD18" s="92">
        <f>IF(Table645[[#This Row],[Column81]]="--",0,Table645[[#This Row],[Column4]]*Table645[[#This Row],[Column81]])</f>
        <v>0</v>
      </c>
      <c r="CE18" s="94"/>
      <c r="CF18" s="91" t="str">
        <f t="shared" si="7"/>
        <v>--</v>
      </c>
      <c r="CG18" s="92">
        <f>IF(Table645[[#This Row],[Column84]]="--",0,Table645[[#This Row],[Column4]]*Table645[[#This Row],[Column84]])</f>
        <v>0</v>
      </c>
      <c r="CH18" s="226"/>
      <c r="CI18" s="90"/>
      <c r="CJ18" s="91" t="str">
        <f>IF(CI18=0,"--",(Table645[[#This Row],[Column86]]*$CI$4*(IF(W18&lt;0.5001,1,IF(W18&lt;2.0001,2,3)))+CI18/$CI$3)/60/24)</f>
        <v>--</v>
      </c>
      <c r="CK18" s="92">
        <f>IF(Table645[[#This Row],[Column88]]="--",0,Table645[[#This Row],[Column4]]*Table645[[#This Row],[Column88]])</f>
        <v>0</v>
      </c>
      <c r="CL18" s="95" t="s">
        <v>70</v>
      </c>
      <c r="CM18" s="91" t="str">
        <f>IF(Table645[[#This Row],[Column87]]=0,"--",CJ18*$CL$3)</f>
        <v>--</v>
      </c>
      <c r="CN18" s="89">
        <f>IF(Table645[[#This Row],[Column91]]="--",0,Table645[[#This Row],[Column4]]*Table645[[#This Row],[Column91]])</f>
        <v>0</v>
      </c>
      <c r="CO18" s="95" t="s">
        <v>70</v>
      </c>
      <c r="CP18" s="91" t="str">
        <f>IF(Table645[[#This Row],[Column10]]+Table645[[#This Row],[Column87]]=0, "--", IF($D18="", 1, $D18) * IF($J18="", 1, $J18) * $CO$3 * $CO$4 * IF(Table645[[#This Row],[Column95]]="", 1, Table645[[#This Row],[Column95]]) / (24 * 60))</f>
        <v>--</v>
      </c>
      <c r="CQ18" s="153"/>
      <c r="CR18" s="92">
        <f>IF(Table645[[#This Row],[Column94]]="--",0,Table645[[#This Row],[Column4]]*Table645[[#This Row],[Column94]])</f>
        <v>0</v>
      </c>
      <c r="CS18" s="206" t="str">
        <f>IF(Table645[[#This Row],[Column87]]="","",Table645[[#This Row],[Column87]])</f>
        <v/>
      </c>
      <c r="CT18" s="91" t="str">
        <f>IF(Table645[[#This Row],[Column97]]="","--",Table645[[#This Row],[Column97]]/$CS$3/60/24)</f>
        <v>--</v>
      </c>
      <c r="CU18" s="89">
        <f>IF(Table645[[#This Row],[Column98]]="--",0,Table645[[#This Row],[Column4]]*Table645[[#This Row],[Column98]])</f>
        <v>0</v>
      </c>
      <c r="CV18" s="93"/>
      <c r="CW18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8" s="91" t="str">
        <f>IF(OR(Table645[[#This Row],[Column74]]&gt;0,Table645[[#This Row],[Column87]]&gt;0),(Table645[[#This Row],[Column73]]+Table645[[#This Row],[Column86]]+1)*$CW$3/60/24,"--")</f>
        <v>--</v>
      </c>
      <c r="CY18" s="92">
        <f>IF(Table645[[#This Row],[Column102]]="--",0,Table645[[#This Row],[Column4]]*Table645[[#This Row],[Column102]])</f>
        <v>0</v>
      </c>
      <c r="CZ18" s="158" t="str">
        <f t="shared" si="8"/>
        <v>--</v>
      </c>
      <c r="DA18" s="153"/>
      <c r="DB18" s="160">
        <f>IF(Table645[[#This Row],[Column104]]="--",0,Table645[[#This Row],[Column4]]*Table645[[#This Row],[Column104]])</f>
        <v>0</v>
      </c>
      <c r="DC18" s="116"/>
      <c r="DD18" s="222" t="str">
        <f>IF(DC18=0,"--",1/$DC$3*1000/(60*60*24)*Table645[[#This Row],[Column107]])</f>
        <v>--</v>
      </c>
      <c r="DE18" s="89">
        <f>IF(Table645[[#This Row],[Column108]]="--",0,Table645[[#This Row],[Column4]]*Table645[[#This Row],[Column108]])</f>
        <v>0</v>
      </c>
      <c r="DF18" s="101" t="s">
        <v>70</v>
      </c>
      <c r="DG18" s="91" t="str">
        <f t="shared" si="9"/>
        <v>--</v>
      </c>
      <c r="DH18" s="89">
        <f>IF(Table645[[#This Row],[Column111]]="--",0,Table645[[#This Row],[Column4]]*Table645[[#This Row],[Column111]])</f>
        <v>0</v>
      </c>
      <c r="DI18" s="96"/>
      <c r="DJ18" s="96"/>
      <c r="DK18" s="96"/>
      <c r="DL18" s="96"/>
      <c r="DM18" s="96"/>
      <c r="DN18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8" s="89">
        <f>IF(Table645[[#This Row],[Column118]]="--",0,Table645[[#This Row],[Column4]]*Table645[[#This Row],[Column118]])</f>
        <v>0</v>
      </c>
      <c r="DP18" s="96"/>
      <c r="DQ18" s="96"/>
      <c r="DR18" s="91" t="str">
        <f t="shared" si="10"/>
        <v>--</v>
      </c>
      <c r="DS18" s="89">
        <f>IF(Table645[[#This Row],[Column122]]="--",0,Table645[[#This Row],[Column4]]*Table645[[#This Row],[Column122]])</f>
        <v>0</v>
      </c>
      <c r="DT18" t="str">
        <f>IF(Table645[[#This Row],[Column125]]=0,"--",Table645[[#This Row],[Column125]]*Table645[[#This Row],[Column126]]*Table645[[#This Row],[Column127]]/1000000000)</f>
        <v>--</v>
      </c>
      <c r="DU18" s="53"/>
      <c r="DV18" s="53"/>
      <c r="DW18" s="53"/>
      <c r="DX18" s="91" t="str">
        <f t="shared" si="11"/>
        <v>--</v>
      </c>
      <c r="DY18" s="89">
        <f>IF(Table645[[#This Row],[Column128]]="--",0,Table645[[#This Row],[Column4]]*Table645[[#This Row],[Column128]])</f>
        <v>0</v>
      </c>
      <c r="EA18" s="89">
        <f>IF(Table645[[#This Row],[Column128]]="--",0,Table645[[#This Row],[Column4]]*Table645[[#This Row],[Column128]])</f>
        <v>0</v>
      </c>
      <c r="EC18" s="89">
        <f>IF(Table645[[#This Row],[Column128]]="--",0,Table645[[#This Row],[Column4]]*Table645[[#This Row],[Column128]])</f>
        <v>0</v>
      </c>
      <c r="EE18" s="89">
        <f>IF(Table645[[#This Row],[Column128]]="--",0,Table645[[#This Row],[Column4]]*Table645[[#This Row],[Column128]])</f>
        <v>0</v>
      </c>
      <c r="EG18" s="89">
        <f>IF(Table645[[#This Row],[Column128]]="--",0,Table645[[#This Row],[Column4]]*Table645[[#This Row],[Column128]])</f>
        <v>0</v>
      </c>
      <c r="EI18" s="89">
        <f>IF(Table645[[#This Row],[Column128]]="--",0,Table645[[#This Row],[Column4]]*Table645[[#This Row],[Column128]])</f>
        <v>0</v>
      </c>
    </row>
    <row r="19" spans="1:139" x14ac:dyDescent="0.25">
      <c r="B19" s="79"/>
      <c r="C19" s="80"/>
      <c r="D19" s="167"/>
      <c r="E19" s="52"/>
      <c r="F19" s="81"/>
      <c r="G19" s="81"/>
      <c r="H19" s="82" t="str">
        <f t="shared" si="0"/>
        <v>--</v>
      </c>
      <c r="I19" s="100">
        <f>IF(Table645[[#This Row],[Column8]]="--",0,Table645[[#This Row],[Column4]]*Table645[[#This Row],[Column8]])</f>
        <v>0</v>
      </c>
      <c r="J19" s="169"/>
      <c r="K19" s="85">
        <f>Table645[[#This Row],[Column4]]*Table645[[#This Row],[Column10]]</f>
        <v>0</v>
      </c>
      <c r="L19" s="170" t="str">
        <f t="shared" si="1"/>
        <v>--</v>
      </c>
      <c r="M19" s="85">
        <f>IF(Table645[[#This Row],[Column10]]=0,0,Table645[[#This Row],[Column4]]*Table645[[#This Row],[Column12]])</f>
        <v>0</v>
      </c>
      <c r="N19" s="87" t="str">
        <f t="shared" si="2"/>
        <v>--</v>
      </c>
      <c r="O19" s="138" t="str">
        <f>IF(SUM(Table645[[#This Row],[Column17]:[Column51]])=0,"--",SUM(Table645[[#This Row],[Column17]:[Column51]]))</f>
        <v>--</v>
      </c>
      <c r="AZ19" s="89">
        <f>IF(Table645[[#This Row],[Column14]]="--",0,Table645[[#This Row],[Column4]]*Table645[[#This Row],[Column14]])</f>
        <v>0</v>
      </c>
      <c r="BA19" s="90"/>
      <c r="BB19" s="91" t="str">
        <f>IF(BA19=0,"--",BA19*$BA$3*IF(Table645[[#This Row],[Column5]]&lt;4.1,1,2)/60/24)</f>
        <v>--</v>
      </c>
      <c r="BC19" s="92">
        <f>IF(Table645[[#This Row],[Column54]]="--",0,Table645[[#This Row],[Column4]]*Table645[[#This Row],[Column54]])</f>
        <v>0</v>
      </c>
      <c r="BD19" s="119"/>
      <c r="BE19" s="99"/>
      <c r="BF19" s="119"/>
      <c r="BG19" s="91" t="str">
        <f>IF(BD19+Table645[[#This Row],[Column58]]=0,"--",(BD19*$BF$3*Table645[[#This Row],[Column57]]+Table645[[#This Row],[Column58]]*$BF$4)/60/24)</f>
        <v>--</v>
      </c>
      <c r="BH19" s="92">
        <f>IF(Table645[[#This Row],[Column59]]="--",0,Table645[[#This Row],[Column4]]*Table645[[#This Row],[Column59]])</f>
        <v>0</v>
      </c>
      <c r="BI19" s="93"/>
      <c r="BJ19" s="91" t="str">
        <f t="shared" si="4"/>
        <v>--</v>
      </c>
      <c r="BK19" s="89">
        <f>IF(Table645[[#This Row],[Column62]]="--",0,Table645[[#This Row],[Column4]]*Table645[[#This Row],[Column62]])</f>
        <v>0</v>
      </c>
      <c r="BL19" s="93"/>
      <c r="BM19" s="91" t="str">
        <f t="shared" si="3"/>
        <v>--</v>
      </c>
      <c r="BN19" s="89">
        <f>IF(Table645[[#This Row],[Column65]]="--",0,Table645[[#This Row],[Column4]]*Table645[[#This Row],[Column65]])</f>
        <v>0</v>
      </c>
      <c r="BO19" s="163"/>
      <c r="BP19" s="164" t="str">
        <f t="shared" si="5"/>
        <v>--</v>
      </c>
      <c r="BQ19" s="160">
        <f>IF(Table645[[#This Row],[Column68]]="--",0,Table645[[#This Row],[Column4]]*Table645[[#This Row],[Column68]])</f>
        <v>0</v>
      </c>
      <c r="BR19" s="94"/>
      <c r="BS19" s="91" t="str">
        <f t="shared" si="6"/>
        <v>--</v>
      </c>
      <c r="BT19" s="92">
        <f>IF(Table645[[#This Row],[Column71]]="--",0,Table645[[#This Row],[Column4]]*Table645[[#This Row],[Column71]])</f>
        <v>0</v>
      </c>
      <c r="BU19" s="44"/>
      <c r="BV19" s="90"/>
      <c r="BW19" s="91" t="str">
        <f>IF(BV19=0,"--",(Table645[[#This Row],[Column73]]*$BV$4*(IF(J19&lt;0.5001,1,IF(J19&lt;2.0001,2,3)))+BV19/$BV$3)/60/24)</f>
        <v>--</v>
      </c>
      <c r="BX19" s="92">
        <f>IF(Table645[[#This Row],[Column75]]="--",0,Table645[[#This Row],[Column4]]*Table645[[#This Row],[Column75]])</f>
        <v>0</v>
      </c>
      <c r="BY19" s="95" t="s">
        <v>70</v>
      </c>
      <c r="BZ19" s="91" t="str">
        <f>IF(Table645[[#This Row],[Column74]]=0,"--",BW19*$BY$3)</f>
        <v>--</v>
      </c>
      <c r="CA19" s="89">
        <f>IF(Table645[[#This Row],[Column78]]="--",0,Table645[[#This Row],[Column4]]*Table645[[#This Row],[Column78]])</f>
        <v>0</v>
      </c>
      <c r="CB19" s="95" t="s">
        <v>70</v>
      </c>
      <c r="CC19" s="91" t="str">
        <f>IF(Table645[[#This Row],[Column10]]+Table645[[#This Row],[Column74]]=0,"--",J19*$CB$4*$CB$5/(24*60)+IF(Table645[[#This Row],[Column74]]=0,0,$CB$3*Table645[[#This Row],[Column75]]))</f>
        <v>--</v>
      </c>
      <c r="CD19" s="92">
        <f>IF(Table645[[#This Row],[Column81]]="--",0,Table645[[#This Row],[Column4]]*Table645[[#This Row],[Column81]])</f>
        <v>0</v>
      </c>
      <c r="CE19" s="94"/>
      <c r="CF19" s="91" t="str">
        <f t="shared" si="7"/>
        <v>--</v>
      </c>
      <c r="CG19" s="92">
        <f>IF(Table645[[#This Row],[Column84]]="--",0,Table645[[#This Row],[Column4]]*Table645[[#This Row],[Column84]])</f>
        <v>0</v>
      </c>
      <c r="CH19" s="226"/>
      <c r="CI19" s="90"/>
      <c r="CJ19" s="91" t="str">
        <f>IF(CI19=0,"--",(Table645[[#This Row],[Column86]]*$CI$4*(IF(W19&lt;0.5001,1,IF(W19&lt;2.0001,2,3)))+CI19/$CI$3)/60/24)</f>
        <v>--</v>
      </c>
      <c r="CK19" s="92">
        <f>IF(Table645[[#This Row],[Column88]]="--",0,Table645[[#This Row],[Column4]]*Table645[[#This Row],[Column88]])</f>
        <v>0</v>
      </c>
      <c r="CL19" s="95" t="s">
        <v>70</v>
      </c>
      <c r="CM19" s="91" t="str">
        <f>IF(Table645[[#This Row],[Column87]]=0,"--",CJ19*$CL$3)</f>
        <v>--</v>
      </c>
      <c r="CN19" s="89">
        <f>IF(Table645[[#This Row],[Column91]]="--",0,Table645[[#This Row],[Column4]]*Table645[[#This Row],[Column91]])</f>
        <v>0</v>
      </c>
      <c r="CO19" s="95" t="s">
        <v>70</v>
      </c>
      <c r="CP19" s="91" t="str">
        <f>IF(Table645[[#This Row],[Column10]]+Table645[[#This Row],[Column87]]=0, "--", IF($D19="", 1, $D19) * IF($J19="", 1, $J19) * $CO$3 * $CO$4 * IF(Table645[[#This Row],[Column95]]="", 1, Table645[[#This Row],[Column95]]) / (24 * 60))</f>
        <v>--</v>
      </c>
      <c r="CQ19" s="153"/>
      <c r="CR19" s="92">
        <f>IF(Table645[[#This Row],[Column94]]="--",0,Table645[[#This Row],[Column4]]*Table645[[#This Row],[Column94]])</f>
        <v>0</v>
      </c>
      <c r="CS19" s="206" t="str">
        <f>IF(Table645[[#This Row],[Column87]]="","",Table645[[#This Row],[Column87]])</f>
        <v/>
      </c>
      <c r="CT19" s="91" t="str">
        <f>IF(Table645[[#This Row],[Column97]]="","--",Table645[[#This Row],[Column97]]/$CS$3/60/24)</f>
        <v>--</v>
      </c>
      <c r="CU19" s="89">
        <f>IF(Table645[[#This Row],[Column98]]="--",0,Table645[[#This Row],[Column4]]*Table645[[#This Row],[Column98]])</f>
        <v>0</v>
      </c>
      <c r="CV19" s="93"/>
      <c r="CW19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9" s="91" t="str">
        <f>IF(OR(Table645[[#This Row],[Column74]]&gt;0,Table645[[#This Row],[Column87]]&gt;0),(Table645[[#This Row],[Column73]]+Table645[[#This Row],[Column86]]+1)*$CW$3/60/24,"--")</f>
        <v>--</v>
      </c>
      <c r="CY19" s="92">
        <f>IF(Table645[[#This Row],[Column102]]="--",0,Table645[[#This Row],[Column4]]*Table645[[#This Row],[Column102]])</f>
        <v>0</v>
      </c>
      <c r="CZ19" s="158" t="str">
        <f t="shared" si="8"/>
        <v>--</v>
      </c>
      <c r="DA19" s="153"/>
      <c r="DB19" s="160">
        <f>IF(Table645[[#This Row],[Column104]]="--",0,Table645[[#This Row],[Column4]]*Table645[[#This Row],[Column104]])</f>
        <v>0</v>
      </c>
      <c r="DC19" s="116"/>
      <c r="DD19" s="222" t="str">
        <f>IF(DC19=0,"--",1/$DC$3*1000/(60*60*24)*Table645[[#This Row],[Column107]])</f>
        <v>--</v>
      </c>
      <c r="DE19" s="89">
        <f>IF(Table645[[#This Row],[Column108]]="--",0,Table645[[#This Row],[Column4]]*Table645[[#This Row],[Column108]])</f>
        <v>0</v>
      </c>
      <c r="DF19" s="101" t="s">
        <v>70</v>
      </c>
      <c r="DG19" s="91" t="str">
        <f t="shared" si="9"/>
        <v>--</v>
      </c>
      <c r="DH19" s="89">
        <f>IF(Table645[[#This Row],[Column111]]="--",0,Table645[[#This Row],[Column4]]*Table645[[#This Row],[Column111]])</f>
        <v>0</v>
      </c>
      <c r="DI19" s="96"/>
      <c r="DJ19" s="96"/>
      <c r="DK19" s="96"/>
      <c r="DL19" s="96"/>
      <c r="DM19" s="96"/>
      <c r="DN19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9" s="89">
        <f>IF(Table645[[#This Row],[Column118]]="--",0,Table645[[#This Row],[Column4]]*Table645[[#This Row],[Column118]])</f>
        <v>0</v>
      </c>
      <c r="DP19" s="96"/>
      <c r="DQ19" s="96"/>
      <c r="DR19" s="91" t="str">
        <f t="shared" si="10"/>
        <v>--</v>
      </c>
      <c r="DS19" s="89">
        <f>IF(Table645[[#This Row],[Column122]]="--",0,Table645[[#This Row],[Column4]]*Table645[[#This Row],[Column122]])</f>
        <v>0</v>
      </c>
      <c r="DT19" t="str">
        <f>IF(Table645[[#This Row],[Column125]]=0,"--",Table645[[#This Row],[Column125]]*Table645[[#This Row],[Column126]]*Table645[[#This Row],[Column127]]/1000000000)</f>
        <v>--</v>
      </c>
      <c r="DU19" s="53"/>
      <c r="DV19" s="53"/>
      <c r="DW19" s="53"/>
      <c r="DX19" s="91" t="str">
        <f t="shared" si="11"/>
        <v>--</v>
      </c>
      <c r="DY19" s="89">
        <f>IF(Table645[[#This Row],[Column128]]="--",0,Table645[[#This Row],[Column4]]*Table645[[#This Row],[Column128]])</f>
        <v>0</v>
      </c>
      <c r="EA19" s="89">
        <f>IF(Table645[[#This Row],[Column128]]="--",0,Table645[[#This Row],[Column4]]*Table645[[#This Row],[Column128]])</f>
        <v>0</v>
      </c>
      <c r="EC19" s="89">
        <f>IF(Table645[[#This Row],[Column128]]="--",0,Table645[[#This Row],[Column4]]*Table645[[#This Row],[Column128]])</f>
        <v>0</v>
      </c>
      <c r="EE19" s="89">
        <f>IF(Table645[[#This Row],[Column128]]="--",0,Table645[[#This Row],[Column4]]*Table645[[#This Row],[Column128]])</f>
        <v>0</v>
      </c>
      <c r="EG19" s="89">
        <f>IF(Table645[[#This Row],[Column128]]="--",0,Table645[[#This Row],[Column4]]*Table645[[#This Row],[Column128]])</f>
        <v>0</v>
      </c>
      <c r="EI19" s="89">
        <f>IF(Table645[[#This Row],[Column128]]="--",0,Table645[[#This Row],[Column4]]*Table645[[#This Row],[Column128]])</f>
        <v>0</v>
      </c>
    </row>
    <row r="20" spans="1:139" x14ac:dyDescent="0.25">
      <c r="B20" s="79"/>
      <c r="C20" s="80"/>
      <c r="D20" s="167"/>
      <c r="E20" s="52"/>
      <c r="F20" s="81"/>
      <c r="G20" s="81"/>
      <c r="H20" s="82" t="str">
        <f t="shared" si="0"/>
        <v>--</v>
      </c>
      <c r="I20" s="100">
        <f>IF(Table645[[#This Row],[Column8]]="--",0,Table645[[#This Row],[Column4]]*Table645[[#This Row],[Column8]])</f>
        <v>0</v>
      </c>
      <c r="J20" s="169"/>
      <c r="K20" s="85">
        <f>Table645[[#This Row],[Column4]]*Table645[[#This Row],[Column10]]</f>
        <v>0</v>
      </c>
      <c r="L20" s="170" t="str">
        <f t="shared" si="1"/>
        <v>--</v>
      </c>
      <c r="M20" s="85">
        <f>IF(Table645[[#This Row],[Column10]]=0,0,Table645[[#This Row],[Column4]]*Table645[[#This Row],[Column12]])</f>
        <v>0</v>
      </c>
      <c r="N20" s="87" t="str">
        <f t="shared" si="2"/>
        <v>--</v>
      </c>
      <c r="O20" s="138" t="str">
        <f>IF(SUM(Table645[[#This Row],[Column17]:[Column51]])=0,"--",SUM(Table645[[#This Row],[Column17]:[Column51]]))</f>
        <v>--</v>
      </c>
      <c r="AZ20" s="89">
        <f>IF(Table645[[#This Row],[Column14]]="--",0,Table645[[#This Row],[Column4]]*Table645[[#This Row],[Column14]])</f>
        <v>0</v>
      </c>
      <c r="BA20" s="90"/>
      <c r="BB20" s="91" t="str">
        <f>IF(BA20=0,"--",BA20*$BA$3*IF(Table645[[#This Row],[Column5]]&lt;4.1,1,2)/60/24)</f>
        <v>--</v>
      </c>
      <c r="BC20" s="92">
        <f>IF(Table645[[#This Row],[Column54]]="--",0,Table645[[#This Row],[Column4]]*Table645[[#This Row],[Column54]])</f>
        <v>0</v>
      </c>
      <c r="BD20" s="119"/>
      <c r="BE20" s="99"/>
      <c r="BF20" s="119"/>
      <c r="BG20" s="91" t="str">
        <f>IF(BD20+Table645[[#This Row],[Column58]]=0,"--",(BD20*$BF$3*Table645[[#This Row],[Column57]]+Table645[[#This Row],[Column58]]*$BF$4)/60/24)</f>
        <v>--</v>
      </c>
      <c r="BH20" s="92">
        <f>IF(Table645[[#This Row],[Column59]]="--",0,Table645[[#This Row],[Column4]]*Table645[[#This Row],[Column59]])</f>
        <v>0</v>
      </c>
      <c r="BI20" s="93"/>
      <c r="BJ20" s="91" t="str">
        <f t="shared" si="4"/>
        <v>--</v>
      </c>
      <c r="BK20" s="89">
        <f>IF(Table645[[#This Row],[Column62]]="--",0,Table645[[#This Row],[Column4]]*Table645[[#This Row],[Column62]])</f>
        <v>0</v>
      </c>
      <c r="BL20" s="93"/>
      <c r="BM20" s="91" t="str">
        <f t="shared" si="3"/>
        <v>--</v>
      </c>
      <c r="BN20" s="89">
        <f>IF(Table645[[#This Row],[Column65]]="--",0,Table645[[#This Row],[Column4]]*Table645[[#This Row],[Column65]])</f>
        <v>0</v>
      </c>
      <c r="BO20" s="163"/>
      <c r="BP20" s="164" t="str">
        <f t="shared" si="5"/>
        <v>--</v>
      </c>
      <c r="BQ20" s="160">
        <f>IF(Table645[[#This Row],[Column68]]="--",0,Table645[[#This Row],[Column4]]*Table645[[#This Row],[Column68]])</f>
        <v>0</v>
      </c>
      <c r="BR20" s="94"/>
      <c r="BS20" s="91" t="str">
        <f t="shared" si="6"/>
        <v>--</v>
      </c>
      <c r="BT20" s="92">
        <f>IF(Table645[[#This Row],[Column71]]="--",0,Table645[[#This Row],[Column4]]*Table645[[#This Row],[Column71]])</f>
        <v>0</v>
      </c>
      <c r="BU20" s="44"/>
      <c r="BV20" s="90"/>
      <c r="BW20" s="91" t="str">
        <f>IF(BV20=0,"--",(Table645[[#This Row],[Column73]]*$BV$4*(IF(J20&lt;0.5001,1,IF(J20&lt;2.0001,2,3)))+BV20/$BV$3)/60/24)</f>
        <v>--</v>
      </c>
      <c r="BX20" s="92">
        <f>IF(Table645[[#This Row],[Column75]]="--",0,Table645[[#This Row],[Column4]]*Table645[[#This Row],[Column75]])</f>
        <v>0</v>
      </c>
      <c r="BY20" s="95" t="s">
        <v>70</v>
      </c>
      <c r="BZ20" s="91" t="str">
        <f>IF(Table645[[#This Row],[Column74]]=0,"--",BW20*$BY$3)</f>
        <v>--</v>
      </c>
      <c r="CA20" s="89">
        <f>IF(Table645[[#This Row],[Column78]]="--",0,Table645[[#This Row],[Column4]]*Table645[[#This Row],[Column78]])</f>
        <v>0</v>
      </c>
      <c r="CB20" s="95" t="s">
        <v>70</v>
      </c>
      <c r="CC20" s="91" t="str">
        <f>IF(Table645[[#This Row],[Column10]]+Table645[[#This Row],[Column74]]=0,"--",J20*$CB$4*$CB$5/(24*60)+IF(Table645[[#This Row],[Column74]]=0,0,$CB$3*Table645[[#This Row],[Column75]]))</f>
        <v>--</v>
      </c>
      <c r="CD20" s="92">
        <f>IF(Table645[[#This Row],[Column81]]="--",0,Table645[[#This Row],[Column4]]*Table645[[#This Row],[Column81]])</f>
        <v>0</v>
      </c>
      <c r="CE20" s="94"/>
      <c r="CF20" s="91" t="str">
        <f t="shared" si="7"/>
        <v>--</v>
      </c>
      <c r="CG20" s="92">
        <f>IF(Table645[[#This Row],[Column84]]="--",0,Table645[[#This Row],[Column4]]*Table645[[#This Row],[Column84]])</f>
        <v>0</v>
      </c>
      <c r="CH20" s="226"/>
      <c r="CI20" s="90"/>
      <c r="CJ20" s="91" t="str">
        <f>IF(CI20=0,"--",(Table645[[#This Row],[Column86]]*$CI$4*(IF(W20&lt;0.5001,1,IF(W20&lt;2.0001,2,3)))+CI20/$CI$3)/60/24)</f>
        <v>--</v>
      </c>
      <c r="CK20" s="92">
        <f>IF(Table645[[#This Row],[Column88]]="--",0,Table645[[#This Row],[Column4]]*Table645[[#This Row],[Column88]])</f>
        <v>0</v>
      </c>
      <c r="CL20" s="95" t="s">
        <v>70</v>
      </c>
      <c r="CM20" s="91" t="str">
        <f>IF(Table645[[#This Row],[Column87]]=0,"--",CJ20*$CL$3)</f>
        <v>--</v>
      </c>
      <c r="CN20" s="89">
        <f>IF(Table645[[#This Row],[Column91]]="--",0,Table645[[#This Row],[Column4]]*Table645[[#This Row],[Column91]])</f>
        <v>0</v>
      </c>
      <c r="CO20" s="95" t="s">
        <v>70</v>
      </c>
      <c r="CP20" s="91" t="str">
        <f>IF(Table645[[#This Row],[Column10]]+Table645[[#This Row],[Column87]]=0, "--", IF($D20="", 1, $D20) * IF($J20="", 1, $J20) * $CO$3 * $CO$4 * IF(Table645[[#This Row],[Column95]]="", 1, Table645[[#This Row],[Column95]]) / (24 * 60))</f>
        <v>--</v>
      </c>
      <c r="CQ20" s="153"/>
      <c r="CR20" s="92">
        <f>IF(Table645[[#This Row],[Column94]]="--",0,Table645[[#This Row],[Column4]]*Table645[[#This Row],[Column94]])</f>
        <v>0</v>
      </c>
      <c r="CS20" s="206" t="str">
        <f>IF(Table645[[#This Row],[Column87]]="","",Table645[[#This Row],[Column87]])</f>
        <v/>
      </c>
      <c r="CT20" s="91" t="str">
        <f>IF(Table645[[#This Row],[Column97]]="","--",Table645[[#This Row],[Column97]]/$CS$3/60/24)</f>
        <v>--</v>
      </c>
      <c r="CU20" s="89">
        <f>IF(Table645[[#This Row],[Column98]]="--",0,Table645[[#This Row],[Column4]]*Table645[[#This Row],[Column98]])</f>
        <v>0</v>
      </c>
      <c r="CV20" s="93"/>
      <c r="CW20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0" s="91" t="str">
        <f>IF(OR(Table645[[#This Row],[Column74]]&gt;0,Table645[[#This Row],[Column87]]&gt;0),(Table645[[#This Row],[Column73]]+Table645[[#This Row],[Column86]]+1)*$CW$3/60/24,"--")</f>
        <v>--</v>
      </c>
      <c r="CY20" s="92">
        <f>IF(Table645[[#This Row],[Column102]]="--",0,Table645[[#This Row],[Column4]]*Table645[[#This Row],[Column102]])</f>
        <v>0</v>
      </c>
      <c r="CZ20" s="158" t="str">
        <f t="shared" si="8"/>
        <v>--</v>
      </c>
      <c r="DA20" s="153"/>
      <c r="DB20" s="160">
        <f>IF(Table645[[#This Row],[Column104]]="--",0,Table645[[#This Row],[Column4]]*Table645[[#This Row],[Column104]])</f>
        <v>0</v>
      </c>
      <c r="DC20" s="116"/>
      <c r="DD20" s="222" t="str">
        <f>IF(DC20=0,"--",1/$DC$3*1000/(60*60*24)*Table645[[#This Row],[Column107]])</f>
        <v>--</v>
      </c>
      <c r="DE20" s="89">
        <f>IF(Table645[[#This Row],[Column108]]="--",0,Table645[[#This Row],[Column4]]*Table645[[#This Row],[Column108]])</f>
        <v>0</v>
      </c>
      <c r="DF20" s="101" t="s">
        <v>70</v>
      </c>
      <c r="DG20" s="91" t="str">
        <f t="shared" si="9"/>
        <v>--</v>
      </c>
      <c r="DH20" s="89">
        <f>IF(Table645[[#This Row],[Column111]]="--",0,Table645[[#This Row],[Column4]]*Table645[[#This Row],[Column111]])</f>
        <v>0</v>
      </c>
      <c r="DI20" s="96"/>
      <c r="DJ20" s="96"/>
      <c r="DK20" s="96"/>
      <c r="DL20" s="96"/>
      <c r="DM20" s="96"/>
      <c r="DN20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0" s="89">
        <f>IF(Table645[[#This Row],[Column118]]="--",0,Table645[[#This Row],[Column4]]*Table645[[#This Row],[Column118]])</f>
        <v>0</v>
      </c>
      <c r="DP20" s="96"/>
      <c r="DQ20" s="96"/>
      <c r="DR20" s="91" t="str">
        <f t="shared" si="10"/>
        <v>--</v>
      </c>
      <c r="DS20" s="89">
        <f>IF(Table645[[#This Row],[Column122]]="--",0,Table645[[#This Row],[Column4]]*Table645[[#This Row],[Column122]])</f>
        <v>0</v>
      </c>
      <c r="DT20" t="str">
        <f>IF(Table645[[#This Row],[Column125]]=0,"--",Table645[[#This Row],[Column125]]*Table645[[#This Row],[Column126]]*Table645[[#This Row],[Column127]]/1000000000)</f>
        <v>--</v>
      </c>
      <c r="DU20" s="53"/>
      <c r="DV20" s="53"/>
      <c r="DW20" s="53"/>
      <c r="DX20" s="91" t="str">
        <f t="shared" si="11"/>
        <v>--</v>
      </c>
      <c r="DY20" s="89">
        <f>IF(Table645[[#This Row],[Column128]]="--",0,Table645[[#This Row],[Column4]]*Table645[[#This Row],[Column128]])</f>
        <v>0</v>
      </c>
      <c r="EA20" s="89">
        <f>IF(Table645[[#This Row],[Column128]]="--",0,Table645[[#This Row],[Column4]]*Table645[[#This Row],[Column128]])</f>
        <v>0</v>
      </c>
      <c r="EC20" s="89">
        <f>IF(Table645[[#This Row],[Column128]]="--",0,Table645[[#This Row],[Column4]]*Table645[[#This Row],[Column128]])</f>
        <v>0</v>
      </c>
      <c r="EE20" s="89">
        <f>IF(Table645[[#This Row],[Column128]]="--",0,Table645[[#This Row],[Column4]]*Table645[[#This Row],[Column128]])</f>
        <v>0</v>
      </c>
      <c r="EG20" s="89">
        <f>IF(Table645[[#This Row],[Column128]]="--",0,Table645[[#This Row],[Column4]]*Table645[[#This Row],[Column128]])</f>
        <v>0</v>
      </c>
      <c r="EI20" s="89">
        <f>IF(Table645[[#This Row],[Column128]]="--",0,Table645[[#This Row],[Column4]]*Table645[[#This Row],[Column128]])</f>
        <v>0</v>
      </c>
    </row>
    <row r="21" spans="1:139" x14ac:dyDescent="0.25">
      <c r="B21" s="79"/>
      <c r="C21" s="80"/>
      <c r="D21" s="167"/>
      <c r="E21" s="52"/>
      <c r="F21" s="81"/>
      <c r="G21" s="81"/>
      <c r="H21" s="82" t="str">
        <f t="shared" si="0"/>
        <v>--</v>
      </c>
      <c r="I21" s="100">
        <f>IF(Table645[[#This Row],[Column8]]="--",0,Table645[[#This Row],[Column4]]*Table645[[#This Row],[Column8]])</f>
        <v>0</v>
      </c>
      <c r="J21" s="169"/>
      <c r="K21" s="85">
        <f>Table645[[#This Row],[Column4]]*Table645[[#This Row],[Column10]]</f>
        <v>0</v>
      </c>
      <c r="L21" s="170" t="str">
        <f t="shared" si="1"/>
        <v>--</v>
      </c>
      <c r="M21" s="85">
        <f>IF(Table645[[#This Row],[Column10]]=0,0,Table645[[#This Row],[Column4]]*Table645[[#This Row],[Column12]])</f>
        <v>0</v>
      </c>
      <c r="N21" s="87" t="str">
        <f t="shared" si="2"/>
        <v>--</v>
      </c>
      <c r="O21" s="138" t="str">
        <f>IF(SUM(Table645[[#This Row],[Column17]:[Column51]])=0,"--",SUM(Table645[[#This Row],[Column17]:[Column51]]))</f>
        <v>--</v>
      </c>
      <c r="AZ21" s="89">
        <f>IF(Table645[[#This Row],[Column14]]="--",0,Table645[[#This Row],[Column4]]*Table645[[#This Row],[Column14]])</f>
        <v>0</v>
      </c>
      <c r="BA21" s="90"/>
      <c r="BB21" s="91" t="str">
        <f>IF(BA21=0,"--",BA21*$BA$3*IF(Table645[[#This Row],[Column5]]&lt;4.1,1,2)/60/24)</f>
        <v>--</v>
      </c>
      <c r="BC21" s="92">
        <f>IF(Table645[[#This Row],[Column54]]="--",0,Table645[[#This Row],[Column4]]*Table645[[#This Row],[Column54]])</f>
        <v>0</v>
      </c>
      <c r="BD21" s="119"/>
      <c r="BE21" s="99"/>
      <c r="BF21" s="119"/>
      <c r="BG21" s="91" t="str">
        <f>IF(BD21+Table645[[#This Row],[Column58]]=0,"--",(BD21*$BF$3*Table645[[#This Row],[Column57]]+Table645[[#This Row],[Column58]]*$BF$4)/60/24)</f>
        <v>--</v>
      </c>
      <c r="BH21" s="92">
        <f>IF(Table645[[#This Row],[Column59]]="--",0,Table645[[#This Row],[Column4]]*Table645[[#This Row],[Column59]])</f>
        <v>0</v>
      </c>
      <c r="BI21" s="93"/>
      <c r="BJ21" s="91" t="str">
        <f t="shared" si="4"/>
        <v>--</v>
      </c>
      <c r="BK21" s="89">
        <f>IF(Table645[[#This Row],[Column62]]="--",0,Table645[[#This Row],[Column4]]*Table645[[#This Row],[Column62]])</f>
        <v>0</v>
      </c>
      <c r="BL21" s="93"/>
      <c r="BM21" s="91" t="str">
        <f t="shared" si="3"/>
        <v>--</v>
      </c>
      <c r="BN21" s="89">
        <f>IF(Table645[[#This Row],[Column65]]="--",0,Table645[[#This Row],[Column4]]*Table645[[#This Row],[Column65]])</f>
        <v>0</v>
      </c>
      <c r="BO21" s="163"/>
      <c r="BP21" s="164" t="str">
        <f t="shared" si="5"/>
        <v>--</v>
      </c>
      <c r="BQ21" s="160">
        <f>IF(Table645[[#This Row],[Column68]]="--",0,Table645[[#This Row],[Column4]]*Table645[[#This Row],[Column68]])</f>
        <v>0</v>
      </c>
      <c r="BR21" s="94"/>
      <c r="BS21" s="91" t="str">
        <f t="shared" si="6"/>
        <v>--</v>
      </c>
      <c r="BT21" s="92">
        <f>IF(Table645[[#This Row],[Column71]]="--",0,Table645[[#This Row],[Column4]]*Table645[[#This Row],[Column71]])</f>
        <v>0</v>
      </c>
      <c r="BU21" s="44"/>
      <c r="BV21" s="90"/>
      <c r="BW21" s="91" t="str">
        <f>IF(BV21=0,"--",(Table645[[#This Row],[Column73]]*$BV$4*(IF(J21&lt;0.5001,1,IF(J21&lt;2.0001,2,3)))+BV21/$BV$3)/60/24)</f>
        <v>--</v>
      </c>
      <c r="BX21" s="92">
        <f>IF(Table645[[#This Row],[Column75]]="--",0,Table645[[#This Row],[Column4]]*Table645[[#This Row],[Column75]])</f>
        <v>0</v>
      </c>
      <c r="BY21" s="95" t="s">
        <v>70</v>
      </c>
      <c r="BZ21" s="91" t="str">
        <f>IF(Table645[[#This Row],[Column74]]=0,"--",BW21*$BY$3)</f>
        <v>--</v>
      </c>
      <c r="CA21" s="89">
        <f>IF(Table645[[#This Row],[Column78]]="--",0,Table645[[#This Row],[Column4]]*Table645[[#This Row],[Column78]])</f>
        <v>0</v>
      </c>
      <c r="CB21" s="95" t="s">
        <v>70</v>
      </c>
      <c r="CC21" s="91" t="str">
        <f>IF(Table645[[#This Row],[Column10]]+Table645[[#This Row],[Column74]]=0,"--",J21*$CB$4*$CB$5/(24*60)+IF(Table645[[#This Row],[Column74]]=0,0,$CB$3*Table645[[#This Row],[Column75]]))</f>
        <v>--</v>
      </c>
      <c r="CD21" s="92">
        <f>IF(Table645[[#This Row],[Column81]]="--",0,Table645[[#This Row],[Column4]]*Table645[[#This Row],[Column81]])</f>
        <v>0</v>
      </c>
      <c r="CE21" s="94"/>
      <c r="CF21" s="91" t="str">
        <f t="shared" si="7"/>
        <v>--</v>
      </c>
      <c r="CG21" s="92">
        <f>IF(Table645[[#This Row],[Column84]]="--",0,Table645[[#This Row],[Column4]]*Table645[[#This Row],[Column84]])</f>
        <v>0</v>
      </c>
      <c r="CH21" s="226"/>
      <c r="CI21" s="90"/>
      <c r="CJ21" s="91" t="str">
        <f>IF(CI21=0,"--",(Table645[[#This Row],[Column86]]*$CI$4*(IF(W21&lt;0.5001,1,IF(W21&lt;2.0001,2,3)))+CI21/$CI$3)/60/24)</f>
        <v>--</v>
      </c>
      <c r="CK21" s="92">
        <f>IF(Table645[[#This Row],[Column88]]="--",0,Table645[[#This Row],[Column4]]*Table645[[#This Row],[Column88]])</f>
        <v>0</v>
      </c>
      <c r="CL21" s="95" t="s">
        <v>70</v>
      </c>
      <c r="CM21" s="91" t="str">
        <f>IF(Table645[[#This Row],[Column87]]=0,"--",CJ21*$CL$3)</f>
        <v>--</v>
      </c>
      <c r="CN21" s="89">
        <f>IF(Table645[[#This Row],[Column91]]="--",0,Table645[[#This Row],[Column4]]*Table645[[#This Row],[Column91]])</f>
        <v>0</v>
      </c>
      <c r="CO21" s="95" t="s">
        <v>70</v>
      </c>
      <c r="CP21" s="91" t="str">
        <f>IF(Table645[[#This Row],[Column10]]+Table645[[#This Row],[Column87]]=0, "--", IF($D21="", 1, $D21) * IF($J21="", 1, $J21) * $CO$3 * $CO$4 * IF(Table645[[#This Row],[Column95]]="", 1, Table645[[#This Row],[Column95]]) / (24 * 60))</f>
        <v>--</v>
      </c>
      <c r="CQ21" s="153"/>
      <c r="CR21" s="92">
        <f>IF(Table645[[#This Row],[Column94]]="--",0,Table645[[#This Row],[Column4]]*Table645[[#This Row],[Column94]])</f>
        <v>0</v>
      </c>
      <c r="CS21" s="206" t="str">
        <f>IF(Table645[[#This Row],[Column87]]="","",Table645[[#This Row],[Column87]])</f>
        <v/>
      </c>
      <c r="CT21" s="91" t="str">
        <f>IF(Table645[[#This Row],[Column97]]="","--",Table645[[#This Row],[Column97]]/$CS$3/60/24)</f>
        <v>--</v>
      </c>
      <c r="CU21" s="89">
        <f>IF(Table645[[#This Row],[Column98]]="--",0,Table645[[#This Row],[Column4]]*Table645[[#This Row],[Column98]])</f>
        <v>0</v>
      </c>
      <c r="CV21" s="93"/>
      <c r="CW21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1" s="91" t="str">
        <f>IF(OR(Table645[[#This Row],[Column74]]&gt;0,Table645[[#This Row],[Column87]]&gt;0),(Table645[[#This Row],[Column73]]+Table645[[#This Row],[Column86]]+1)*$CW$3/60/24,"--")</f>
        <v>--</v>
      </c>
      <c r="CY21" s="92">
        <f>IF(Table645[[#This Row],[Column102]]="--",0,Table645[[#This Row],[Column4]]*Table645[[#This Row],[Column102]])</f>
        <v>0</v>
      </c>
      <c r="CZ21" s="158" t="str">
        <f t="shared" si="8"/>
        <v>--</v>
      </c>
      <c r="DA21" s="153"/>
      <c r="DB21" s="160">
        <f>IF(Table645[[#This Row],[Column104]]="--",0,Table645[[#This Row],[Column4]]*Table645[[#This Row],[Column104]])</f>
        <v>0</v>
      </c>
      <c r="DC21" s="116"/>
      <c r="DD21" s="222" t="str">
        <f>IF(DC21=0,"--",1/$DC$3*1000/(60*60*24)*Table645[[#This Row],[Column107]])</f>
        <v>--</v>
      </c>
      <c r="DE21" s="89">
        <f>IF(Table645[[#This Row],[Column108]]="--",0,Table645[[#This Row],[Column4]]*Table645[[#This Row],[Column108]])</f>
        <v>0</v>
      </c>
      <c r="DF21" s="101" t="s">
        <v>70</v>
      </c>
      <c r="DG21" s="91" t="str">
        <f t="shared" si="9"/>
        <v>--</v>
      </c>
      <c r="DH21" s="89">
        <f>IF(Table645[[#This Row],[Column111]]="--",0,Table645[[#This Row],[Column4]]*Table645[[#This Row],[Column111]])</f>
        <v>0</v>
      </c>
      <c r="DI21" s="96"/>
      <c r="DJ21" s="96"/>
      <c r="DK21" s="96"/>
      <c r="DL21" s="96"/>
      <c r="DM21" s="96"/>
      <c r="DN21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1" s="89">
        <f>IF(Table645[[#This Row],[Column118]]="--",0,Table645[[#This Row],[Column4]]*Table645[[#This Row],[Column118]])</f>
        <v>0</v>
      </c>
      <c r="DP21" s="96"/>
      <c r="DQ21" s="96"/>
      <c r="DR21" s="91" t="str">
        <f t="shared" si="10"/>
        <v>--</v>
      </c>
      <c r="DS21" s="89">
        <f>IF(Table645[[#This Row],[Column122]]="--",0,Table645[[#This Row],[Column4]]*Table645[[#This Row],[Column122]])</f>
        <v>0</v>
      </c>
      <c r="DT21" t="str">
        <f>IF(Table645[[#This Row],[Column125]]=0,"--",Table645[[#This Row],[Column125]]*Table645[[#This Row],[Column126]]*Table645[[#This Row],[Column127]]/1000000000)</f>
        <v>--</v>
      </c>
      <c r="DU21" s="53"/>
      <c r="DV21" s="53"/>
      <c r="DW21" s="53"/>
      <c r="DX21" s="91" t="str">
        <f t="shared" si="11"/>
        <v>--</v>
      </c>
      <c r="DY21" s="89">
        <f>IF(Table645[[#This Row],[Column128]]="--",0,Table645[[#This Row],[Column4]]*Table645[[#This Row],[Column128]])</f>
        <v>0</v>
      </c>
      <c r="EA21" s="89">
        <f>IF(Table645[[#This Row],[Column128]]="--",0,Table645[[#This Row],[Column4]]*Table645[[#This Row],[Column128]])</f>
        <v>0</v>
      </c>
      <c r="EC21" s="89">
        <f>IF(Table645[[#This Row],[Column128]]="--",0,Table645[[#This Row],[Column4]]*Table645[[#This Row],[Column128]])</f>
        <v>0</v>
      </c>
      <c r="EE21" s="89">
        <f>IF(Table645[[#This Row],[Column128]]="--",0,Table645[[#This Row],[Column4]]*Table645[[#This Row],[Column128]])</f>
        <v>0</v>
      </c>
      <c r="EG21" s="89">
        <f>IF(Table645[[#This Row],[Column128]]="--",0,Table645[[#This Row],[Column4]]*Table645[[#This Row],[Column128]])</f>
        <v>0</v>
      </c>
      <c r="EI21" s="89">
        <f>IF(Table645[[#This Row],[Column128]]="--",0,Table645[[#This Row],[Column4]]*Table645[[#This Row],[Column128]])</f>
        <v>0</v>
      </c>
    </row>
    <row r="22" spans="1:139" x14ac:dyDescent="0.25">
      <c r="B22" s="79"/>
      <c r="C22" s="80"/>
      <c r="D22" s="167"/>
      <c r="E22" s="52"/>
      <c r="F22" s="81"/>
      <c r="G22" s="81"/>
      <c r="H22" s="82" t="str">
        <f t="shared" si="0"/>
        <v>--</v>
      </c>
      <c r="I22" s="100">
        <f>IF(Table645[[#This Row],[Column8]]="--",0,Table645[[#This Row],[Column4]]*Table645[[#This Row],[Column8]])</f>
        <v>0</v>
      </c>
      <c r="J22" s="169"/>
      <c r="K22" s="85">
        <f>Table645[[#This Row],[Column4]]*Table645[[#This Row],[Column10]]</f>
        <v>0</v>
      </c>
      <c r="L22" s="170" t="str">
        <f t="shared" si="1"/>
        <v>--</v>
      </c>
      <c r="M22" s="85">
        <f>IF(Table645[[#This Row],[Column10]]=0,0,Table645[[#This Row],[Column4]]*Table645[[#This Row],[Column12]])</f>
        <v>0</v>
      </c>
      <c r="N22" s="87" t="str">
        <f t="shared" si="2"/>
        <v>--</v>
      </c>
      <c r="O22" s="138" t="str">
        <f>IF(SUM(Table645[[#This Row],[Column17]:[Column51]])=0,"--",SUM(Table645[[#This Row],[Column17]:[Column51]]))</f>
        <v>--</v>
      </c>
      <c r="AZ22" s="89">
        <f>IF(Table645[[#This Row],[Column14]]="--",0,Table645[[#This Row],[Column4]]*Table645[[#This Row],[Column14]])</f>
        <v>0</v>
      </c>
      <c r="BA22" s="90"/>
      <c r="BB22" s="91" t="str">
        <f>IF(BA22=0,"--",BA22*$BA$3*IF(Table645[[#This Row],[Column5]]&lt;4.1,1,2)/60/24)</f>
        <v>--</v>
      </c>
      <c r="BC22" s="92">
        <f>IF(Table645[[#This Row],[Column54]]="--",0,Table645[[#This Row],[Column4]]*Table645[[#This Row],[Column54]])</f>
        <v>0</v>
      </c>
      <c r="BD22" s="119"/>
      <c r="BE22" s="99"/>
      <c r="BF22" s="119"/>
      <c r="BG22" s="91" t="str">
        <f>IF(BD22+Table645[[#This Row],[Column58]]=0,"--",(BD22*$BF$3*Table645[[#This Row],[Column57]]+Table645[[#This Row],[Column58]]*$BF$4)/60/24)</f>
        <v>--</v>
      </c>
      <c r="BH22" s="92">
        <f>IF(Table645[[#This Row],[Column59]]="--",0,Table645[[#This Row],[Column4]]*Table645[[#This Row],[Column59]])</f>
        <v>0</v>
      </c>
      <c r="BI22" s="93"/>
      <c r="BJ22" s="91" t="str">
        <f t="shared" si="4"/>
        <v>--</v>
      </c>
      <c r="BK22" s="89">
        <f>IF(Table645[[#This Row],[Column62]]="--",0,Table645[[#This Row],[Column4]]*Table645[[#This Row],[Column62]])</f>
        <v>0</v>
      </c>
      <c r="BL22" s="93"/>
      <c r="BM22" s="91" t="str">
        <f t="shared" si="3"/>
        <v>--</v>
      </c>
      <c r="BN22" s="89">
        <f>IF(Table645[[#This Row],[Column65]]="--",0,Table645[[#This Row],[Column4]]*Table645[[#This Row],[Column65]])</f>
        <v>0</v>
      </c>
      <c r="BO22" s="163"/>
      <c r="BP22" s="164" t="str">
        <f t="shared" si="5"/>
        <v>--</v>
      </c>
      <c r="BQ22" s="160">
        <f>IF(Table645[[#This Row],[Column68]]="--",0,Table645[[#This Row],[Column4]]*Table645[[#This Row],[Column68]])</f>
        <v>0</v>
      </c>
      <c r="BR22" s="94"/>
      <c r="BS22" s="91" t="str">
        <f t="shared" si="6"/>
        <v>--</v>
      </c>
      <c r="BT22" s="92">
        <f>IF(Table645[[#This Row],[Column71]]="--",0,Table645[[#This Row],[Column4]]*Table645[[#This Row],[Column71]])</f>
        <v>0</v>
      </c>
      <c r="BU22" s="44"/>
      <c r="BV22" s="90"/>
      <c r="BW22" s="91" t="str">
        <f>IF(BV22=0,"--",(Table645[[#This Row],[Column73]]*$BV$4*(IF(J22&lt;0.5001,1,IF(J22&lt;2.0001,2,3)))+BV22/$BV$3)/60/24)</f>
        <v>--</v>
      </c>
      <c r="BX22" s="92">
        <f>IF(Table645[[#This Row],[Column75]]="--",0,Table645[[#This Row],[Column4]]*Table645[[#This Row],[Column75]])</f>
        <v>0</v>
      </c>
      <c r="BY22" s="95" t="s">
        <v>70</v>
      </c>
      <c r="BZ22" s="91" t="str">
        <f>IF(Table645[[#This Row],[Column74]]=0,"--",BW22*$BY$3)</f>
        <v>--</v>
      </c>
      <c r="CA22" s="89">
        <f>IF(Table645[[#This Row],[Column78]]="--",0,Table645[[#This Row],[Column4]]*Table645[[#This Row],[Column78]])</f>
        <v>0</v>
      </c>
      <c r="CB22" s="95" t="s">
        <v>70</v>
      </c>
      <c r="CC22" s="91" t="str">
        <f>IF(Table645[[#This Row],[Column10]]+Table645[[#This Row],[Column74]]=0,"--",J22*$CB$4*$CB$5/(24*60)+IF(Table645[[#This Row],[Column74]]=0,0,$CB$3*Table645[[#This Row],[Column75]]))</f>
        <v>--</v>
      </c>
      <c r="CD22" s="92">
        <f>IF(Table645[[#This Row],[Column81]]="--",0,Table645[[#This Row],[Column4]]*Table645[[#This Row],[Column81]])</f>
        <v>0</v>
      </c>
      <c r="CE22" s="94"/>
      <c r="CF22" s="91" t="str">
        <f t="shared" si="7"/>
        <v>--</v>
      </c>
      <c r="CG22" s="92">
        <f>IF(Table645[[#This Row],[Column84]]="--",0,Table645[[#This Row],[Column4]]*Table645[[#This Row],[Column84]])</f>
        <v>0</v>
      </c>
      <c r="CH22" s="226"/>
      <c r="CI22" s="90"/>
      <c r="CJ22" s="91" t="str">
        <f>IF(CI22=0,"--",(Table645[[#This Row],[Column86]]*$CI$4*(IF(W22&lt;0.5001,1,IF(W22&lt;2.0001,2,3)))+CI22/$CI$3)/60/24)</f>
        <v>--</v>
      </c>
      <c r="CK22" s="92">
        <f>IF(Table645[[#This Row],[Column88]]="--",0,Table645[[#This Row],[Column4]]*Table645[[#This Row],[Column88]])</f>
        <v>0</v>
      </c>
      <c r="CL22" s="95" t="s">
        <v>70</v>
      </c>
      <c r="CM22" s="91" t="str">
        <f>IF(Table645[[#This Row],[Column87]]=0,"--",CJ22*$CL$3)</f>
        <v>--</v>
      </c>
      <c r="CN22" s="89">
        <f>IF(Table645[[#This Row],[Column91]]="--",0,Table645[[#This Row],[Column4]]*Table645[[#This Row],[Column91]])</f>
        <v>0</v>
      </c>
      <c r="CO22" s="95" t="s">
        <v>70</v>
      </c>
      <c r="CP22" s="91" t="str">
        <f>IF(Table645[[#This Row],[Column10]]+Table645[[#This Row],[Column87]]=0, "--", IF($D22="", 1, $D22) * IF($J22="", 1, $J22) * $CO$3 * $CO$4 * IF(Table645[[#This Row],[Column95]]="", 1, Table645[[#This Row],[Column95]]) / (24 * 60))</f>
        <v>--</v>
      </c>
      <c r="CQ22" s="153"/>
      <c r="CR22" s="92">
        <f>IF(Table645[[#This Row],[Column94]]="--",0,Table645[[#This Row],[Column4]]*Table645[[#This Row],[Column94]])</f>
        <v>0</v>
      </c>
      <c r="CS22" s="206" t="str">
        <f>IF(Table645[[#This Row],[Column87]]="","",Table645[[#This Row],[Column87]])</f>
        <v/>
      </c>
      <c r="CT22" s="91" t="str">
        <f>IF(Table645[[#This Row],[Column97]]="","--",Table645[[#This Row],[Column97]]/$CS$3/60/24)</f>
        <v>--</v>
      </c>
      <c r="CU22" s="89">
        <f>IF(Table645[[#This Row],[Column98]]="--",0,Table645[[#This Row],[Column4]]*Table645[[#This Row],[Column98]])</f>
        <v>0</v>
      </c>
      <c r="CV22" s="93"/>
      <c r="CW22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2" s="91" t="str">
        <f>IF(OR(Table645[[#This Row],[Column74]]&gt;0,Table645[[#This Row],[Column87]]&gt;0),(Table645[[#This Row],[Column73]]+Table645[[#This Row],[Column86]]+1)*$CW$3/60/24,"--")</f>
        <v>--</v>
      </c>
      <c r="CY22" s="92">
        <f>IF(Table645[[#This Row],[Column102]]="--",0,Table645[[#This Row],[Column4]]*Table645[[#This Row],[Column102]])</f>
        <v>0</v>
      </c>
      <c r="CZ22" s="158" t="str">
        <f t="shared" si="8"/>
        <v>--</v>
      </c>
      <c r="DA22" s="153"/>
      <c r="DB22" s="160">
        <f>IF(Table645[[#This Row],[Column104]]="--",0,Table645[[#This Row],[Column4]]*Table645[[#This Row],[Column104]])</f>
        <v>0</v>
      </c>
      <c r="DC22" s="116"/>
      <c r="DD22" s="222" t="str">
        <f>IF(DC22=0,"--",1/$DC$3*1000/(60*60*24)*Table645[[#This Row],[Column107]])</f>
        <v>--</v>
      </c>
      <c r="DE22" s="89">
        <f>IF(Table645[[#This Row],[Column108]]="--",0,Table645[[#This Row],[Column4]]*Table645[[#This Row],[Column108]])</f>
        <v>0</v>
      </c>
      <c r="DF22" s="101" t="s">
        <v>70</v>
      </c>
      <c r="DG22" s="91" t="str">
        <f t="shared" si="9"/>
        <v>--</v>
      </c>
      <c r="DH22" s="89">
        <f>IF(Table645[[#This Row],[Column111]]="--",0,Table645[[#This Row],[Column4]]*Table645[[#This Row],[Column111]])</f>
        <v>0</v>
      </c>
      <c r="DI22" s="96"/>
      <c r="DJ22" s="96"/>
      <c r="DK22" s="96"/>
      <c r="DL22" s="96"/>
      <c r="DM22" s="96"/>
      <c r="DN22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2" s="89">
        <f>IF(Table645[[#This Row],[Column118]]="--",0,Table645[[#This Row],[Column4]]*Table645[[#This Row],[Column118]])</f>
        <v>0</v>
      </c>
      <c r="DP22" s="96"/>
      <c r="DQ22" s="96"/>
      <c r="DR22" s="91" t="str">
        <f t="shared" si="10"/>
        <v>--</v>
      </c>
      <c r="DS22" s="89">
        <f>IF(Table645[[#This Row],[Column122]]="--",0,Table645[[#This Row],[Column4]]*Table645[[#This Row],[Column122]])</f>
        <v>0</v>
      </c>
      <c r="DT22" t="str">
        <f>IF(Table645[[#This Row],[Column125]]=0,"--",Table645[[#This Row],[Column125]]*Table645[[#This Row],[Column126]]*Table645[[#This Row],[Column127]]/1000000000)</f>
        <v>--</v>
      </c>
      <c r="DU22" s="53"/>
      <c r="DV22" s="53"/>
      <c r="DW22" s="53"/>
      <c r="DX22" s="91" t="str">
        <f t="shared" si="11"/>
        <v>--</v>
      </c>
      <c r="DY22" s="89">
        <f>IF(Table645[[#This Row],[Column128]]="--",0,Table645[[#This Row],[Column4]]*Table645[[#This Row],[Column128]])</f>
        <v>0</v>
      </c>
      <c r="EA22" s="89">
        <f>IF(Table645[[#This Row],[Column128]]="--",0,Table645[[#This Row],[Column4]]*Table645[[#This Row],[Column128]])</f>
        <v>0</v>
      </c>
      <c r="EC22" s="89">
        <f>IF(Table645[[#This Row],[Column128]]="--",0,Table645[[#This Row],[Column4]]*Table645[[#This Row],[Column128]])</f>
        <v>0</v>
      </c>
      <c r="EE22" s="89">
        <f>IF(Table645[[#This Row],[Column128]]="--",0,Table645[[#This Row],[Column4]]*Table645[[#This Row],[Column128]])</f>
        <v>0</v>
      </c>
      <c r="EG22" s="89">
        <f>IF(Table645[[#This Row],[Column128]]="--",0,Table645[[#This Row],[Column4]]*Table645[[#This Row],[Column128]])</f>
        <v>0</v>
      </c>
      <c r="EI22" s="89">
        <f>IF(Table645[[#This Row],[Column128]]="--",0,Table645[[#This Row],[Column4]]*Table645[[#This Row],[Column128]])</f>
        <v>0</v>
      </c>
    </row>
    <row r="23" spans="1:139" x14ac:dyDescent="0.25">
      <c r="B23" s="79"/>
      <c r="C23" s="140"/>
      <c r="D23" s="167"/>
      <c r="E23" s="52"/>
      <c r="F23" s="81"/>
      <c r="G23" s="81"/>
      <c r="H23" s="82" t="str">
        <f t="shared" si="0"/>
        <v>--</v>
      </c>
      <c r="I23" s="100">
        <f>IF(Table645[[#This Row],[Column8]]="--",0,Table645[[#This Row],[Column4]]*Table645[[#This Row],[Column8]])</f>
        <v>0</v>
      </c>
      <c r="J23" s="169"/>
      <c r="K23" s="85">
        <f>Table645[[#This Row],[Column4]]*Table645[[#This Row],[Column10]]</f>
        <v>0</v>
      </c>
      <c r="L23" s="170" t="str">
        <f t="shared" si="1"/>
        <v>--</v>
      </c>
      <c r="M23" s="85">
        <f>IF(Table645[[#This Row],[Column10]]=0,0,Table645[[#This Row],[Column4]]*Table645[[#This Row],[Column12]])</f>
        <v>0</v>
      </c>
      <c r="N23" s="87" t="str">
        <f t="shared" si="2"/>
        <v>--</v>
      </c>
      <c r="O23" s="138" t="str">
        <f>IF(SUM(Table645[[#This Row],[Column17]:[Column51]])=0,"--",SUM(Table645[[#This Row],[Column17]:[Column51]]))</f>
        <v>--</v>
      </c>
      <c r="AZ23" s="89">
        <f>IF(Table645[[#This Row],[Column14]]="--",0,Table645[[#This Row],[Column4]]*Table645[[#This Row],[Column14]])</f>
        <v>0</v>
      </c>
      <c r="BA23" s="90"/>
      <c r="BB23" s="91" t="str">
        <f>IF(BA23=0,"--",BA23*$BA$3*IF(Table645[[#This Row],[Column5]]&lt;4.1,1,2)/60/24)</f>
        <v>--</v>
      </c>
      <c r="BC23" s="92">
        <f>IF(Table645[[#This Row],[Column54]]="--",0,Table645[[#This Row],[Column4]]*Table645[[#This Row],[Column54]])</f>
        <v>0</v>
      </c>
      <c r="BD23" s="119"/>
      <c r="BE23" s="99"/>
      <c r="BF23" s="119"/>
      <c r="BG23" s="91" t="str">
        <f>IF(BD23+Table645[[#This Row],[Column58]]=0,"--",(BD23*$BF$3*Table645[[#This Row],[Column57]]+Table645[[#This Row],[Column58]]*$BF$4)/60/24)</f>
        <v>--</v>
      </c>
      <c r="BH23" s="92">
        <f>IF(Table645[[#This Row],[Column59]]="--",0,Table645[[#This Row],[Column4]]*Table645[[#This Row],[Column59]])</f>
        <v>0</v>
      </c>
      <c r="BI23" s="93"/>
      <c r="BJ23" s="91" t="str">
        <f t="shared" si="4"/>
        <v>--</v>
      </c>
      <c r="BK23" s="89">
        <f>IF(Table645[[#This Row],[Column62]]="--",0,Table645[[#This Row],[Column4]]*Table645[[#This Row],[Column62]])</f>
        <v>0</v>
      </c>
      <c r="BL23" s="93"/>
      <c r="BM23" s="91" t="str">
        <f t="shared" si="3"/>
        <v>--</v>
      </c>
      <c r="BN23" s="89">
        <f>IF(Table645[[#This Row],[Column65]]="--",0,Table645[[#This Row],[Column4]]*Table645[[#This Row],[Column65]])</f>
        <v>0</v>
      </c>
      <c r="BO23" s="163"/>
      <c r="BP23" s="164" t="str">
        <f t="shared" si="5"/>
        <v>--</v>
      </c>
      <c r="BQ23" s="160">
        <f>IF(Table645[[#This Row],[Column68]]="--",0,Table645[[#This Row],[Column4]]*Table645[[#This Row],[Column68]])</f>
        <v>0</v>
      </c>
      <c r="BR23" s="94"/>
      <c r="BS23" s="91" t="str">
        <f t="shared" si="6"/>
        <v>--</v>
      </c>
      <c r="BT23" s="92">
        <f>IF(Table645[[#This Row],[Column71]]="--",0,Table645[[#This Row],[Column4]]*Table645[[#This Row],[Column71]])</f>
        <v>0</v>
      </c>
      <c r="BU23" s="44"/>
      <c r="BV23" s="90"/>
      <c r="BW23" s="91" t="str">
        <f>IF(BV23=0,"--",(Table645[[#This Row],[Column73]]*$BV$4*(IF(J23&lt;0.5001,1,IF(J23&lt;2.0001,2,3)))+BV23/$BV$3)/60/24)</f>
        <v>--</v>
      </c>
      <c r="BX23" s="92">
        <f>IF(Table645[[#This Row],[Column75]]="--",0,Table645[[#This Row],[Column4]]*Table645[[#This Row],[Column75]])</f>
        <v>0</v>
      </c>
      <c r="BY23" s="95" t="s">
        <v>70</v>
      </c>
      <c r="BZ23" s="91" t="str">
        <f>IF(Table645[[#This Row],[Column74]]=0,"--",BW23*$BY$3)</f>
        <v>--</v>
      </c>
      <c r="CA23" s="89">
        <f>IF(Table645[[#This Row],[Column78]]="--",0,Table645[[#This Row],[Column4]]*Table645[[#This Row],[Column78]])</f>
        <v>0</v>
      </c>
      <c r="CB23" s="95" t="s">
        <v>70</v>
      </c>
      <c r="CC23" s="91" t="str">
        <f>IF(Table645[[#This Row],[Column10]]+Table645[[#This Row],[Column74]]=0,"--",J23*$CB$4*$CB$5/(24*60)+IF(Table645[[#This Row],[Column74]]=0,0,$CB$3*Table645[[#This Row],[Column75]]))</f>
        <v>--</v>
      </c>
      <c r="CD23" s="92">
        <f>IF(Table645[[#This Row],[Column81]]="--",0,Table645[[#This Row],[Column4]]*Table645[[#This Row],[Column81]])</f>
        <v>0</v>
      </c>
      <c r="CE23" s="94"/>
      <c r="CF23" s="91" t="str">
        <f t="shared" si="7"/>
        <v>--</v>
      </c>
      <c r="CG23" s="92">
        <f>IF(Table645[[#This Row],[Column84]]="--",0,Table645[[#This Row],[Column4]]*Table645[[#This Row],[Column84]])</f>
        <v>0</v>
      </c>
      <c r="CH23" s="226"/>
      <c r="CI23" s="90"/>
      <c r="CJ23" s="91" t="str">
        <f>IF(CI23=0,"--",(Table645[[#This Row],[Column86]]*$CI$4*(IF(W23&lt;0.5001,1,IF(W23&lt;2.0001,2,3)))+CI23/$CI$3)/60/24)</f>
        <v>--</v>
      </c>
      <c r="CK23" s="92">
        <f>IF(Table645[[#This Row],[Column88]]="--",0,Table645[[#This Row],[Column4]]*Table645[[#This Row],[Column88]])</f>
        <v>0</v>
      </c>
      <c r="CL23" s="95" t="s">
        <v>70</v>
      </c>
      <c r="CM23" s="91" t="str">
        <f>IF(Table645[[#This Row],[Column87]]=0,"--",CJ23*$CL$3)</f>
        <v>--</v>
      </c>
      <c r="CN23" s="89">
        <f>IF(Table645[[#This Row],[Column91]]="--",0,Table645[[#This Row],[Column4]]*Table645[[#This Row],[Column91]])</f>
        <v>0</v>
      </c>
      <c r="CO23" s="95" t="s">
        <v>70</v>
      </c>
      <c r="CP23" s="91" t="str">
        <f>IF(Table645[[#This Row],[Column10]]+Table645[[#This Row],[Column87]]=0, "--", IF($D23="", 1, $D23) * IF($J23="", 1, $J23) * $CO$3 * $CO$4 * IF(Table645[[#This Row],[Column95]]="", 1, Table645[[#This Row],[Column95]]) / (24 * 60))</f>
        <v>--</v>
      </c>
      <c r="CQ23" s="153"/>
      <c r="CR23" s="92">
        <f>IF(Table645[[#This Row],[Column94]]="--",0,Table645[[#This Row],[Column4]]*Table645[[#This Row],[Column94]])</f>
        <v>0</v>
      </c>
      <c r="CS23" s="206" t="str">
        <f>IF(Table645[[#This Row],[Column87]]="","",Table645[[#This Row],[Column87]])</f>
        <v/>
      </c>
      <c r="CT23" s="91" t="str">
        <f>IF(Table645[[#This Row],[Column97]]="","--",Table645[[#This Row],[Column97]]/$CS$3/60/24)</f>
        <v>--</v>
      </c>
      <c r="CU23" s="89">
        <f>IF(Table645[[#This Row],[Column98]]="--",0,Table645[[#This Row],[Column4]]*Table645[[#This Row],[Column98]])</f>
        <v>0</v>
      </c>
      <c r="CV23" s="93"/>
      <c r="CW23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3" s="91" t="str">
        <f>IF(OR(Table645[[#This Row],[Column74]]&gt;0,Table645[[#This Row],[Column87]]&gt;0),(Table645[[#This Row],[Column73]]+Table645[[#This Row],[Column86]]+1)*$CW$3/60/24,"--")</f>
        <v>--</v>
      </c>
      <c r="CY23" s="92">
        <f>IF(Table645[[#This Row],[Column102]]="--",0,Table645[[#This Row],[Column4]]*Table645[[#This Row],[Column102]])</f>
        <v>0</v>
      </c>
      <c r="CZ23" s="158" t="str">
        <f t="shared" si="8"/>
        <v>--</v>
      </c>
      <c r="DA23" s="153"/>
      <c r="DB23" s="160">
        <f>IF(Table645[[#This Row],[Column104]]="--",0,Table645[[#This Row],[Column4]]*Table645[[#This Row],[Column104]])</f>
        <v>0</v>
      </c>
      <c r="DC23" s="116"/>
      <c r="DD23" s="222" t="str">
        <f>IF(DC23=0,"--",1/$DC$3*1000/(60*60*24)*Table645[[#This Row],[Column107]])</f>
        <v>--</v>
      </c>
      <c r="DE23" s="89">
        <f>IF(Table645[[#This Row],[Column108]]="--",0,Table645[[#This Row],[Column4]]*Table645[[#This Row],[Column108]])</f>
        <v>0</v>
      </c>
      <c r="DF23" s="101" t="s">
        <v>70</v>
      </c>
      <c r="DG23" s="91" t="str">
        <f t="shared" si="9"/>
        <v>--</v>
      </c>
      <c r="DH23" s="89">
        <f>IF(Table645[[#This Row],[Column111]]="--",0,Table645[[#This Row],[Column4]]*Table645[[#This Row],[Column111]])</f>
        <v>0</v>
      </c>
      <c r="DI23" s="96"/>
      <c r="DJ23" s="96"/>
      <c r="DK23" s="96"/>
      <c r="DL23" s="96"/>
      <c r="DM23" s="96"/>
      <c r="DN23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3" s="89">
        <f>IF(Table645[[#This Row],[Column118]]="--",0,Table645[[#This Row],[Column4]]*Table645[[#This Row],[Column118]])</f>
        <v>0</v>
      </c>
      <c r="DP23" s="96"/>
      <c r="DQ23" s="96"/>
      <c r="DR23" s="91" t="str">
        <f t="shared" si="10"/>
        <v>--</v>
      </c>
      <c r="DS23" s="89">
        <f>IF(Table645[[#This Row],[Column122]]="--",0,Table645[[#This Row],[Column4]]*Table645[[#This Row],[Column122]])</f>
        <v>0</v>
      </c>
      <c r="DT23" t="str">
        <f>IF(Table645[[#This Row],[Column125]]=0,"--",Table645[[#This Row],[Column125]]*Table645[[#This Row],[Column126]]*Table645[[#This Row],[Column127]]/1000000000)</f>
        <v>--</v>
      </c>
      <c r="DU23" s="53"/>
      <c r="DV23" s="53"/>
      <c r="DW23" s="53"/>
      <c r="DX23" s="91" t="str">
        <f t="shared" si="11"/>
        <v>--</v>
      </c>
      <c r="DY23" s="89">
        <f>IF(Table645[[#This Row],[Column128]]="--",0,Table645[[#This Row],[Column4]]*Table645[[#This Row],[Column128]])</f>
        <v>0</v>
      </c>
      <c r="EA23" s="89">
        <f>IF(Table645[[#This Row],[Column128]]="--",0,Table645[[#This Row],[Column4]]*Table645[[#This Row],[Column128]])</f>
        <v>0</v>
      </c>
      <c r="EC23" s="89">
        <f>IF(Table645[[#This Row],[Column128]]="--",0,Table645[[#This Row],[Column4]]*Table645[[#This Row],[Column128]])</f>
        <v>0</v>
      </c>
      <c r="EE23" s="89">
        <f>IF(Table645[[#This Row],[Column128]]="--",0,Table645[[#This Row],[Column4]]*Table645[[#This Row],[Column128]])</f>
        <v>0</v>
      </c>
      <c r="EG23" s="89">
        <f>IF(Table645[[#This Row],[Column128]]="--",0,Table645[[#This Row],[Column4]]*Table645[[#This Row],[Column128]])</f>
        <v>0</v>
      </c>
      <c r="EI23" s="89">
        <f>IF(Table645[[#This Row],[Column128]]="--",0,Table645[[#This Row],[Column4]]*Table645[[#This Row],[Column128]])</f>
        <v>0</v>
      </c>
    </row>
    <row r="24" spans="1:139" x14ac:dyDescent="0.25">
      <c r="B24" s="79"/>
      <c r="C24" s="140"/>
      <c r="D24" s="167"/>
      <c r="E24" s="52"/>
      <c r="F24" s="81"/>
      <c r="G24" s="81"/>
      <c r="H24" s="82" t="str">
        <f t="shared" si="0"/>
        <v>--</v>
      </c>
      <c r="I24" s="100">
        <f>IF(Table645[[#This Row],[Column8]]="--",0,Table645[[#This Row],[Column4]]*Table645[[#This Row],[Column8]])</f>
        <v>0</v>
      </c>
      <c r="J24" s="169"/>
      <c r="K24" s="85">
        <f>Table645[[#This Row],[Column4]]*Table645[[#This Row],[Column10]]</f>
        <v>0</v>
      </c>
      <c r="L24" s="170" t="str">
        <f t="shared" si="1"/>
        <v>--</v>
      </c>
      <c r="M24" s="85">
        <f>IF(Table645[[#This Row],[Column10]]=0,0,Table645[[#This Row],[Column4]]*Table645[[#This Row],[Column12]])</f>
        <v>0</v>
      </c>
      <c r="N24" s="87" t="str">
        <f t="shared" si="2"/>
        <v>--</v>
      </c>
      <c r="O24" s="138" t="str">
        <f>IF(SUM(Table645[[#This Row],[Column17]:[Column51]])=0,"--",SUM(Table645[[#This Row],[Column17]:[Column51]]))</f>
        <v>--</v>
      </c>
      <c r="AZ24" s="89">
        <f>IF(Table645[[#This Row],[Column14]]="--",0,Table645[[#This Row],[Column4]]*Table645[[#This Row],[Column14]])</f>
        <v>0</v>
      </c>
      <c r="BA24" s="90"/>
      <c r="BB24" s="91" t="str">
        <f>IF(BA24=0,"--",BA24*$BA$3*IF(Table645[[#This Row],[Column5]]&lt;4.1,1,2)/60/24)</f>
        <v>--</v>
      </c>
      <c r="BC24" s="92">
        <f>IF(Table645[[#This Row],[Column54]]="--",0,Table645[[#This Row],[Column4]]*Table645[[#This Row],[Column54]])</f>
        <v>0</v>
      </c>
      <c r="BD24" s="119"/>
      <c r="BE24" s="99"/>
      <c r="BF24" s="119"/>
      <c r="BG24" s="91" t="str">
        <f>IF(BD24+Table645[[#This Row],[Column58]]=0,"--",(BD24*$BF$3*Table645[[#This Row],[Column57]]+Table645[[#This Row],[Column58]]*$BF$4)/60/24)</f>
        <v>--</v>
      </c>
      <c r="BH24" s="92">
        <f>IF(Table645[[#This Row],[Column59]]="--",0,Table645[[#This Row],[Column4]]*Table645[[#This Row],[Column59]])</f>
        <v>0</v>
      </c>
      <c r="BI24" s="93"/>
      <c r="BJ24" s="91" t="str">
        <f t="shared" si="4"/>
        <v>--</v>
      </c>
      <c r="BK24" s="89">
        <f>IF(Table645[[#This Row],[Column62]]="--",0,Table645[[#This Row],[Column4]]*Table645[[#This Row],[Column62]])</f>
        <v>0</v>
      </c>
      <c r="BL24" s="93"/>
      <c r="BM24" s="91" t="str">
        <f t="shared" si="3"/>
        <v>--</v>
      </c>
      <c r="BN24" s="89">
        <f>IF(Table645[[#This Row],[Column65]]="--",0,Table645[[#This Row],[Column4]]*Table645[[#This Row],[Column65]])</f>
        <v>0</v>
      </c>
      <c r="BO24" s="163"/>
      <c r="BP24" s="164" t="str">
        <f t="shared" si="5"/>
        <v>--</v>
      </c>
      <c r="BQ24" s="160">
        <f>IF(Table645[[#This Row],[Column68]]="--",0,Table645[[#This Row],[Column4]]*Table645[[#This Row],[Column68]])</f>
        <v>0</v>
      </c>
      <c r="BR24" s="94"/>
      <c r="BS24" s="91" t="str">
        <f t="shared" si="6"/>
        <v>--</v>
      </c>
      <c r="BT24" s="92">
        <f>IF(Table645[[#This Row],[Column71]]="--",0,Table645[[#This Row],[Column4]]*Table645[[#This Row],[Column71]])</f>
        <v>0</v>
      </c>
      <c r="BU24" s="44"/>
      <c r="BV24" s="90"/>
      <c r="BW24" s="91" t="str">
        <f>IF(BV24=0,"--",(Table645[[#This Row],[Column73]]*$BV$4*(IF(J24&lt;0.5001,1,IF(J24&lt;2.0001,2,3)))+BV24/$BV$3)/60/24)</f>
        <v>--</v>
      </c>
      <c r="BX24" s="92">
        <f>IF(Table645[[#This Row],[Column75]]="--",0,Table645[[#This Row],[Column4]]*Table645[[#This Row],[Column75]])</f>
        <v>0</v>
      </c>
      <c r="BY24" s="95" t="s">
        <v>70</v>
      </c>
      <c r="BZ24" s="91" t="str">
        <f>IF(Table645[[#This Row],[Column74]]=0,"--",BW24*$BY$3)</f>
        <v>--</v>
      </c>
      <c r="CA24" s="89">
        <f>IF(Table645[[#This Row],[Column78]]="--",0,Table645[[#This Row],[Column4]]*Table645[[#This Row],[Column78]])</f>
        <v>0</v>
      </c>
      <c r="CB24" s="95" t="s">
        <v>70</v>
      </c>
      <c r="CC24" s="91" t="str">
        <f>IF(Table645[[#This Row],[Column10]]+Table645[[#This Row],[Column74]]=0,"--",J24*$CB$4*$CB$5/(24*60)+IF(Table645[[#This Row],[Column74]]=0,0,$CB$3*Table645[[#This Row],[Column75]]))</f>
        <v>--</v>
      </c>
      <c r="CD24" s="92">
        <f>IF(Table645[[#This Row],[Column81]]="--",0,Table645[[#This Row],[Column4]]*Table645[[#This Row],[Column81]])</f>
        <v>0</v>
      </c>
      <c r="CE24" s="94"/>
      <c r="CF24" s="91" t="str">
        <f t="shared" si="7"/>
        <v>--</v>
      </c>
      <c r="CG24" s="92">
        <f>IF(Table645[[#This Row],[Column84]]="--",0,Table645[[#This Row],[Column4]]*Table645[[#This Row],[Column84]])</f>
        <v>0</v>
      </c>
      <c r="CH24" s="226"/>
      <c r="CI24" s="90"/>
      <c r="CJ24" s="91" t="str">
        <f>IF(CI24=0,"--",(Table645[[#This Row],[Column86]]*$CI$4*(IF(W24&lt;0.5001,1,IF(W24&lt;2.0001,2,3)))+CI24/$CI$3)/60/24)</f>
        <v>--</v>
      </c>
      <c r="CK24" s="92">
        <f>IF(Table645[[#This Row],[Column88]]="--",0,Table645[[#This Row],[Column4]]*Table645[[#This Row],[Column88]])</f>
        <v>0</v>
      </c>
      <c r="CL24" s="95" t="s">
        <v>70</v>
      </c>
      <c r="CM24" s="91" t="str">
        <f>IF(Table645[[#This Row],[Column87]]=0,"--",CJ24*$CL$3)</f>
        <v>--</v>
      </c>
      <c r="CN24" s="89">
        <f>IF(Table645[[#This Row],[Column91]]="--",0,Table645[[#This Row],[Column4]]*Table645[[#This Row],[Column91]])</f>
        <v>0</v>
      </c>
      <c r="CO24" s="95" t="s">
        <v>70</v>
      </c>
      <c r="CP24" s="91" t="str">
        <f>IF(Table645[[#This Row],[Column10]]+Table645[[#This Row],[Column87]]=0, "--", IF($D24="", 1, $D24) * IF($J24="", 1, $J24) * $CO$3 * $CO$4 * IF(Table645[[#This Row],[Column95]]="", 1, Table645[[#This Row],[Column95]]) / (24 * 60))</f>
        <v>--</v>
      </c>
      <c r="CQ24" s="153"/>
      <c r="CR24" s="92">
        <f>IF(Table645[[#This Row],[Column94]]="--",0,Table645[[#This Row],[Column4]]*Table645[[#This Row],[Column94]])</f>
        <v>0</v>
      </c>
      <c r="CS24" s="206" t="str">
        <f>IF(Table645[[#This Row],[Column87]]="","",Table645[[#This Row],[Column87]])</f>
        <v/>
      </c>
      <c r="CT24" s="91" t="str">
        <f>IF(Table645[[#This Row],[Column97]]="","--",Table645[[#This Row],[Column97]]/$CS$3/60/24)</f>
        <v>--</v>
      </c>
      <c r="CU24" s="89">
        <f>IF(Table645[[#This Row],[Column98]]="--",0,Table645[[#This Row],[Column4]]*Table645[[#This Row],[Column98]])</f>
        <v>0</v>
      </c>
      <c r="CV24" s="93"/>
      <c r="CW24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4" s="91" t="str">
        <f>IF(OR(Table645[[#This Row],[Column74]]&gt;0,Table645[[#This Row],[Column87]]&gt;0),(Table645[[#This Row],[Column73]]+Table645[[#This Row],[Column86]]+1)*$CW$3/60/24,"--")</f>
        <v>--</v>
      </c>
      <c r="CY24" s="92">
        <f>IF(Table645[[#This Row],[Column102]]="--",0,Table645[[#This Row],[Column4]]*Table645[[#This Row],[Column102]])</f>
        <v>0</v>
      </c>
      <c r="CZ24" s="158" t="str">
        <f t="shared" si="8"/>
        <v>--</v>
      </c>
      <c r="DA24" s="153"/>
      <c r="DB24" s="160">
        <f>IF(Table645[[#This Row],[Column104]]="--",0,Table645[[#This Row],[Column4]]*Table645[[#This Row],[Column104]])</f>
        <v>0</v>
      </c>
      <c r="DC24" s="116"/>
      <c r="DD24" s="222" t="str">
        <f>IF(DC24=0,"--",1/$DC$3*1000/(60*60*24)*Table645[[#This Row],[Column107]])</f>
        <v>--</v>
      </c>
      <c r="DE24" s="89">
        <f>IF(Table645[[#This Row],[Column108]]="--",0,Table645[[#This Row],[Column4]]*Table645[[#This Row],[Column108]])</f>
        <v>0</v>
      </c>
      <c r="DF24" s="101" t="s">
        <v>70</v>
      </c>
      <c r="DG24" s="91" t="str">
        <f t="shared" si="9"/>
        <v>--</v>
      </c>
      <c r="DH24" s="89">
        <f>IF(Table645[[#This Row],[Column111]]="--",0,Table645[[#This Row],[Column4]]*Table645[[#This Row],[Column111]])</f>
        <v>0</v>
      </c>
      <c r="DI24" s="96"/>
      <c r="DJ24" s="96"/>
      <c r="DK24" s="96"/>
      <c r="DL24" s="96"/>
      <c r="DM24" s="96"/>
      <c r="DN24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4" s="89">
        <f>IF(Table645[[#This Row],[Column118]]="--",0,Table645[[#This Row],[Column4]]*Table645[[#This Row],[Column118]])</f>
        <v>0</v>
      </c>
      <c r="DP24" s="96"/>
      <c r="DQ24" s="96"/>
      <c r="DR24" s="91" t="str">
        <f t="shared" si="10"/>
        <v>--</v>
      </c>
      <c r="DS24" s="89">
        <f>IF(Table645[[#This Row],[Column122]]="--",0,Table645[[#This Row],[Column4]]*Table645[[#This Row],[Column122]])</f>
        <v>0</v>
      </c>
      <c r="DT24" t="str">
        <f>IF(Table645[[#This Row],[Column125]]=0,"--",Table645[[#This Row],[Column125]]*Table645[[#This Row],[Column126]]*Table645[[#This Row],[Column127]]/1000000000)</f>
        <v>--</v>
      </c>
      <c r="DU24" s="53"/>
      <c r="DV24" s="53"/>
      <c r="DW24" s="53"/>
      <c r="DX24" s="91" t="str">
        <f t="shared" si="11"/>
        <v>--</v>
      </c>
      <c r="DY24" s="89">
        <f>IF(Table645[[#This Row],[Column128]]="--",0,Table645[[#This Row],[Column4]]*Table645[[#This Row],[Column128]])</f>
        <v>0</v>
      </c>
      <c r="EA24" s="89">
        <f>IF(Table645[[#This Row],[Column128]]="--",0,Table645[[#This Row],[Column4]]*Table645[[#This Row],[Column128]])</f>
        <v>0</v>
      </c>
      <c r="EC24" s="89">
        <f>IF(Table645[[#This Row],[Column128]]="--",0,Table645[[#This Row],[Column4]]*Table645[[#This Row],[Column128]])</f>
        <v>0</v>
      </c>
      <c r="EE24" s="89">
        <f>IF(Table645[[#This Row],[Column128]]="--",0,Table645[[#This Row],[Column4]]*Table645[[#This Row],[Column128]])</f>
        <v>0</v>
      </c>
      <c r="EG24" s="89">
        <f>IF(Table645[[#This Row],[Column128]]="--",0,Table645[[#This Row],[Column4]]*Table645[[#This Row],[Column128]])</f>
        <v>0</v>
      </c>
      <c r="EI24" s="89">
        <f>IF(Table645[[#This Row],[Column128]]="--",0,Table645[[#This Row],[Column4]]*Table645[[#This Row],[Column128]])</f>
        <v>0</v>
      </c>
    </row>
    <row r="25" spans="1:139" x14ac:dyDescent="0.25">
      <c r="B25" s="79"/>
      <c r="C25" s="140"/>
      <c r="D25" s="167"/>
      <c r="E25" s="52"/>
      <c r="F25" s="81"/>
      <c r="G25" s="81"/>
      <c r="H25" s="82" t="str">
        <f t="shared" si="0"/>
        <v>--</v>
      </c>
      <c r="I25" s="100">
        <f>IF(Table645[[#This Row],[Column8]]="--",0,Table645[[#This Row],[Column4]]*Table645[[#This Row],[Column8]])</f>
        <v>0</v>
      </c>
      <c r="J25" s="169"/>
      <c r="K25" s="85">
        <f>Table645[[#This Row],[Column4]]*Table645[[#This Row],[Column10]]</f>
        <v>0</v>
      </c>
      <c r="L25" s="170" t="str">
        <f t="shared" si="1"/>
        <v>--</v>
      </c>
      <c r="M25" s="85">
        <f>IF(Table645[[#This Row],[Column10]]=0,0,Table645[[#This Row],[Column4]]*Table645[[#This Row],[Column12]])</f>
        <v>0</v>
      </c>
      <c r="N25" s="87" t="str">
        <f t="shared" si="2"/>
        <v>--</v>
      </c>
      <c r="O25" s="138" t="str">
        <f>IF(SUM(Table645[[#This Row],[Column17]:[Column51]])=0,"--",SUM(Table645[[#This Row],[Column17]:[Column51]]))</f>
        <v>--</v>
      </c>
      <c r="AZ25" s="89">
        <f>IF(Table645[[#This Row],[Column14]]="--",0,Table645[[#This Row],[Column4]]*Table645[[#This Row],[Column14]])</f>
        <v>0</v>
      </c>
      <c r="BA25" s="90"/>
      <c r="BB25" s="91" t="str">
        <f>IF(BA25=0,"--",BA25*$BA$3*IF(Table645[[#This Row],[Column5]]&lt;4.1,1,2)/60/24)</f>
        <v>--</v>
      </c>
      <c r="BC25" s="92">
        <f>IF(Table645[[#This Row],[Column54]]="--",0,Table645[[#This Row],[Column4]]*Table645[[#This Row],[Column54]])</f>
        <v>0</v>
      </c>
      <c r="BD25" s="119"/>
      <c r="BE25" s="99"/>
      <c r="BF25" s="119"/>
      <c r="BG25" s="91" t="str">
        <f>IF(BD25+Table645[[#This Row],[Column58]]=0,"--",(BD25*$BF$3*Table645[[#This Row],[Column57]]+Table645[[#This Row],[Column58]]*$BF$4)/60/24)</f>
        <v>--</v>
      </c>
      <c r="BH25" s="92">
        <f>IF(Table645[[#This Row],[Column59]]="--",0,Table645[[#This Row],[Column4]]*Table645[[#This Row],[Column59]])</f>
        <v>0</v>
      </c>
      <c r="BI25" s="93"/>
      <c r="BJ25" s="91" t="str">
        <f t="shared" si="4"/>
        <v>--</v>
      </c>
      <c r="BK25" s="89">
        <f>IF(Table645[[#This Row],[Column62]]="--",0,Table645[[#This Row],[Column4]]*Table645[[#This Row],[Column62]])</f>
        <v>0</v>
      </c>
      <c r="BL25" s="93"/>
      <c r="BM25" s="91" t="str">
        <f t="shared" si="3"/>
        <v>--</v>
      </c>
      <c r="BN25" s="89">
        <f>IF(Table645[[#This Row],[Column65]]="--",0,Table645[[#This Row],[Column4]]*Table645[[#This Row],[Column65]])</f>
        <v>0</v>
      </c>
      <c r="BO25" s="163"/>
      <c r="BP25" s="164" t="str">
        <f t="shared" si="5"/>
        <v>--</v>
      </c>
      <c r="BQ25" s="160">
        <f>IF(Table645[[#This Row],[Column68]]="--",0,Table645[[#This Row],[Column4]]*Table645[[#This Row],[Column68]])</f>
        <v>0</v>
      </c>
      <c r="BR25" s="94"/>
      <c r="BS25" s="91" t="str">
        <f t="shared" si="6"/>
        <v>--</v>
      </c>
      <c r="BT25" s="92">
        <f>IF(Table645[[#This Row],[Column71]]="--",0,Table645[[#This Row],[Column4]]*Table645[[#This Row],[Column71]])</f>
        <v>0</v>
      </c>
      <c r="BU25" s="44"/>
      <c r="BV25" s="90"/>
      <c r="BW25" s="91" t="str">
        <f>IF(BV25=0,"--",(Table645[[#This Row],[Column73]]*$BV$4*(IF(J25&lt;0.5001,1,IF(J25&lt;2.0001,2,3)))+BV25/$BV$3)/60/24)</f>
        <v>--</v>
      </c>
      <c r="BX25" s="92">
        <f>IF(Table645[[#This Row],[Column75]]="--",0,Table645[[#This Row],[Column4]]*Table645[[#This Row],[Column75]])</f>
        <v>0</v>
      </c>
      <c r="BY25" s="95" t="s">
        <v>70</v>
      </c>
      <c r="BZ25" s="91" t="str">
        <f>IF(Table645[[#This Row],[Column74]]=0,"--",BW25*$BY$3)</f>
        <v>--</v>
      </c>
      <c r="CA25" s="89">
        <f>IF(Table645[[#This Row],[Column78]]="--",0,Table645[[#This Row],[Column4]]*Table645[[#This Row],[Column78]])</f>
        <v>0</v>
      </c>
      <c r="CB25" s="95" t="s">
        <v>70</v>
      </c>
      <c r="CC25" s="91" t="str">
        <f>IF(Table645[[#This Row],[Column10]]+Table645[[#This Row],[Column74]]=0,"--",J25*$CB$4*$CB$5/(24*60)+IF(Table645[[#This Row],[Column74]]=0,0,$CB$3*Table645[[#This Row],[Column75]]))</f>
        <v>--</v>
      </c>
      <c r="CD25" s="92">
        <f>IF(Table645[[#This Row],[Column81]]="--",0,Table645[[#This Row],[Column4]]*Table645[[#This Row],[Column81]])</f>
        <v>0</v>
      </c>
      <c r="CE25" s="94"/>
      <c r="CF25" s="91" t="str">
        <f t="shared" si="7"/>
        <v>--</v>
      </c>
      <c r="CG25" s="92">
        <f>IF(Table645[[#This Row],[Column84]]="--",0,Table645[[#This Row],[Column4]]*Table645[[#This Row],[Column84]])</f>
        <v>0</v>
      </c>
      <c r="CH25" s="226"/>
      <c r="CI25" s="90"/>
      <c r="CJ25" s="91" t="str">
        <f>IF(CI25=0,"--",(Table645[[#This Row],[Column86]]*$CI$4*(IF(W25&lt;0.5001,1,IF(W25&lt;2.0001,2,3)))+CI25/$CI$3)/60/24)</f>
        <v>--</v>
      </c>
      <c r="CK25" s="92">
        <f>IF(Table645[[#This Row],[Column88]]="--",0,Table645[[#This Row],[Column4]]*Table645[[#This Row],[Column88]])</f>
        <v>0</v>
      </c>
      <c r="CL25" s="95" t="s">
        <v>70</v>
      </c>
      <c r="CM25" s="91" t="str">
        <f>IF(Table645[[#This Row],[Column87]]=0,"--",CJ25*$CL$3)</f>
        <v>--</v>
      </c>
      <c r="CN25" s="89">
        <f>IF(Table645[[#This Row],[Column91]]="--",0,Table645[[#This Row],[Column4]]*Table645[[#This Row],[Column91]])</f>
        <v>0</v>
      </c>
      <c r="CO25" s="95" t="s">
        <v>70</v>
      </c>
      <c r="CP25" s="91" t="str">
        <f>IF(Table645[[#This Row],[Column10]]+Table645[[#This Row],[Column87]]=0, "--", IF($D25="", 1, $D25) * IF($J25="", 1, $J25) * $CO$3 * $CO$4 * IF(Table645[[#This Row],[Column95]]="", 1, Table645[[#This Row],[Column95]]) / (24 * 60))</f>
        <v>--</v>
      </c>
      <c r="CQ25" s="153"/>
      <c r="CR25" s="92">
        <f>IF(Table645[[#This Row],[Column94]]="--",0,Table645[[#This Row],[Column4]]*Table645[[#This Row],[Column94]])</f>
        <v>0</v>
      </c>
      <c r="CS25" s="206" t="str">
        <f>IF(Table645[[#This Row],[Column87]]="","",Table645[[#This Row],[Column87]])</f>
        <v/>
      </c>
      <c r="CT25" s="91" t="str">
        <f>IF(Table645[[#This Row],[Column97]]="","--",Table645[[#This Row],[Column97]]/$CS$3/60/24)</f>
        <v>--</v>
      </c>
      <c r="CU25" s="89">
        <f>IF(Table645[[#This Row],[Column98]]="--",0,Table645[[#This Row],[Column4]]*Table645[[#This Row],[Column98]])</f>
        <v>0</v>
      </c>
      <c r="CV25" s="93"/>
      <c r="CW25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5" s="91" t="str">
        <f>IF(OR(Table645[[#This Row],[Column74]]&gt;0,Table645[[#This Row],[Column87]]&gt;0),(Table645[[#This Row],[Column73]]+Table645[[#This Row],[Column86]]+1)*$CW$3/60/24,"--")</f>
        <v>--</v>
      </c>
      <c r="CY25" s="92">
        <f>IF(Table645[[#This Row],[Column102]]="--",0,Table645[[#This Row],[Column4]]*Table645[[#This Row],[Column102]])</f>
        <v>0</v>
      </c>
      <c r="CZ25" s="158" t="str">
        <f t="shared" si="8"/>
        <v>--</v>
      </c>
      <c r="DA25" s="153"/>
      <c r="DB25" s="160">
        <f>IF(Table645[[#This Row],[Column104]]="--",0,Table645[[#This Row],[Column4]]*Table645[[#This Row],[Column104]])</f>
        <v>0</v>
      </c>
      <c r="DC25" s="116"/>
      <c r="DD25" s="222" t="str">
        <f>IF(DC25=0,"--",1/$DC$3*1000/(60*60*24)*Table645[[#This Row],[Column107]])</f>
        <v>--</v>
      </c>
      <c r="DE25" s="89">
        <f>IF(Table645[[#This Row],[Column108]]="--",0,Table645[[#This Row],[Column4]]*Table645[[#This Row],[Column108]])</f>
        <v>0</v>
      </c>
      <c r="DF25" s="101" t="s">
        <v>70</v>
      </c>
      <c r="DG25" s="91" t="str">
        <f t="shared" si="9"/>
        <v>--</v>
      </c>
      <c r="DH25" s="89">
        <f>IF(Table645[[#This Row],[Column111]]="--",0,Table645[[#This Row],[Column4]]*Table645[[#This Row],[Column111]])</f>
        <v>0</v>
      </c>
      <c r="DI25" s="96"/>
      <c r="DJ25" s="96"/>
      <c r="DK25" s="96"/>
      <c r="DL25" s="96"/>
      <c r="DM25" s="96"/>
      <c r="DN25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5" s="89">
        <f>IF(Table645[[#This Row],[Column118]]="--",0,Table645[[#This Row],[Column4]]*Table645[[#This Row],[Column118]])</f>
        <v>0</v>
      </c>
      <c r="DP25" s="96"/>
      <c r="DQ25" s="96"/>
      <c r="DR25" s="91" t="str">
        <f t="shared" si="10"/>
        <v>--</v>
      </c>
      <c r="DS25" s="89">
        <f>IF(Table645[[#This Row],[Column122]]="--",0,Table645[[#This Row],[Column4]]*Table645[[#This Row],[Column122]])</f>
        <v>0</v>
      </c>
      <c r="DT25" t="str">
        <f>IF(Table645[[#This Row],[Column125]]=0,"--",Table645[[#This Row],[Column125]]*Table645[[#This Row],[Column126]]*Table645[[#This Row],[Column127]]/1000000000)</f>
        <v>--</v>
      </c>
      <c r="DU25" s="53"/>
      <c r="DV25" s="53"/>
      <c r="DW25" s="53"/>
      <c r="DX25" s="91" t="str">
        <f t="shared" si="11"/>
        <v>--</v>
      </c>
      <c r="DY25" s="89">
        <f>IF(Table645[[#This Row],[Column128]]="--",0,Table645[[#This Row],[Column4]]*Table645[[#This Row],[Column128]])</f>
        <v>0</v>
      </c>
      <c r="EA25" s="89">
        <f>IF(Table645[[#This Row],[Column128]]="--",0,Table645[[#This Row],[Column4]]*Table645[[#This Row],[Column128]])</f>
        <v>0</v>
      </c>
      <c r="EC25" s="89">
        <f>IF(Table645[[#This Row],[Column128]]="--",0,Table645[[#This Row],[Column4]]*Table645[[#This Row],[Column128]])</f>
        <v>0</v>
      </c>
      <c r="EE25" s="89">
        <f>IF(Table645[[#This Row],[Column128]]="--",0,Table645[[#This Row],[Column4]]*Table645[[#This Row],[Column128]])</f>
        <v>0</v>
      </c>
      <c r="EG25" s="89">
        <f>IF(Table645[[#This Row],[Column128]]="--",0,Table645[[#This Row],[Column4]]*Table645[[#This Row],[Column128]])</f>
        <v>0</v>
      </c>
      <c r="EI25" s="89">
        <f>IF(Table645[[#This Row],[Column128]]="--",0,Table645[[#This Row],[Column4]]*Table645[[#This Row],[Column128]])</f>
        <v>0</v>
      </c>
    </row>
    <row r="26" spans="1:139" x14ac:dyDescent="0.25">
      <c r="B26" s="79"/>
      <c r="C26" s="140"/>
      <c r="D26" s="167"/>
      <c r="E26" s="52"/>
      <c r="F26" s="81"/>
      <c r="G26" s="81"/>
      <c r="H26" s="82" t="str">
        <f t="shared" si="0"/>
        <v>--</v>
      </c>
      <c r="I26" s="100">
        <f>IF(Table645[[#This Row],[Column8]]="--",0,Table645[[#This Row],[Column4]]*Table645[[#This Row],[Column8]])</f>
        <v>0</v>
      </c>
      <c r="J26" s="169"/>
      <c r="K26" s="85">
        <f>Table645[[#This Row],[Column4]]*Table645[[#This Row],[Column10]]</f>
        <v>0</v>
      </c>
      <c r="L26" s="170" t="str">
        <f t="shared" si="1"/>
        <v>--</v>
      </c>
      <c r="M26" s="85">
        <f>IF(Table645[[#This Row],[Column10]]=0,0,Table645[[#This Row],[Column4]]*Table645[[#This Row],[Column12]])</f>
        <v>0</v>
      </c>
      <c r="N26" s="87" t="str">
        <f t="shared" si="2"/>
        <v>--</v>
      </c>
      <c r="O26" s="138" t="str">
        <f>IF(SUM(Table645[[#This Row],[Column17]:[Column51]])=0,"--",SUM(Table645[[#This Row],[Column17]:[Column51]]))</f>
        <v>--</v>
      </c>
      <c r="AZ26" s="89">
        <f>IF(Table645[[#This Row],[Column14]]="--",0,Table645[[#This Row],[Column4]]*Table645[[#This Row],[Column14]])</f>
        <v>0</v>
      </c>
      <c r="BA26" s="90"/>
      <c r="BB26" s="91" t="str">
        <f>IF(BA26=0,"--",BA26*$BA$3*IF(Table645[[#This Row],[Column5]]&lt;4.1,1,2)/60/24)</f>
        <v>--</v>
      </c>
      <c r="BC26" s="92">
        <f>IF(Table645[[#This Row],[Column54]]="--",0,Table645[[#This Row],[Column4]]*Table645[[#This Row],[Column54]])</f>
        <v>0</v>
      </c>
      <c r="BD26" s="119"/>
      <c r="BE26" s="99"/>
      <c r="BF26" s="119"/>
      <c r="BG26" s="91" t="str">
        <f>IF(BD26+Table645[[#This Row],[Column58]]=0,"--",(BD26*$BF$3*Table645[[#This Row],[Column57]]+Table645[[#This Row],[Column58]]*$BF$4)/60/24)</f>
        <v>--</v>
      </c>
      <c r="BH26" s="92">
        <f>IF(Table645[[#This Row],[Column59]]="--",0,Table645[[#This Row],[Column4]]*Table645[[#This Row],[Column59]])</f>
        <v>0</v>
      </c>
      <c r="BI26" s="93"/>
      <c r="BJ26" s="91" t="str">
        <f t="shared" si="4"/>
        <v>--</v>
      </c>
      <c r="BK26" s="89">
        <f>IF(Table645[[#This Row],[Column62]]="--",0,Table645[[#This Row],[Column4]]*Table645[[#This Row],[Column62]])</f>
        <v>0</v>
      </c>
      <c r="BL26" s="93"/>
      <c r="BM26" s="91" t="str">
        <f t="shared" si="3"/>
        <v>--</v>
      </c>
      <c r="BN26" s="89">
        <f>IF(Table645[[#This Row],[Column65]]="--",0,Table645[[#This Row],[Column4]]*Table645[[#This Row],[Column65]])</f>
        <v>0</v>
      </c>
      <c r="BO26" s="163"/>
      <c r="BP26" s="164" t="str">
        <f t="shared" si="5"/>
        <v>--</v>
      </c>
      <c r="BQ26" s="160">
        <f>IF(Table645[[#This Row],[Column68]]="--",0,Table645[[#This Row],[Column4]]*Table645[[#This Row],[Column68]])</f>
        <v>0</v>
      </c>
      <c r="BR26" s="94"/>
      <c r="BS26" s="91" t="str">
        <f t="shared" si="6"/>
        <v>--</v>
      </c>
      <c r="BT26" s="92">
        <f>IF(Table645[[#This Row],[Column71]]="--",0,Table645[[#This Row],[Column4]]*Table645[[#This Row],[Column71]])</f>
        <v>0</v>
      </c>
      <c r="BU26" s="44"/>
      <c r="BV26" s="90"/>
      <c r="BW26" s="91" t="str">
        <f>IF(BV26=0,"--",(Table645[[#This Row],[Column73]]*$BV$4*(IF(J26&lt;0.5001,1,IF(J26&lt;2.0001,2,3)))+BV26/$BV$3)/60/24)</f>
        <v>--</v>
      </c>
      <c r="BX26" s="92">
        <f>IF(Table645[[#This Row],[Column75]]="--",0,Table645[[#This Row],[Column4]]*Table645[[#This Row],[Column75]])</f>
        <v>0</v>
      </c>
      <c r="BY26" s="95" t="s">
        <v>70</v>
      </c>
      <c r="BZ26" s="91" t="str">
        <f>IF(Table645[[#This Row],[Column74]]=0,"--",BW26*$BY$3)</f>
        <v>--</v>
      </c>
      <c r="CA26" s="89">
        <f>IF(Table645[[#This Row],[Column78]]="--",0,Table645[[#This Row],[Column4]]*Table645[[#This Row],[Column78]])</f>
        <v>0</v>
      </c>
      <c r="CB26" s="95" t="s">
        <v>70</v>
      </c>
      <c r="CC26" s="91" t="str">
        <f>IF(Table645[[#This Row],[Column10]]+Table645[[#This Row],[Column74]]=0,"--",J26*$CB$4*$CB$5/(24*60)+IF(Table645[[#This Row],[Column74]]=0,0,$CB$3*Table645[[#This Row],[Column75]]))</f>
        <v>--</v>
      </c>
      <c r="CD26" s="92">
        <f>IF(Table645[[#This Row],[Column81]]="--",0,Table645[[#This Row],[Column4]]*Table645[[#This Row],[Column81]])</f>
        <v>0</v>
      </c>
      <c r="CE26" s="94"/>
      <c r="CF26" s="91" t="str">
        <f t="shared" si="7"/>
        <v>--</v>
      </c>
      <c r="CG26" s="92">
        <f>IF(Table645[[#This Row],[Column84]]="--",0,Table645[[#This Row],[Column4]]*Table645[[#This Row],[Column84]])</f>
        <v>0</v>
      </c>
      <c r="CH26" s="226"/>
      <c r="CI26" s="90"/>
      <c r="CJ26" s="91" t="str">
        <f>IF(CI26=0,"--",(Table645[[#This Row],[Column86]]*$CI$4*(IF(W26&lt;0.5001,1,IF(W26&lt;2.0001,2,3)))+CI26/$CI$3)/60/24)</f>
        <v>--</v>
      </c>
      <c r="CK26" s="92">
        <f>IF(Table645[[#This Row],[Column88]]="--",0,Table645[[#This Row],[Column4]]*Table645[[#This Row],[Column88]])</f>
        <v>0</v>
      </c>
      <c r="CL26" s="95" t="s">
        <v>70</v>
      </c>
      <c r="CM26" s="91" t="str">
        <f>IF(Table645[[#This Row],[Column87]]=0,"--",CJ26*$CL$3)</f>
        <v>--</v>
      </c>
      <c r="CN26" s="89">
        <f>IF(Table645[[#This Row],[Column91]]="--",0,Table645[[#This Row],[Column4]]*Table645[[#This Row],[Column91]])</f>
        <v>0</v>
      </c>
      <c r="CO26" s="95" t="s">
        <v>70</v>
      </c>
      <c r="CP26" s="91" t="str">
        <f>IF(Table645[[#This Row],[Column10]]+Table645[[#This Row],[Column87]]=0, "--", IF($D26="", 1, $D26) * IF($J26="", 1, $J26) * $CO$3 * $CO$4 * IF(Table645[[#This Row],[Column95]]="", 1, Table645[[#This Row],[Column95]]) / (24 * 60))</f>
        <v>--</v>
      </c>
      <c r="CQ26" s="153"/>
      <c r="CR26" s="92">
        <f>IF(Table645[[#This Row],[Column94]]="--",0,Table645[[#This Row],[Column4]]*Table645[[#This Row],[Column94]])</f>
        <v>0</v>
      </c>
      <c r="CS26" s="206" t="str">
        <f>IF(Table645[[#This Row],[Column87]]="","",Table645[[#This Row],[Column87]])</f>
        <v/>
      </c>
      <c r="CT26" s="91" t="str">
        <f>IF(Table645[[#This Row],[Column97]]="","--",Table645[[#This Row],[Column97]]/$CS$3/60/24)</f>
        <v>--</v>
      </c>
      <c r="CU26" s="89">
        <f>IF(Table645[[#This Row],[Column98]]="--",0,Table645[[#This Row],[Column4]]*Table645[[#This Row],[Column98]])</f>
        <v>0</v>
      </c>
      <c r="CV26" s="93"/>
      <c r="CW26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6" s="91" t="str">
        <f>IF(OR(Table645[[#This Row],[Column74]]&gt;0,Table645[[#This Row],[Column87]]&gt;0),(Table645[[#This Row],[Column73]]+Table645[[#This Row],[Column86]]+1)*$CW$3/60/24,"--")</f>
        <v>--</v>
      </c>
      <c r="CY26" s="92">
        <f>IF(Table645[[#This Row],[Column102]]="--",0,Table645[[#This Row],[Column4]]*Table645[[#This Row],[Column102]])</f>
        <v>0</v>
      </c>
      <c r="CZ26" s="158" t="str">
        <f t="shared" si="8"/>
        <v>--</v>
      </c>
      <c r="DA26" s="153"/>
      <c r="DB26" s="160">
        <f>IF(Table645[[#This Row],[Column104]]="--",0,Table645[[#This Row],[Column4]]*Table645[[#This Row],[Column104]])</f>
        <v>0</v>
      </c>
      <c r="DC26" s="116"/>
      <c r="DD26" s="222" t="str">
        <f>IF(DC26=0,"--",1/$DC$3*1000/(60*60*24)*Table645[[#This Row],[Column107]])</f>
        <v>--</v>
      </c>
      <c r="DE26" s="89">
        <f>IF(Table645[[#This Row],[Column108]]="--",0,Table645[[#This Row],[Column4]]*Table645[[#This Row],[Column108]])</f>
        <v>0</v>
      </c>
      <c r="DF26" s="101" t="s">
        <v>70</v>
      </c>
      <c r="DG26" s="91" t="str">
        <f t="shared" si="9"/>
        <v>--</v>
      </c>
      <c r="DH26" s="89">
        <f>IF(Table645[[#This Row],[Column111]]="--",0,Table645[[#This Row],[Column4]]*Table645[[#This Row],[Column111]])</f>
        <v>0</v>
      </c>
      <c r="DI26" s="96"/>
      <c r="DJ26" s="96"/>
      <c r="DK26" s="96"/>
      <c r="DL26" s="96"/>
      <c r="DM26" s="96"/>
      <c r="DN26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6" s="89">
        <f>IF(Table645[[#This Row],[Column118]]="--",0,Table645[[#This Row],[Column4]]*Table645[[#This Row],[Column118]])</f>
        <v>0</v>
      </c>
      <c r="DP26" s="96"/>
      <c r="DQ26" s="96"/>
      <c r="DR26" s="91" t="str">
        <f t="shared" si="10"/>
        <v>--</v>
      </c>
      <c r="DS26" s="89">
        <f>IF(Table645[[#This Row],[Column122]]="--",0,Table645[[#This Row],[Column4]]*Table645[[#This Row],[Column122]])</f>
        <v>0</v>
      </c>
      <c r="DT26" t="str">
        <f>IF(Table645[[#This Row],[Column125]]=0,"--",Table645[[#This Row],[Column125]]*Table645[[#This Row],[Column126]]*Table645[[#This Row],[Column127]]/1000000000)</f>
        <v>--</v>
      </c>
      <c r="DU26" s="53"/>
      <c r="DV26" s="53"/>
      <c r="DW26" s="53"/>
      <c r="DX26" s="91" t="str">
        <f t="shared" si="11"/>
        <v>--</v>
      </c>
      <c r="DY26" s="89">
        <f>IF(Table645[[#This Row],[Column128]]="--",0,Table645[[#This Row],[Column4]]*Table645[[#This Row],[Column128]])</f>
        <v>0</v>
      </c>
      <c r="EA26" s="89">
        <f>IF(Table645[[#This Row],[Column128]]="--",0,Table645[[#This Row],[Column4]]*Table645[[#This Row],[Column128]])</f>
        <v>0</v>
      </c>
      <c r="EC26" s="89">
        <f>IF(Table645[[#This Row],[Column128]]="--",0,Table645[[#This Row],[Column4]]*Table645[[#This Row],[Column128]])</f>
        <v>0</v>
      </c>
      <c r="EE26" s="89">
        <f>IF(Table645[[#This Row],[Column128]]="--",0,Table645[[#This Row],[Column4]]*Table645[[#This Row],[Column128]])</f>
        <v>0</v>
      </c>
      <c r="EG26" s="89">
        <f>IF(Table645[[#This Row],[Column128]]="--",0,Table645[[#This Row],[Column4]]*Table645[[#This Row],[Column128]])</f>
        <v>0</v>
      </c>
      <c r="EI26" s="89">
        <f>IF(Table645[[#This Row],[Column128]]="--",0,Table645[[#This Row],[Column4]]*Table645[[#This Row],[Column128]])</f>
        <v>0</v>
      </c>
    </row>
    <row r="27" spans="1:139" x14ac:dyDescent="0.25">
      <c r="B27" s="79"/>
      <c r="C27" s="140"/>
      <c r="D27" s="167"/>
      <c r="E27" s="52"/>
      <c r="F27" s="81"/>
      <c r="G27" s="81"/>
      <c r="H27" s="82" t="str">
        <f t="shared" si="0"/>
        <v>--</v>
      </c>
      <c r="I27" s="100">
        <f>IF(Table645[[#This Row],[Column8]]="--",0,Table645[[#This Row],[Column4]]*Table645[[#This Row],[Column8]])</f>
        <v>0</v>
      </c>
      <c r="J27" s="169"/>
      <c r="K27" s="85">
        <f>Table645[[#This Row],[Column4]]*Table645[[#This Row],[Column10]]</f>
        <v>0</v>
      </c>
      <c r="L27" s="170" t="str">
        <f t="shared" si="1"/>
        <v>--</v>
      </c>
      <c r="M27" s="85">
        <f>IF(Table645[[#This Row],[Column10]]=0,0,Table645[[#This Row],[Column4]]*Table645[[#This Row],[Column12]])</f>
        <v>0</v>
      </c>
      <c r="N27" s="87" t="str">
        <f t="shared" si="2"/>
        <v>--</v>
      </c>
      <c r="O27" s="138" t="str">
        <f>IF(SUM(Table645[[#This Row],[Column17]:[Column51]])=0,"--",SUM(Table645[[#This Row],[Column17]:[Column51]]))</f>
        <v>--</v>
      </c>
      <c r="AZ27" s="89">
        <f>IF(Table645[[#This Row],[Column14]]="--",0,Table645[[#This Row],[Column4]]*Table645[[#This Row],[Column14]])</f>
        <v>0</v>
      </c>
      <c r="BA27" s="90"/>
      <c r="BB27" s="91" t="str">
        <f>IF(BA27=0,"--",BA27*$BA$3*IF(Table645[[#This Row],[Column5]]&lt;4.1,1,2)/60/24)</f>
        <v>--</v>
      </c>
      <c r="BC27" s="92">
        <f>IF(Table645[[#This Row],[Column54]]="--",0,Table645[[#This Row],[Column4]]*Table645[[#This Row],[Column54]])</f>
        <v>0</v>
      </c>
      <c r="BD27" s="119"/>
      <c r="BE27" s="99"/>
      <c r="BF27" s="119"/>
      <c r="BG27" s="91" t="str">
        <f>IF(BD27+Table645[[#This Row],[Column58]]=0,"--",(BD27*$BF$3*Table645[[#This Row],[Column57]]+Table645[[#This Row],[Column58]]*$BF$4)/60/24)</f>
        <v>--</v>
      </c>
      <c r="BH27" s="92">
        <f>IF(Table645[[#This Row],[Column59]]="--",0,Table645[[#This Row],[Column4]]*Table645[[#This Row],[Column59]])</f>
        <v>0</v>
      </c>
      <c r="BI27" s="93"/>
      <c r="BJ27" s="91" t="str">
        <f t="shared" si="4"/>
        <v>--</v>
      </c>
      <c r="BK27" s="89">
        <f>IF(Table645[[#This Row],[Column62]]="--",0,Table645[[#This Row],[Column4]]*Table645[[#This Row],[Column62]])</f>
        <v>0</v>
      </c>
      <c r="BL27" s="93"/>
      <c r="BM27" s="91" t="str">
        <f t="shared" si="3"/>
        <v>--</v>
      </c>
      <c r="BN27" s="89">
        <f>IF(Table645[[#This Row],[Column65]]="--",0,Table645[[#This Row],[Column4]]*Table645[[#This Row],[Column65]])</f>
        <v>0</v>
      </c>
      <c r="BO27" s="163"/>
      <c r="BP27" s="164" t="str">
        <f t="shared" si="5"/>
        <v>--</v>
      </c>
      <c r="BQ27" s="160">
        <f>IF(Table645[[#This Row],[Column68]]="--",0,Table645[[#This Row],[Column4]]*Table645[[#This Row],[Column68]])</f>
        <v>0</v>
      </c>
      <c r="BR27" s="94"/>
      <c r="BS27" s="91" t="str">
        <f t="shared" si="6"/>
        <v>--</v>
      </c>
      <c r="BT27" s="92">
        <f>IF(Table645[[#This Row],[Column71]]="--",0,Table645[[#This Row],[Column4]]*Table645[[#This Row],[Column71]])</f>
        <v>0</v>
      </c>
      <c r="BU27" s="44"/>
      <c r="BV27" s="90"/>
      <c r="BW27" s="91" t="str">
        <f>IF(BV27=0,"--",(Table645[[#This Row],[Column73]]*$BV$4*(IF(J27&lt;0.5001,1,IF(J27&lt;2.0001,2,3)))+BV27/$BV$3)/60/24)</f>
        <v>--</v>
      </c>
      <c r="BX27" s="92">
        <f>IF(Table645[[#This Row],[Column75]]="--",0,Table645[[#This Row],[Column4]]*Table645[[#This Row],[Column75]])</f>
        <v>0</v>
      </c>
      <c r="BY27" s="95" t="s">
        <v>70</v>
      </c>
      <c r="BZ27" s="91" t="str">
        <f>IF(Table645[[#This Row],[Column74]]=0,"--",BW27*$BY$3)</f>
        <v>--</v>
      </c>
      <c r="CA27" s="89">
        <f>IF(Table645[[#This Row],[Column78]]="--",0,Table645[[#This Row],[Column4]]*Table645[[#This Row],[Column78]])</f>
        <v>0</v>
      </c>
      <c r="CB27" s="95" t="s">
        <v>70</v>
      </c>
      <c r="CC27" s="91" t="str">
        <f>IF(Table645[[#This Row],[Column10]]+Table645[[#This Row],[Column74]]=0,"--",J27*$CB$4*$CB$5/(24*60)+IF(Table645[[#This Row],[Column74]]=0,0,$CB$3*Table645[[#This Row],[Column75]]))</f>
        <v>--</v>
      </c>
      <c r="CD27" s="92">
        <f>IF(Table645[[#This Row],[Column81]]="--",0,Table645[[#This Row],[Column4]]*Table645[[#This Row],[Column81]])</f>
        <v>0</v>
      </c>
      <c r="CE27" s="94"/>
      <c r="CF27" s="91" t="str">
        <f t="shared" si="7"/>
        <v>--</v>
      </c>
      <c r="CG27" s="92">
        <f>IF(Table645[[#This Row],[Column84]]="--",0,Table645[[#This Row],[Column4]]*Table645[[#This Row],[Column84]])</f>
        <v>0</v>
      </c>
      <c r="CH27" s="226"/>
      <c r="CI27" s="90"/>
      <c r="CJ27" s="91" t="str">
        <f>IF(CI27=0,"--",(Table645[[#This Row],[Column86]]*$CI$4*(IF(W27&lt;0.5001,1,IF(W27&lt;2.0001,2,3)))+CI27/$CI$3)/60/24)</f>
        <v>--</v>
      </c>
      <c r="CK27" s="92">
        <f>IF(Table645[[#This Row],[Column88]]="--",0,Table645[[#This Row],[Column4]]*Table645[[#This Row],[Column88]])</f>
        <v>0</v>
      </c>
      <c r="CL27" s="95" t="s">
        <v>70</v>
      </c>
      <c r="CM27" s="91" t="str">
        <f>IF(Table645[[#This Row],[Column87]]=0,"--",CJ27*$CL$3)</f>
        <v>--</v>
      </c>
      <c r="CN27" s="89">
        <f>IF(Table645[[#This Row],[Column91]]="--",0,Table645[[#This Row],[Column4]]*Table645[[#This Row],[Column91]])</f>
        <v>0</v>
      </c>
      <c r="CO27" s="95" t="s">
        <v>70</v>
      </c>
      <c r="CP27" s="91" t="str">
        <f>IF(Table645[[#This Row],[Column10]]+Table645[[#This Row],[Column87]]=0, "--", IF($D27="", 1, $D27) * IF($J27="", 1, $J27) * $CO$3 * $CO$4 * IF(Table645[[#This Row],[Column95]]="", 1, Table645[[#This Row],[Column95]]) / (24 * 60))</f>
        <v>--</v>
      </c>
      <c r="CQ27" s="153"/>
      <c r="CR27" s="92">
        <f>IF(Table645[[#This Row],[Column94]]="--",0,Table645[[#This Row],[Column4]]*Table645[[#This Row],[Column94]])</f>
        <v>0</v>
      </c>
      <c r="CS27" s="206" t="str">
        <f>IF(Table645[[#This Row],[Column87]]="","",Table645[[#This Row],[Column87]])</f>
        <v/>
      </c>
      <c r="CT27" s="91" t="str">
        <f>IF(Table645[[#This Row],[Column97]]="","--",Table645[[#This Row],[Column97]]/$CS$3/60/24)</f>
        <v>--</v>
      </c>
      <c r="CU27" s="89">
        <f>IF(Table645[[#This Row],[Column98]]="--",0,Table645[[#This Row],[Column4]]*Table645[[#This Row],[Column98]])</f>
        <v>0</v>
      </c>
      <c r="CV27" s="93"/>
      <c r="CW27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7" s="91" t="str">
        <f>IF(OR(Table645[[#This Row],[Column74]]&gt;0,Table645[[#This Row],[Column87]]&gt;0),(Table645[[#This Row],[Column73]]+Table645[[#This Row],[Column86]]+1)*$CW$3/60/24,"--")</f>
        <v>--</v>
      </c>
      <c r="CY27" s="92">
        <f>IF(Table645[[#This Row],[Column102]]="--",0,Table645[[#This Row],[Column4]]*Table645[[#This Row],[Column102]])</f>
        <v>0</v>
      </c>
      <c r="CZ27" s="158" t="str">
        <f t="shared" si="8"/>
        <v>--</v>
      </c>
      <c r="DA27" s="153"/>
      <c r="DB27" s="160">
        <f>IF(Table645[[#This Row],[Column104]]="--",0,Table645[[#This Row],[Column4]]*Table645[[#This Row],[Column104]])</f>
        <v>0</v>
      </c>
      <c r="DC27" s="116"/>
      <c r="DD27" s="222" t="str">
        <f>IF(DC27=0,"--",1/$DC$3*1000/(60*60*24)*Table645[[#This Row],[Column107]])</f>
        <v>--</v>
      </c>
      <c r="DE27" s="89">
        <f>IF(Table645[[#This Row],[Column108]]="--",0,Table645[[#This Row],[Column4]]*Table645[[#This Row],[Column108]])</f>
        <v>0</v>
      </c>
      <c r="DF27" s="101" t="s">
        <v>70</v>
      </c>
      <c r="DG27" s="91" t="str">
        <f t="shared" si="9"/>
        <v>--</v>
      </c>
      <c r="DH27" s="89">
        <f>IF(Table645[[#This Row],[Column111]]="--",0,Table645[[#This Row],[Column4]]*Table645[[#This Row],[Column111]])</f>
        <v>0</v>
      </c>
      <c r="DI27" s="96"/>
      <c r="DJ27" s="96"/>
      <c r="DK27" s="96"/>
      <c r="DL27" s="96"/>
      <c r="DM27" s="96"/>
      <c r="DN27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7" s="89">
        <f>IF(Table645[[#This Row],[Column118]]="--",0,Table645[[#This Row],[Column4]]*Table645[[#This Row],[Column118]])</f>
        <v>0</v>
      </c>
      <c r="DP27" s="96"/>
      <c r="DQ27" s="96"/>
      <c r="DR27" s="91" t="str">
        <f t="shared" si="10"/>
        <v>--</v>
      </c>
      <c r="DS27" s="89">
        <f>IF(Table645[[#This Row],[Column122]]="--",0,Table645[[#This Row],[Column4]]*Table645[[#This Row],[Column122]])</f>
        <v>0</v>
      </c>
      <c r="DT27" t="str">
        <f>IF(Table645[[#This Row],[Column125]]=0,"--",Table645[[#This Row],[Column125]]*Table645[[#This Row],[Column126]]*Table645[[#This Row],[Column127]]/1000000000)</f>
        <v>--</v>
      </c>
      <c r="DU27" s="53"/>
      <c r="DV27" s="53"/>
      <c r="DW27" s="53"/>
      <c r="DX27" s="91" t="str">
        <f t="shared" si="11"/>
        <v>--</v>
      </c>
      <c r="DY27" s="89">
        <f>IF(Table645[[#This Row],[Column128]]="--",0,Table645[[#This Row],[Column4]]*Table645[[#This Row],[Column128]])</f>
        <v>0</v>
      </c>
      <c r="EA27" s="89">
        <f>IF(Table645[[#This Row],[Column128]]="--",0,Table645[[#This Row],[Column4]]*Table645[[#This Row],[Column128]])</f>
        <v>0</v>
      </c>
      <c r="EC27" s="89">
        <f>IF(Table645[[#This Row],[Column128]]="--",0,Table645[[#This Row],[Column4]]*Table645[[#This Row],[Column128]])</f>
        <v>0</v>
      </c>
      <c r="EE27" s="89">
        <f>IF(Table645[[#This Row],[Column128]]="--",0,Table645[[#This Row],[Column4]]*Table645[[#This Row],[Column128]])</f>
        <v>0</v>
      </c>
      <c r="EG27" s="89">
        <f>IF(Table645[[#This Row],[Column128]]="--",0,Table645[[#This Row],[Column4]]*Table645[[#This Row],[Column128]])</f>
        <v>0</v>
      </c>
      <c r="EI27" s="89">
        <f>IF(Table645[[#This Row],[Column128]]="--",0,Table645[[#This Row],[Column4]]*Table645[[#This Row],[Column128]])</f>
        <v>0</v>
      </c>
    </row>
    <row r="28" spans="1:139" x14ac:dyDescent="0.25">
      <c r="B28" s="79"/>
      <c r="C28" s="140"/>
      <c r="D28" s="167"/>
      <c r="E28" s="52"/>
      <c r="F28" s="81"/>
      <c r="G28" s="81"/>
      <c r="H28" s="82" t="str">
        <f t="shared" si="0"/>
        <v>--</v>
      </c>
      <c r="I28" s="100">
        <f>IF(Table645[[#This Row],[Column8]]="--",0,Table645[[#This Row],[Column4]]*Table645[[#This Row],[Column8]])</f>
        <v>0</v>
      </c>
      <c r="J28" s="169"/>
      <c r="K28" s="85">
        <f>Table645[[#This Row],[Column4]]*Table645[[#This Row],[Column10]]</f>
        <v>0</v>
      </c>
      <c r="L28" s="170" t="str">
        <f t="shared" si="1"/>
        <v>--</v>
      </c>
      <c r="M28" s="85">
        <f>IF(Table645[[#This Row],[Column10]]=0,0,Table645[[#This Row],[Column4]]*Table645[[#This Row],[Column12]])</f>
        <v>0</v>
      </c>
      <c r="N28" s="87" t="str">
        <f t="shared" si="2"/>
        <v>--</v>
      </c>
      <c r="O28" s="138" t="str">
        <f>IF(SUM(Table645[[#This Row],[Column17]:[Column51]])=0,"--",SUM(Table645[[#This Row],[Column17]:[Column51]]))</f>
        <v>--</v>
      </c>
      <c r="AZ28" s="89">
        <f>IF(Table645[[#This Row],[Column14]]="--",0,Table645[[#This Row],[Column4]]*Table645[[#This Row],[Column14]])</f>
        <v>0</v>
      </c>
      <c r="BA28" s="90"/>
      <c r="BB28" s="91" t="str">
        <f>IF(BA28=0,"--",BA28*$BA$3*IF(Table645[[#This Row],[Column5]]&lt;4.1,1,2)/60/24)</f>
        <v>--</v>
      </c>
      <c r="BC28" s="92">
        <f>IF(Table645[[#This Row],[Column54]]="--",0,Table645[[#This Row],[Column4]]*Table645[[#This Row],[Column54]])</f>
        <v>0</v>
      </c>
      <c r="BD28" s="119"/>
      <c r="BE28" s="99"/>
      <c r="BF28" s="119"/>
      <c r="BG28" s="91" t="str">
        <f>IF(BD28+Table645[[#This Row],[Column58]]=0,"--",(BD28*$BF$3*Table645[[#This Row],[Column57]]+Table645[[#This Row],[Column58]]*$BF$4)/60/24)</f>
        <v>--</v>
      </c>
      <c r="BH28" s="92">
        <f>IF(Table645[[#This Row],[Column59]]="--",0,Table645[[#This Row],[Column4]]*Table645[[#This Row],[Column59]])</f>
        <v>0</v>
      </c>
      <c r="BI28" s="93"/>
      <c r="BJ28" s="91" t="str">
        <f t="shared" si="4"/>
        <v>--</v>
      </c>
      <c r="BK28" s="89">
        <f>IF(Table645[[#This Row],[Column62]]="--",0,Table645[[#This Row],[Column4]]*Table645[[#This Row],[Column62]])</f>
        <v>0</v>
      </c>
      <c r="BL28" s="93"/>
      <c r="BM28" s="91" t="str">
        <f t="shared" si="3"/>
        <v>--</v>
      </c>
      <c r="BN28" s="89">
        <f>IF(Table645[[#This Row],[Column65]]="--",0,Table645[[#This Row],[Column4]]*Table645[[#This Row],[Column65]])</f>
        <v>0</v>
      </c>
      <c r="BO28" s="163"/>
      <c r="BP28" s="164" t="str">
        <f t="shared" si="5"/>
        <v>--</v>
      </c>
      <c r="BQ28" s="160">
        <f>IF(Table645[[#This Row],[Column68]]="--",0,Table645[[#This Row],[Column4]]*Table645[[#This Row],[Column68]])</f>
        <v>0</v>
      </c>
      <c r="BR28" s="94"/>
      <c r="BS28" s="91" t="str">
        <f t="shared" si="6"/>
        <v>--</v>
      </c>
      <c r="BT28" s="92">
        <f>IF(Table645[[#This Row],[Column71]]="--",0,Table645[[#This Row],[Column4]]*Table645[[#This Row],[Column71]])</f>
        <v>0</v>
      </c>
      <c r="BU28" s="44"/>
      <c r="BV28" s="90"/>
      <c r="BW28" s="91" t="str">
        <f>IF(BV28=0,"--",(Table645[[#This Row],[Column73]]*$BV$4*(IF(J28&lt;0.5001,1,IF(J28&lt;2.0001,2,3)))+BV28/$BV$3)/60/24)</f>
        <v>--</v>
      </c>
      <c r="BX28" s="92">
        <f>IF(Table645[[#This Row],[Column75]]="--",0,Table645[[#This Row],[Column4]]*Table645[[#This Row],[Column75]])</f>
        <v>0</v>
      </c>
      <c r="BY28" s="95" t="s">
        <v>70</v>
      </c>
      <c r="BZ28" s="91" t="str">
        <f>IF(Table645[[#This Row],[Column74]]=0,"--",BW28*$BY$3)</f>
        <v>--</v>
      </c>
      <c r="CA28" s="89">
        <f>IF(Table645[[#This Row],[Column78]]="--",0,Table645[[#This Row],[Column4]]*Table645[[#This Row],[Column78]])</f>
        <v>0</v>
      </c>
      <c r="CB28" s="95" t="s">
        <v>70</v>
      </c>
      <c r="CC28" s="91" t="str">
        <f>IF(Table645[[#This Row],[Column10]]+Table645[[#This Row],[Column74]]=0,"--",J28*$CB$4*$CB$5/(24*60)+IF(Table645[[#This Row],[Column74]]=0,0,$CB$3*Table645[[#This Row],[Column75]]))</f>
        <v>--</v>
      </c>
      <c r="CD28" s="92">
        <f>IF(Table645[[#This Row],[Column81]]="--",0,Table645[[#This Row],[Column4]]*Table645[[#This Row],[Column81]])</f>
        <v>0</v>
      </c>
      <c r="CE28" s="94"/>
      <c r="CF28" s="91" t="str">
        <f t="shared" si="7"/>
        <v>--</v>
      </c>
      <c r="CG28" s="92">
        <f>IF(Table645[[#This Row],[Column84]]="--",0,Table645[[#This Row],[Column4]]*Table645[[#This Row],[Column84]])</f>
        <v>0</v>
      </c>
      <c r="CH28" s="226"/>
      <c r="CI28" s="90"/>
      <c r="CJ28" s="91" t="str">
        <f>IF(CI28=0,"--",(Table645[[#This Row],[Column86]]*$CI$4*(IF(W28&lt;0.5001,1,IF(W28&lt;2.0001,2,3)))+CI28/$CI$3)/60/24)</f>
        <v>--</v>
      </c>
      <c r="CK28" s="92">
        <f>IF(Table645[[#This Row],[Column88]]="--",0,Table645[[#This Row],[Column4]]*Table645[[#This Row],[Column88]])</f>
        <v>0</v>
      </c>
      <c r="CL28" s="95" t="s">
        <v>70</v>
      </c>
      <c r="CM28" s="91" t="str">
        <f>IF(Table645[[#This Row],[Column87]]=0,"--",CJ28*$CL$3)</f>
        <v>--</v>
      </c>
      <c r="CN28" s="89">
        <f>IF(Table645[[#This Row],[Column91]]="--",0,Table645[[#This Row],[Column4]]*Table645[[#This Row],[Column91]])</f>
        <v>0</v>
      </c>
      <c r="CO28" s="95" t="s">
        <v>70</v>
      </c>
      <c r="CP28" s="91" t="str">
        <f>IF(Table645[[#This Row],[Column10]]+Table645[[#This Row],[Column87]]=0, "--", IF($D28="", 1, $D28) * IF($J28="", 1, $J28) * $CO$3 * $CO$4 * IF(Table645[[#This Row],[Column95]]="", 1, Table645[[#This Row],[Column95]]) / (24 * 60))</f>
        <v>--</v>
      </c>
      <c r="CQ28" s="153"/>
      <c r="CR28" s="92">
        <f>IF(Table645[[#This Row],[Column94]]="--",0,Table645[[#This Row],[Column4]]*Table645[[#This Row],[Column94]])</f>
        <v>0</v>
      </c>
      <c r="CS28" s="206" t="str">
        <f>IF(Table645[[#This Row],[Column87]]="","",Table645[[#This Row],[Column87]])</f>
        <v/>
      </c>
      <c r="CT28" s="91" t="str">
        <f>IF(Table645[[#This Row],[Column97]]="","--",Table645[[#This Row],[Column97]]/$CS$3/60/24)</f>
        <v>--</v>
      </c>
      <c r="CU28" s="89">
        <f>IF(Table645[[#This Row],[Column98]]="--",0,Table645[[#This Row],[Column4]]*Table645[[#This Row],[Column98]])</f>
        <v>0</v>
      </c>
      <c r="CV28" s="93"/>
      <c r="CW28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8" s="91" t="str">
        <f>IF(OR(Table645[[#This Row],[Column74]]&gt;0,Table645[[#This Row],[Column87]]&gt;0),(Table645[[#This Row],[Column73]]+Table645[[#This Row],[Column86]]+1)*$CW$3/60/24,"--")</f>
        <v>--</v>
      </c>
      <c r="CY28" s="92">
        <f>IF(Table645[[#This Row],[Column102]]="--",0,Table645[[#This Row],[Column4]]*Table645[[#This Row],[Column102]])</f>
        <v>0</v>
      </c>
      <c r="CZ28" s="158" t="str">
        <f t="shared" si="8"/>
        <v>--</v>
      </c>
      <c r="DA28" s="153"/>
      <c r="DB28" s="160">
        <f>IF(Table645[[#This Row],[Column104]]="--",0,Table645[[#This Row],[Column4]]*Table645[[#This Row],[Column104]])</f>
        <v>0</v>
      </c>
      <c r="DC28" s="116"/>
      <c r="DD28" s="222" t="str">
        <f>IF(DC28=0,"--",1/$DC$3*1000/(60*60*24)*Table645[[#This Row],[Column107]])</f>
        <v>--</v>
      </c>
      <c r="DE28" s="89">
        <f>IF(Table645[[#This Row],[Column108]]="--",0,Table645[[#This Row],[Column4]]*Table645[[#This Row],[Column108]])</f>
        <v>0</v>
      </c>
      <c r="DF28" s="101" t="s">
        <v>70</v>
      </c>
      <c r="DG28" s="91" t="str">
        <f t="shared" si="9"/>
        <v>--</v>
      </c>
      <c r="DH28" s="89">
        <f>IF(Table645[[#This Row],[Column111]]="--",0,Table645[[#This Row],[Column4]]*Table645[[#This Row],[Column111]])</f>
        <v>0</v>
      </c>
      <c r="DI28" s="96"/>
      <c r="DJ28" s="96"/>
      <c r="DK28" s="96"/>
      <c r="DL28" s="96"/>
      <c r="DM28" s="96"/>
      <c r="DN28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8" s="89">
        <f>IF(Table645[[#This Row],[Column118]]="--",0,Table645[[#This Row],[Column4]]*Table645[[#This Row],[Column118]])</f>
        <v>0</v>
      </c>
      <c r="DP28" s="96"/>
      <c r="DQ28" s="96"/>
      <c r="DR28" s="91" t="str">
        <f t="shared" si="10"/>
        <v>--</v>
      </c>
      <c r="DS28" s="89">
        <f>IF(Table645[[#This Row],[Column122]]="--",0,Table645[[#This Row],[Column4]]*Table645[[#This Row],[Column122]])</f>
        <v>0</v>
      </c>
      <c r="DT28" t="str">
        <f>IF(Table645[[#This Row],[Column125]]=0,"--",Table645[[#This Row],[Column125]]*Table645[[#This Row],[Column126]]*Table645[[#This Row],[Column127]]/1000000000)</f>
        <v>--</v>
      </c>
      <c r="DU28" s="53"/>
      <c r="DV28" s="53"/>
      <c r="DW28" s="53"/>
      <c r="DX28" s="91" t="str">
        <f t="shared" si="11"/>
        <v>--</v>
      </c>
      <c r="DY28" s="89">
        <f>IF(Table645[[#This Row],[Column128]]="--",0,Table645[[#This Row],[Column4]]*Table645[[#This Row],[Column128]])</f>
        <v>0</v>
      </c>
      <c r="EA28" s="89">
        <f>IF(Table645[[#This Row],[Column128]]="--",0,Table645[[#This Row],[Column4]]*Table645[[#This Row],[Column128]])</f>
        <v>0</v>
      </c>
      <c r="EC28" s="89">
        <f>IF(Table645[[#This Row],[Column128]]="--",0,Table645[[#This Row],[Column4]]*Table645[[#This Row],[Column128]])</f>
        <v>0</v>
      </c>
      <c r="EE28" s="89">
        <f>IF(Table645[[#This Row],[Column128]]="--",0,Table645[[#This Row],[Column4]]*Table645[[#This Row],[Column128]])</f>
        <v>0</v>
      </c>
      <c r="EG28" s="89">
        <f>IF(Table645[[#This Row],[Column128]]="--",0,Table645[[#This Row],[Column4]]*Table645[[#This Row],[Column128]])</f>
        <v>0</v>
      </c>
      <c r="EI28" s="89">
        <f>IF(Table645[[#This Row],[Column128]]="--",0,Table645[[#This Row],[Column4]]*Table645[[#This Row],[Column128]])</f>
        <v>0</v>
      </c>
    </row>
    <row r="29" spans="1:139" x14ac:dyDescent="0.25">
      <c r="B29" s="79"/>
      <c r="C29" s="140"/>
      <c r="D29" s="167"/>
      <c r="E29" s="52"/>
      <c r="F29" s="81"/>
      <c r="G29" s="81"/>
      <c r="H29" s="82" t="str">
        <f t="shared" si="0"/>
        <v>--</v>
      </c>
      <c r="I29" s="100">
        <f>IF(Table645[[#This Row],[Column8]]="--",0,Table645[[#This Row],[Column4]]*Table645[[#This Row],[Column8]])</f>
        <v>0</v>
      </c>
      <c r="J29" s="169"/>
      <c r="K29" s="85">
        <f>Table645[[#This Row],[Column4]]*Table645[[#This Row],[Column10]]</f>
        <v>0</v>
      </c>
      <c r="L29" s="170" t="str">
        <f t="shared" si="1"/>
        <v>--</v>
      </c>
      <c r="M29" s="85">
        <f>IF(Table645[[#This Row],[Column10]]=0,0,Table645[[#This Row],[Column4]]*Table645[[#This Row],[Column12]])</f>
        <v>0</v>
      </c>
      <c r="N29" s="87" t="str">
        <f t="shared" si="2"/>
        <v>--</v>
      </c>
      <c r="O29" s="138" t="str">
        <f>IF(SUM(Table645[[#This Row],[Column17]:[Column51]])=0,"--",SUM(Table645[[#This Row],[Column17]:[Column51]]))</f>
        <v>--</v>
      </c>
      <c r="AZ29" s="89">
        <f>IF(Table645[[#This Row],[Column14]]="--",0,Table645[[#This Row],[Column4]]*Table645[[#This Row],[Column14]])</f>
        <v>0</v>
      </c>
      <c r="BA29" s="90"/>
      <c r="BB29" s="91" t="str">
        <f>IF(BA29=0,"--",BA29*$BA$3*IF(Table645[[#This Row],[Column5]]&lt;4.1,1,2)/60/24)</f>
        <v>--</v>
      </c>
      <c r="BC29" s="92">
        <f>IF(Table645[[#This Row],[Column54]]="--",0,Table645[[#This Row],[Column4]]*Table645[[#This Row],[Column54]])</f>
        <v>0</v>
      </c>
      <c r="BD29" s="119"/>
      <c r="BE29" s="99"/>
      <c r="BF29" s="119"/>
      <c r="BG29" s="91" t="str">
        <f>IF(BD29+Table645[[#This Row],[Column58]]=0,"--",(BD29*$BF$3*Table645[[#This Row],[Column57]]+Table645[[#This Row],[Column58]]*$BF$4)/60/24)</f>
        <v>--</v>
      </c>
      <c r="BH29" s="92">
        <f>IF(Table645[[#This Row],[Column59]]="--",0,Table645[[#This Row],[Column4]]*Table645[[#This Row],[Column59]])</f>
        <v>0</v>
      </c>
      <c r="BI29" s="93"/>
      <c r="BJ29" s="91" t="str">
        <f t="shared" si="4"/>
        <v>--</v>
      </c>
      <c r="BK29" s="89">
        <f>IF(Table645[[#This Row],[Column62]]="--",0,Table645[[#This Row],[Column4]]*Table645[[#This Row],[Column62]])</f>
        <v>0</v>
      </c>
      <c r="BL29" s="93"/>
      <c r="BM29" s="91" t="str">
        <f t="shared" si="3"/>
        <v>--</v>
      </c>
      <c r="BN29" s="89">
        <f>IF(Table645[[#This Row],[Column65]]="--",0,Table645[[#This Row],[Column4]]*Table645[[#This Row],[Column65]])</f>
        <v>0</v>
      </c>
      <c r="BO29" s="163"/>
      <c r="BP29" s="164" t="str">
        <f t="shared" si="5"/>
        <v>--</v>
      </c>
      <c r="BQ29" s="160">
        <f>IF(Table645[[#This Row],[Column68]]="--",0,Table645[[#This Row],[Column4]]*Table645[[#This Row],[Column68]])</f>
        <v>0</v>
      </c>
      <c r="BR29" s="94"/>
      <c r="BS29" s="91" t="str">
        <f t="shared" si="6"/>
        <v>--</v>
      </c>
      <c r="BT29" s="92">
        <f>IF(Table645[[#This Row],[Column71]]="--",0,Table645[[#This Row],[Column4]]*Table645[[#This Row],[Column71]])</f>
        <v>0</v>
      </c>
      <c r="BU29" s="44"/>
      <c r="BV29" s="90"/>
      <c r="BW29" s="91" t="str">
        <f>IF(BV29=0,"--",(Table645[[#This Row],[Column73]]*$BV$4*(IF(J29&lt;0.5001,1,IF(J29&lt;2.0001,2,3)))+BV29/$BV$3)/60/24)</f>
        <v>--</v>
      </c>
      <c r="BX29" s="92">
        <f>IF(Table645[[#This Row],[Column75]]="--",0,Table645[[#This Row],[Column4]]*Table645[[#This Row],[Column75]])</f>
        <v>0</v>
      </c>
      <c r="BY29" s="95" t="s">
        <v>70</v>
      </c>
      <c r="BZ29" s="91" t="str">
        <f>IF(Table645[[#This Row],[Column74]]=0,"--",BW29*$BY$3)</f>
        <v>--</v>
      </c>
      <c r="CA29" s="89">
        <f>IF(Table645[[#This Row],[Column78]]="--",0,Table645[[#This Row],[Column4]]*Table645[[#This Row],[Column78]])</f>
        <v>0</v>
      </c>
      <c r="CB29" s="95" t="s">
        <v>70</v>
      </c>
      <c r="CC29" s="91" t="str">
        <f>IF(Table645[[#This Row],[Column10]]+Table645[[#This Row],[Column74]]=0,"--",J29*$CB$4*$CB$5/(24*60)+IF(Table645[[#This Row],[Column74]]=0,0,$CB$3*Table645[[#This Row],[Column75]]))</f>
        <v>--</v>
      </c>
      <c r="CD29" s="92">
        <f>IF(Table645[[#This Row],[Column81]]="--",0,Table645[[#This Row],[Column4]]*Table645[[#This Row],[Column81]])</f>
        <v>0</v>
      </c>
      <c r="CE29" s="94"/>
      <c r="CF29" s="91" t="str">
        <f t="shared" si="7"/>
        <v>--</v>
      </c>
      <c r="CG29" s="92">
        <f>IF(Table645[[#This Row],[Column84]]="--",0,Table645[[#This Row],[Column4]]*Table645[[#This Row],[Column84]])</f>
        <v>0</v>
      </c>
      <c r="CH29" s="226"/>
      <c r="CI29" s="90"/>
      <c r="CJ29" s="91" t="str">
        <f>IF(CI29=0,"--",(Table645[[#This Row],[Column86]]*$CI$4*(IF(W29&lt;0.5001,1,IF(W29&lt;2.0001,2,3)))+CI29/$CI$3)/60/24)</f>
        <v>--</v>
      </c>
      <c r="CK29" s="92">
        <f>IF(Table645[[#This Row],[Column88]]="--",0,Table645[[#This Row],[Column4]]*Table645[[#This Row],[Column88]])</f>
        <v>0</v>
      </c>
      <c r="CL29" s="95" t="s">
        <v>70</v>
      </c>
      <c r="CM29" s="91" t="str">
        <f>IF(Table645[[#This Row],[Column87]]=0,"--",CJ29*$CL$3)</f>
        <v>--</v>
      </c>
      <c r="CN29" s="89">
        <f>IF(Table645[[#This Row],[Column91]]="--",0,Table645[[#This Row],[Column4]]*Table645[[#This Row],[Column91]])</f>
        <v>0</v>
      </c>
      <c r="CO29" s="95" t="s">
        <v>70</v>
      </c>
      <c r="CP29" s="91" t="str">
        <f>IF(Table645[[#This Row],[Column10]]+Table645[[#This Row],[Column87]]=0, "--", IF($D29="", 1, $D29) * IF($J29="", 1, $J29) * $CO$3 * $CO$4 * IF(Table645[[#This Row],[Column95]]="", 1, Table645[[#This Row],[Column95]]) / (24 * 60))</f>
        <v>--</v>
      </c>
      <c r="CQ29" s="153"/>
      <c r="CR29" s="92">
        <f>IF(Table645[[#This Row],[Column94]]="--",0,Table645[[#This Row],[Column4]]*Table645[[#This Row],[Column94]])</f>
        <v>0</v>
      </c>
      <c r="CS29" s="206" t="str">
        <f>IF(Table645[[#This Row],[Column87]]="","",Table645[[#This Row],[Column87]])</f>
        <v/>
      </c>
      <c r="CT29" s="91" t="str">
        <f>IF(Table645[[#This Row],[Column97]]="","--",Table645[[#This Row],[Column97]]/$CS$3/60/24)</f>
        <v>--</v>
      </c>
      <c r="CU29" s="89">
        <f>IF(Table645[[#This Row],[Column98]]="--",0,Table645[[#This Row],[Column4]]*Table645[[#This Row],[Column98]])</f>
        <v>0</v>
      </c>
      <c r="CV29" s="93"/>
      <c r="CW29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9" s="91" t="str">
        <f>IF(OR(Table645[[#This Row],[Column74]]&gt;0,Table645[[#This Row],[Column87]]&gt;0),(Table645[[#This Row],[Column73]]+Table645[[#This Row],[Column86]]+1)*$CW$3/60/24,"--")</f>
        <v>--</v>
      </c>
      <c r="CY29" s="92">
        <f>IF(Table645[[#This Row],[Column102]]="--",0,Table645[[#This Row],[Column4]]*Table645[[#This Row],[Column102]])</f>
        <v>0</v>
      </c>
      <c r="CZ29" s="158" t="str">
        <f t="shared" si="8"/>
        <v>--</v>
      </c>
      <c r="DA29" s="153"/>
      <c r="DB29" s="160">
        <f>IF(Table645[[#This Row],[Column104]]="--",0,Table645[[#This Row],[Column4]]*Table645[[#This Row],[Column104]])</f>
        <v>0</v>
      </c>
      <c r="DC29" s="116"/>
      <c r="DD29" s="222" t="str">
        <f>IF(DC29=0,"--",1/$DC$3*1000/(60*60*24)*Table645[[#This Row],[Column107]])</f>
        <v>--</v>
      </c>
      <c r="DE29" s="89">
        <f>IF(Table645[[#This Row],[Column108]]="--",0,Table645[[#This Row],[Column4]]*Table645[[#This Row],[Column108]])</f>
        <v>0</v>
      </c>
      <c r="DF29" s="101" t="s">
        <v>70</v>
      </c>
      <c r="DG29" s="91" t="str">
        <f t="shared" si="9"/>
        <v>--</v>
      </c>
      <c r="DH29" s="89">
        <f>IF(Table645[[#This Row],[Column111]]="--",0,Table645[[#This Row],[Column4]]*Table645[[#This Row],[Column111]])</f>
        <v>0</v>
      </c>
      <c r="DI29" s="96"/>
      <c r="DJ29" s="96"/>
      <c r="DK29" s="96"/>
      <c r="DL29" s="96"/>
      <c r="DM29" s="96"/>
      <c r="DN29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9" s="89">
        <f>IF(Table645[[#This Row],[Column118]]="--",0,Table645[[#This Row],[Column4]]*Table645[[#This Row],[Column118]])</f>
        <v>0</v>
      </c>
      <c r="DP29" s="96"/>
      <c r="DQ29" s="96"/>
      <c r="DR29" s="91" t="str">
        <f t="shared" si="10"/>
        <v>--</v>
      </c>
      <c r="DS29" s="89">
        <f>IF(Table645[[#This Row],[Column122]]="--",0,Table645[[#This Row],[Column4]]*Table645[[#This Row],[Column122]])</f>
        <v>0</v>
      </c>
      <c r="DT29" t="str">
        <f>IF(Table645[[#This Row],[Column125]]=0,"--",Table645[[#This Row],[Column125]]*Table645[[#This Row],[Column126]]*Table645[[#This Row],[Column127]]/1000000000)</f>
        <v>--</v>
      </c>
      <c r="DU29" s="53"/>
      <c r="DV29" s="53"/>
      <c r="DW29" s="53"/>
      <c r="DX29" s="91" t="str">
        <f t="shared" si="11"/>
        <v>--</v>
      </c>
      <c r="DY29" s="89">
        <f>IF(Table645[[#This Row],[Column128]]="--",0,Table645[[#This Row],[Column4]]*Table645[[#This Row],[Column128]])</f>
        <v>0</v>
      </c>
      <c r="EA29" s="89">
        <f>IF(Table645[[#This Row],[Column128]]="--",0,Table645[[#This Row],[Column4]]*Table645[[#This Row],[Column128]])</f>
        <v>0</v>
      </c>
      <c r="EC29" s="89">
        <f>IF(Table645[[#This Row],[Column128]]="--",0,Table645[[#This Row],[Column4]]*Table645[[#This Row],[Column128]])</f>
        <v>0</v>
      </c>
      <c r="EE29" s="89">
        <f>IF(Table645[[#This Row],[Column128]]="--",0,Table645[[#This Row],[Column4]]*Table645[[#This Row],[Column128]])</f>
        <v>0</v>
      </c>
      <c r="EG29" s="89">
        <f>IF(Table645[[#This Row],[Column128]]="--",0,Table645[[#This Row],[Column4]]*Table645[[#This Row],[Column128]])</f>
        <v>0</v>
      </c>
      <c r="EI29" s="89">
        <f>IF(Table645[[#This Row],[Column128]]="--",0,Table645[[#This Row],[Column4]]*Table645[[#This Row],[Column128]])</f>
        <v>0</v>
      </c>
    </row>
    <row r="30" spans="1:139" x14ac:dyDescent="0.25">
      <c r="B30" s="79"/>
      <c r="C30" s="140"/>
      <c r="D30" s="167"/>
      <c r="E30" s="52"/>
      <c r="F30" s="81"/>
      <c r="G30" s="81"/>
      <c r="H30" s="82" t="str">
        <f t="shared" si="0"/>
        <v>--</v>
      </c>
      <c r="I30" s="100">
        <f>IF(Table645[[#This Row],[Column8]]="--",0,Table645[[#This Row],[Column4]]*Table645[[#This Row],[Column8]])</f>
        <v>0</v>
      </c>
      <c r="J30" s="169"/>
      <c r="K30" s="85">
        <f>Table645[[#This Row],[Column4]]*Table645[[#This Row],[Column10]]</f>
        <v>0</v>
      </c>
      <c r="L30" s="170" t="str">
        <f t="shared" si="1"/>
        <v>--</v>
      </c>
      <c r="M30" s="85">
        <f>IF(Table645[[#This Row],[Column10]]=0,0,Table645[[#This Row],[Column4]]*Table645[[#This Row],[Column12]])</f>
        <v>0</v>
      </c>
      <c r="N30" s="87" t="str">
        <f t="shared" si="2"/>
        <v>--</v>
      </c>
      <c r="O30" s="138" t="str">
        <f>IF(SUM(Table645[[#This Row],[Column17]:[Column51]])=0,"--",SUM(Table645[[#This Row],[Column17]:[Column51]]))</f>
        <v>--</v>
      </c>
      <c r="AZ30" s="89">
        <f>IF(Table645[[#This Row],[Column14]]="--",0,Table645[[#This Row],[Column4]]*Table645[[#This Row],[Column14]])</f>
        <v>0</v>
      </c>
      <c r="BA30" s="90"/>
      <c r="BB30" s="91" t="str">
        <f>IF(BA30=0,"--",BA30*$BA$3*IF(Table645[[#This Row],[Column5]]&lt;4.1,1,2)/60/24)</f>
        <v>--</v>
      </c>
      <c r="BC30" s="92">
        <f>IF(Table645[[#This Row],[Column54]]="--",0,Table645[[#This Row],[Column4]]*Table645[[#This Row],[Column54]])</f>
        <v>0</v>
      </c>
      <c r="BD30" s="119"/>
      <c r="BE30" s="99"/>
      <c r="BF30" s="119"/>
      <c r="BG30" s="91" t="str">
        <f>IF(BD30+Table645[[#This Row],[Column58]]=0,"--",(BD30*$BF$3*Table645[[#This Row],[Column57]]+Table645[[#This Row],[Column58]]*$BF$4)/60/24)</f>
        <v>--</v>
      </c>
      <c r="BH30" s="92">
        <f>IF(Table645[[#This Row],[Column59]]="--",0,Table645[[#This Row],[Column4]]*Table645[[#This Row],[Column59]])</f>
        <v>0</v>
      </c>
      <c r="BI30" s="93"/>
      <c r="BJ30" s="91" t="str">
        <f t="shared" si="4"/>
        <v>--</v>
      </c>
      <c r="BK30" s="89">
        <f>IF(Table645[[#This Row],[Column62]]="--",0,Table645[[#This Row],[Column4]]*Table645[[#This Row],[Column62]])</f>
        <v>0</v>
      </c>
      <c r="BL30" s="93"/>
      <c r="BM30" s="91" t="str">
        <f t="shared" si="3"/>
        <v>--</v>
      </c>
      <c r="BN30" s="89">
        <f>IF(Table645[[#This Row],[Column65]]="--",0,Table645[[#This Row],[Column4]]*Table645[[#This Row],[Column65]])</f>
        <v>0</v>
      </c>
      <c r="BO30" s="163"/>
      <c r="BP30" s="164" t="str">
        <f t="shared" si="5"/>
        <v>--</v>
      </c>
      <c r="BQ30" s="160">
        <f>IF(Table645[[#This Row],[Column68]]="--",0,Table645[[#This Row],[Column4]]*Table645[[#This Row],[Column68]])</f>
        <v>0</v>
      </c>
      <c r="BR30" s="94"/>
      <c r="BS30" s="91" t="str">
        <f t="shared" si="6"/>
        <v>--</v>
      </c>
      <c r="BT30" s="92">
        <f>IF(Table645[[#This Row],[Column71]]="--",0,Table645[[#This Row],[Column4]]*Table645[[#This Row],[Column71]])</f>
        <v>0</v>
      </c>
      <c r="BU30" s="44"/>
      <c r="BV30" s="90"/>
      <c r="BW30" s="91" t="str">
        <f>IF(BV30=0,"--",(Table645[[#This Row],[Column73]]*$BV$4*(IF(J30&lt;0.5001,1,IF(J30&lt;2.0001,2,3)))+BV30/$BV$3)/60/24)</f>
        <v>--</v>
      </c>
      <c r="BX30" s="92">
        <f>IF(Table645[[#This Row],[Column75]]="--",0,Table645[[#This Row],[Column4]]*Table645[[#This Row],[Column75]])</f>
        <v>0</v>
      </c>
      <c r="BY30" s="95" t="s">
        <v>70</v>
      </c>
      <c r="BZ30" s="91" t="str">
        <f>IF(Table645[[#This Row],[Column74]]=0,"--",BW30*$BY$3)</f>
        <v>--</v>
      </c>
      <c r="CA30" s="89">
        <f>IF(Table645[[#This Row],[Column78]]="--",0,Table645[[#This Row],[Column4]]*Table645[[#This Row],[Column78]])</f>
        <v>0</v>
      </c>
      <c r="CB30" s="95" t="s">
        <v>70</v>
      </c>
      <c r="CC30" s="91" t="str">
        <f>IF(Table645[[#This Row],[Column10]]+Table645[[#This Row],[Column74]]=0,"--",J30*$CB$4*$CB$5/(24*60)+IF(Table645[[#This Row],[Column74]]=0,0,$CB$3*Table645[[#This Row],[Column75]]))</f>
        <v>--</v>
      </c>
      <c r="CD30" s="92">
        <f>IF(Table645[[#This Row],[Column81]]="--",0,Table645[[#This Row],[Column4]]*Table645[[#This Row],[Column81]])</f>
        <v>0</v>
      </c>
      <c r="CE30" s="94"/>
      <c r="CF30" s="91" t="str">
        <f t="shared" si="7"/>
        <v>--</v>
      </c>
      <c r="CG30" s="92">
        <f>IF(Table645[[#This Row],[Column84]]="--",0,Table645[[#This Row],[Column4]]*Table645[[#This Row],[Column84]])</f>
        <v>0</v>
      </c>
      <c r="CH30" s="226"/>
      <c r="CI30" s="90"/>
      <c r="CJ30" s="91" t="str">
        <f>IF(CI30=0,"--",(Table645[[#This Row],[Column86]]*$CI$4*(IF(W30&lt;0.5001,1,IF(W30&lt;2.0001,2,3)))+CI30/$CI$3)/60/24)</f>
        <v>--</v>
      </c>
      <c r="CK30" s="92">
        <f>IF(Table645[[#This Row],[Column88]]="--",0,Table645[[#This Row],[Column4]]*Table645[[#This Row],[Column88]])</f>
        <v>0</v>
      </c>
      <c r="CL30" s="95" t="s">
        <v>70</v>
      </c>
      <c r="CM30" s="91" t="str">
        <f>IF(Table645[[#This Row],[Column87]]=0,"--",CJ30*$CL$3)</f>
        <v>--</v>
      </c>
      <c r="CN30" s="89">
        <f>IF(Table645[[#This Row],[Column91]]="--",0,Table645[[#This Row],[Column4]]*Table645[[#This Row],[Column91]])</f>
        <v>0</v>
      </c>
      <c r="CO30" s="95" t="s">
        <v>70</v>
      </c>
      <c r="CP30" s="91" t="str">
        <f>IF(Table645[[#This Row],[Column10]]+Table645[[#This Row],[Column87]]=0, "--", IF($D30="", 1, $D30) * IF($J30="", 1, $J30) * $CO$3 * $CO$4 * IF(Table645[[#This Row],[Column95]]="", 1, Table645[[#This Row],[Column95]]) / (24 * 60))</f>
        <v>--</v>
      </c>
      <c r="CQ30" s="153"/>
      <c r="CR30" s="92">
        <f>IF(Table645[[#This Row],[Column94]]="--",0,Table645[[#This Row],[Column4]]*Table645[[#This Row],[Column94]])</f>
        <v>0</v>
      </c>
      <c r="CS30" s="206" t="str">
        <f>IF(Table645[[#This Row],[Column87]]="","",Table645[[#This Row],[Column87]])</f>
        <v/>
      </c>
      <c r="CT30" s="91" t="str">
        <f>IF(Table645[[#This Row],[Column97]]="","--",Table645[[#This Row],[Column97]]/$CS$3/60/24)</f>
        <v>--</v>
      </c>
      <c r="CU30" s="89">
        <f>IF(Table645[[#This Row],[Column98]]="--",0,Table645[[#This Row],[Column4]]*Table645[[#This Row],[Column98]])</f>
        <v>0</v>
      </c>
      <c r="CV30" s="93"/>
      <c r="CW30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30" s="91" t="str">
        <f>IF(OR(Table645[[#This Row],[Column74]]&gt;0,Table645[[#This Row],[Column87]]&gt;0),(Table645[[#This Row],[Column73]]+Table645[[#This Row],[Column86]]+1)*$CW$3/60/24,"--")</f>
        <v>--</v>
      </c>
      <c r="CY30" s="92">
        <f>IF(Table645[[#This Row],[Column102]]="--",0,Table645[[#This Row],[Column4]]*Table645[[#This Row],[Column102]])</f>
        <v>0</v>
      </c>
      <c r="CZ30" s="158" t="str">
        <f t="shared" si="8"/>
        <v>--</v>
      </c>
      <c r="DA30" s="153"/>
      <c r="DB30" s="160">
        <f>IF(Table645[[#This Row],[Column104]]="--",0,Table645[[#This Row],[Column4]]*Table645[[#This Row],[Column104]])</f>
        <v>0</v>
      </c>
      <c r="DC30" s="116"/>
      <c r="DD30" s="222" t="str">
        <f>IF(DC30=0,"--",1/$DC$3*1000/(60*60*24)*Table645[[#This Row],[Column107]])</f>
        <v>--</v>
      </c>
      <c r="DE30" s="89">
        <f>IF(Table645[[#This Row],[Column108]]="--",0,Table645[[#This Row],[Column4]]*Table645[[#This Row],[Column108]])</f>
        <v>0</v>
      </c>
      <c r="DF30" s="101" t="s">
        <v>70</v>
      </c>
      <c r="DG30" s="91" t="str">
        <f t="shared" si="9"/>
        <v>--</v>
      </c>
      <c r="DH30" s="89">
        <f>IF(Table645[[#This Row],[Column111]]="--",0,Table645[[#This Row],[Column4]]*Table645[[#This Row],[Column111]])</f>
        <v>0</v>
      </c>
      <c r="DI30" s="96"/>
      <c r="DJ30" s="96"/>
      <c r="DK30" s="96"/>
      <c r="DL30" s="96"/>
      <c r="DM30" s="96"/>
      <c r="DN30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30" s="89">
        <f>IF(Table645[[#This Row],[Column118]]="--",0,Table645[[#This Row],[Column4]]*Table645[[#This Row],[Column118]])</f>
        <v>0</v>
      </c>
      <c r="DP30" s="96"/>
      <c r="DQ30" s="96"/>
      <c r="DR30" s="91" t="str">
        <f t="shared" si="10"/>
        <v>--</v>
      </c>
      <c r="DS30" s="89">
        <f>IF(Table645[[#This Row],[Column122]]="--",0,Table645[[#This Row],[Column4]]*Table645[[#This Row],[Column122]])</f>
        <v>0</v>
      </c>
      <c r="DT30" t="str">
        <f>IF(Table645[[#This Row],[Column125]]=0,"--",Table645[[#This Row],[Column125]]*Table645[[#This Row],[Column126]]*Table645[[#This Row],[Column127]]/1000000000)</f>
        <v>--</v>
      </c>
      <c r="DU30" s="53"/>
      <c r="DV30" s="53"/>
      <c r="DW30" s="53"/>
      <c r="DX30" s="91" t="str">
        <f t="shared" si="11"/>
        <v>--</v>
      </c>
      <c r="DY30" s="89">
        <f>IF(Table645[[#This Row],[Column128]]="--",0,Table645[[#This Row],[Column4]]*Table645[[#This Row],[Column128]])</f>
        <v>0</v>
      </c>
      <c r="EA30" s="89">
        <f>IF(Table645[[#This Row],[Column128]]="--",0,Table645[[#This Row],[Column4]]*Table645[[#This Row],[Column128]])</f>
        <v>0</v>
      </c>
      <c r="EC30" s="89">
        <f>IF(Table645[[#This Row],[Column128]]="--",0,Table645[[#This Row],[Column4]]*Table645[[#This Row],[Column128]])</f>
        <v>0</v>
      </c>
      <c r="EE30" s="89">
        <f>IF(Table645[[#This Row],[Column128]]="--",0,Table645[[#This Row],[Column4]]*Table645[[#This Row],[Column128]])</f>
        <v>0</v>
      </c>
      <c r="EG30" s="89">
        <f>IF(Table645[[#This Row],[Column128]]="--",0,Table645[[#This Row],[Column4]]*Table645[[#This Row],[Column128]])</f>
        <v>0</v>
      </c>
      <c r="EI30" s="89">
        <f>IF(Table645[[#This Row],[Column128]]="--",0,Table645[[#This Row],[Column4]]*Table645[[#This Row],[Column128]])</f>
        <v>0</v>
      </c>
    </row>
    <row r="31" spans="1:139" x14ac:dyDescent="0.25">
      <c r="B31" s="79"/>
      <c r="C31" s="140"/>
      <c r="D31" s="167"/>
      <c r="E31" s="52"/>
      <c r="F31" s="81"/>
      <c r="G31" s="81"/>
      <c r="H31" s="82" t="str">
        <f t="shared" si="0"/>
        <v>--</v>
      </c>
      <c r="I31" s="100">
        <f>IF(Table645[[#This Row],[Column8]]="--",0,Table645[[#This Row],[Column4]]*Table645[[#This Row],[Column8]])</f>
        <v>0</v>
      </c>
      <c r="J31" s="169"/>
      <c r="K31" s="85">
        <f>Table645[[#This Row],[Column4]]*Table645[[#This Row],[Column10]]</f>
        <v>0</v>
      </c>
      <c r="L31" s="170" t="str">
        <f t="shared" si="1"/>
        <v>--</v>
      </c>
      <c r="M31" s="85">
        <f>IF(Table645[[#This Row],[Column10]]=0,0,Table645[[#This Row],[Column4]]*Table645[[#This Row],[Column12]])</f>
        <v>0</v>
      </c>
      <c r="N31" s="87" t="str">
        <f t="shared" si="2"/>
        <v>--</v>
      </c>
      <c r="O31" s="138" t="str">
        <f>IF(SUM(Table645[[#This Row],[Column17]:[Column51]])=0,"--",SUM(Table645[[#This Row],[Column17]:[Column51]]))</f>
        <v>--</v>
      </c>
      <c r="AZ31" s="89">
        <f>IF(Table645[[#This Row],[Column14]]="--",0,Table645[[#This Row],[Column4]]*Table645[[#This Row],[Column14]])</f>
        <v>0</v>
      </c>
      <c r="BA31" s="90"/>
      <c r="BB31" s="91" t="str">
        <f>IF(BA31=0,"--",BA31*$BA$3*IF(Table645[[#This Row],[Column5]]&lt;4.1,1,2)/60/24)</f>
        <v>--</v>
      </c>
      <c r="BC31" s="92">
        <f>IF(Table645[[#This Row],[Column54]]="--",0,Table645[[#This Row],[Column4]]*Table645[[#This Row],[Column54]])</f>
        <v>0</v>
      </c>
      <c r="BD31" s="119"/>
      <c r="BE31" s="99"/>
      <c r="BF31" s="119"/>
      <c r="BG31" s="91" t="str">
        <f>IF(BD31+Table645[[#This Row],[Column58]]=0,"--",(BD31*$BF$3*Table645[[#This Row],[Column57]]+Table645[[#This Row],[Column58]]*$BF$4)/60/24)</f>
        <v>--</v>
      </c>
      <c r="BH31" s="92">
        <f>IF(Table645[[#This Row],[Column59]]="--",0,Table645[[#This Row],[Column4]]*Table645[[#This Row],[Column59]])</f>
        <v>0</v>
      </c>
      <c r="BI31" s="93"/>
      <c r="BJ31" s="91" t="str">
        <f t="shared" si="4"/>
        <v>--</v>
      </c>
      <c r="BK31" s="89">
        <f>IF(Table645[[#This Row],[Column62]]="--",0,Table645[[#This Row],[Column4]]*Table645[[#This Row],[Column62]])</f>
        <v>0</v>
      </c>
      <c r="BL31" s="93"/>
      <c r="BM31" s="91" t="str">
        <f t="shared" si="3"/>
        <v>--</v>
      </c>
      <c r="BN31" s="89">
        <f>IF(Table645[[#This Row],[Column65]]="--",0,Table645[[#This Row],[Column4]]*Table645[[#This Row],[Column65]])</f>
        <v>0</v>
      </c>
      <c r="BO31" s="163"/>
      <c r="BP31" s="164" t="str">
        <f t="shared" si="5"/>
        <v>--</v>
      </c>
      <c r="BQ31" s="160">
        <f>IF(Table645[[#This Row],[Column68]]="--",0,Table645[[#This Row],[Column4]]*Table645[[#This Row],[Column68]])</f>
        <v>0</v>
      </c>
      <c r="BR31" s="94"/>
      <c r="BS31" s="91" t="str">
        <f t="shared" si="6"/>
        <v>--</v>
      </c>
      <c r="BT31" s="92">
        <f>IF(Table645[[#This Row],[Column71]]="--",0,Table645[[#This Row],[Column4]]*Table645[[#This Row],[Column71]])</f>
        <v>0</v>
      </c>
      <c r="BU31" s="44"/>
      <c r="BV31" s="90"/>
      <c r="BW31" s="91" t="str">
        <f>IF(BV31=0,"--",(Table645[[#This Row],[Column73]]*$BV$4*(IF(J31&lt;0.5001,1,IF(J31&lt;2.0001,2,3)))+BV31/$BV$3)/60/24)</f>
        <v>--</v>
      </c>
      <c r="BX31" s="92">
        <f>IF(Table645[[#This Row],[Column75]]="--",0,Table645[[#This Row],[Column4]]*Table645[[#This Row],[Column75]])</f>
        <v>0</v>
      </c>
      <c r="BY31" s="95" t="s">
        <v>70</v>
      </c>
      <c r="BZ31" s="91" t="str">
        <f>IF(Table645[[#This Row],[Column74]]=0,"--",BW31*$BY$3)</f>
        <v>--</v>
      </c>
      <c r="CA31" s="89">
        <f>IF(Table645[[#This Row],[Column78]]="--",0,Table645[[#This Row],[Column4]]*Table645[[#This Row],[Column78]])</f>
        <v>0</v>
      </c>
      <c r="CB31" s="95" t="s">
        <v>70</v>
      </c>
      <c r="CC31" s="91" t="str">
        <f>IF(Table645[[#This Row],[Column10]]+Table645[[#This Row],[Column74]]=0,"--",J31*$CB$4*$CB$5/(24*60)+IF(Table645[[#This Row],[Column74]]=0,0,$CB$3*Table645[[#This Row],[Column75]]))</f>
        <v>--</v>
      </c>
      <c r="CD31" s="92">
        <f>IF(Table645[[#This Row],[Column81]]="--",0,Table645[[#This Row],[Column4]]*Table645[[#This Row],[Column81]])</f>
        <v>0</v>
      </c>
      <c r="CE31" s="94"/>
      <c r="CF31" s="91" t="str">
        <f t="shared" si="7"/>
        <v>--</v>
      </c>
      <c r="CG31" s="92">
        <f>IF(Table645[[#This Row],[Column84]]="--",0,Table645[[#This Row],[Column4]]*Table645[[#This Row],[Column84]])</f>
        <v>0</v>
      </c>
      <c r="CH31" s="226"/>
      <c r="CI31" s="90"/>
      <c r="CJ31" s="91" t="str">
        <f>IF(CI31=0,"--",(Table645[[#This Row],[Column86]]*$CI$4*(IF(W31&lt;0.5001,1,IF(W31&lt;2.0001,2,3)))+CI31/$CI$3)/60/24)</f>
        <v>--</v>
      </c>
      <c r="CK31" s="92">
        <f>IF(Table645[[#This Row],[Column88]]="--",0,Table645[[#This Row],[Column4]]*Table645[[#This Row],[Column88]])</f>
        <v>0</v>
      </c>
      <c r="CL31" s="95" t="s">
        <v>70</v>
      </c>
      <c r="CM31" s="91" t="str">
        <f>IF(Table645[[#This Row],[Column87]]=0,"--",CJ31*$CL$3)</f>
        <v>--</v>
      </c>
      <c r="CN31" s="89">
        <f>IF(Table645[[#This Row],[Column91]]="--",0,Table645[[#This Row],[Column4]]*Table645[[#This Row],[Column91]])</f>
        <v>0</v>
      </c>
      <c r="CO31" s="95" t="s">
        <v>70</v>
      </c>
      <c r="CP31" s="91" t="str">
        <f>IF(Table645[[#This Row],[Column10]]+Table645[[#This Row],[Column87]]=0, "--", IF($D31="", 1, $D31) * IF($J31="", 1, $J31) * $CO$3 * $CO$4 * IF(Table645[[#This Row],[Column95]]="", 1, Table645[[#This Row],[Column95]]) / (24 * 60))</f>
        <v>--</v>
      </c>
      <c r="CQ31" s="153"/>
      <c r="CR31" s="92">
        <f>IF(Table645[[#This Row],[Column94]]="--",0,Table645[[#This Row],[Column4]]*Table645[[#This Row],[Column94]])</f>
        <v>0</v>
      </c>
      <c r="CS31" s="206" t="str">
        <f>IF(Table645[[#This Row],[Column87]]="","",Table645[[#This Row],[Column87]])</f>
        <v/>
      </c>
      <c r="CT31" s="91" t="str">
        <f>IF(Table645[[#This Row],[Column97]]="","--",Table645[[#This Row],[Column97]]/$CS$3/60/24)</f>
        <v>--</v>
      </c>
      <c r="CU31" s="89">
        <f>IF(Table645[[#This Row],[Column98]]="--",0,Table645[[#This Row],[Column4]]*Table645[[#This Row],[Column98]])</f>
        <v>0</v>
      </c>
      <c r="CV31" s="93"/>
      <c r="CW31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31" s="91" t="str">
        <f>IF(OR(Table645[[#This Row],[Column74]]&gt;0,Table645[[#This Row],[Column87]]&gt;0),(Table645[[#This Row],[Column73]]+Table645[[#This Row],[Column86]]+1)*$CW$3/60/24,"--")</f>
        <v>--</v>
      </c>
      <c r="CY31" s="92">
        <f>IF(Table645[[#This Row],[Column102]]="--",0,Table645[[#This Row],[Column4]]*Table645[[#This Row],[Column102]])</f>
        <v>0</v>
      </c>
      <c r="CZ31" s="158" t="str">
        <f t="shared" si="8"/>
        <v>--</v>
      </c>
      <c r="DA31" s="153"/>
      <c r="DB31" s="160">
        <f>IF(Table645[[#This Row],[Column104]]="--",0,Table645[[#This Row],[Column4]]*Table645[[#This Row],[Column104]])</f>
        <v>0</v>
      </c>
      <c r="DC31" s="116"/>
      <c r="DD31" s="222" t="str">
        <f>IF(DC31=0,"--",1/$DC$3*1000/(60*60*24)*Table645[[#This Row],[Column107]])</f>
        <v>--</v>
      </c>
      <c r="DE31" s="89">
        <f>IF(Table645[[#This Row],[Column108]]="--",0,Table645[[#This Row],[Column4]]*Table645[[#This Row],[Column108]])</f>
        <v>0</v>
      </c>
      <c r="DF31" s="101" t="s">
        <v>70</v>
      </c>
      <c r="DG31" s="91" t="str">
        <f t="shared" si="9"/>
        <v>--</v>
      </c>
      <c r="DH31" s="89">
        <f>IF(Table645[[#This Row],[Column111]]="--",0,Table645[[#This Row],[Column4]]*Table645[[#This Row],[Column111]])</f>
        <v>0</v>
      </c>
      <c r="DI31" s="96"/>
      <c r="DJ31" s="96"/>
      <c r="DK31" s="96"/>
      <c r="DL31" s="96"/>
      <c r="DM31" s="96"/>
      <c r="DN31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31" s="89">
        <f>IF(Table645[[#This Row],[Column118]]="--",0,Table645[[#This Row],[Column4]]*Table645[[#This Row],[Column118]])</f>
        <v>0</v>
      </c>
      <c r="DP31" s="96"/>
      <c r="DQ31" s="96"/>
      <c r="DR31" s="91" t="str">
        <f t="shared" si="10"/>
        <v>--</v>
      </c>
      <c r="DS31" s="89">
        <f>IF(Table645[[#This Row],[Column122]]="--",0,Table645[[#This Row],[Column4]]*Table645[[#This Row],[Column122]])</f>
        <v>0</v>
      </c>
      <c r="DT31" t="str">
        <f>IF(Table645[[#This Row],[Column125]]=0,"--",Table645[[#This Row],[Column125]]*Table645[[#This Row],[Column126]]*Table645[[#This Row],[Column127]]/1000000000)</f>
        <v>--</v>
      </c>
      <c r="DU31" s="53"/>
      <c r="DV31" s="53"/>
      <c r="DW31" s="53"/>
      <c r="DX31" s="91" t="str">
        <f t="shared" si="11"/>
        <v>--</v>
      </c>
      <c r="DY31" s="89">
        <f>IF(Table645[[#This Row],[Column128]]="--",0,Table645[[#This Row],[Column4]]*Table645[[#This Row],[Column128]])</f>
        <v>0</v>
      </c>
      <c r="EA31" s="89">
        <f>IF(Table645[[#This Row],[Column128]]="--",0,Table645[[#This Row],[Column4]]*Table645[[#This Row],[Column128]])</f>
        <v>0</v>
      </c>
      <c r="EC31" s="89">
        <f>IF(Table645[[#This Row],[Column128]]="--",0,Table645[[#This Row],[Column4]]*Table645[[#This Row],[Column128]])</f>
        <v>0</v>
      </c>
      <c r="EE31" s="89">
        <f>IF(Table645[[#This Row],[Column128]]="--",0,Table645[[#This Row],[Column4]]*Table645[[#This Row],[Column128]])</f>
        <v>0</v>
      </c>
      <c r="EG31" s="89">
        <f>IF(Table645[[#This Row],[Column128]]="--",0,Table645[[#This Row],[Column4]]*Table645[[#This Row],[Column128]])</f>
        <v>0</v>
      </c>
      <c r="EI31" s="89">
        <f>IF(Table645[[#This Row],[Column128]]="--",0,Table645[[#This Row],[Column4]]*Table645[[#This Row],[Column128]])</f>
        <v>0</v>
      </c>
    </row>
    <row r="32" spans="1:139" x14ac:dyDescent="0.25">
      <c r="A32" s="140"/>
      <c r="B32" s="79"/>
      <c r="C32" s="140"/>
      <c r="D32" s="167"/>
      <c r="E32" s="52"/>
      <c r="F32" s="81"/>
      <c r="G32" s="81"/>
      <c r="H32" s="82" t="str">
        <f t="shared" si="0"/>
        <v>--</v>
      </c>
      <c r="I32" s="100">
        <f>IF(Table645[[#This Row],[Column8]]="--",0,Table645[[#This Row],[Column4]]*Table645[[#This Row],[Column8]])</f>
        <v>0</v>
      </c>
      <c r="J32" s="169"/>
      <c r="K32" s="85">
        <f>Table645[[#This Row],[Column4]]*Table645[[#This Row],[Column10]]</f>
        <v>0</v>
      </c>
      <c r="L32" s="170" t="str">
        <f t="shared" si="1"/>
        <v>--</v>
      </c>
      <c r="M32" s="85">
        <f>IF(Table645[[#This Row],[Column10]]=0,0,Table645[[#This Row],[Column4]]*Table645[[#This Row],[Column12]])</f>
        <v>0</v>
      </c>
      <c r="N32" s="87" t="str">
        <f t="shared" si="2"/>
        <v>--</v>
      </c>
      <c r="O32" s="138" t="str">
        <f>IF(SUM(Table645[[#This Row],[Column17]:[Column51]])=0,"--",SUM(Table645[[#This Row],[Column17]:[Column51]]))</f>
        <v>--</v>
      </c>
      <c r="AZ32" s="89">
        <f>IF(Table645[[#This Row],[Column14]]="--",0,Table645[[#This Row],[Column4]]*Table645[[#This Row],[Column14]])</f>
        <v>0</v>
      </c>
      <c r="BA32" s="90"/>
      <c r="BB32" s="91" t="str">
        <f>IF(BA32=0,"--",BA32*$BA$3*IF(Table645[[#This Row],[Column5]]&lt;4.1,1,2)/60/24)</f>
        <v>--</v>
      </c>
      <c r="BC32" s="92">
        <f>IF(Table645[[#This Row],[Column54]]="--",0,Table645[[#This Row],[Column4]]*Table645[[#This Row],[Column54]])</f>
        <v>0</v>
      </c>
      <c r="BD32" s="119"/>
      <c r="BE32" s="99"/>
      <c r="BF32" s="119"/>
      <c r="BG32" s="91" t="str">
        <f>IF(BD32+Table645[[#This Row],[Column58]]=0,"--",(BD32*$BF$3*Table645[[#This Row],[Column57]]+Table645[[#This Row],[Column58]]*$BF$4)/60/24)</f>
        <v>--</v>
      </c>
      <c r="BH32" s="92">
        <f>IF(Table645[[#This Row],[Column59]]="--",0,Table645[[#This Row],[Column4]]*Table645[[#This Row],[Column59]])</f>
        <v>0</v>
      </c>
      <c r="BI32" s="93"/>
      <c r="BJ32" s="91" t="str">
        <f t="shared" si="4"/>
        <v>--</v>
      </c>
      <c r="BK32" s="89">
        <f>IF(Table645[[#This Row],[Column62]]="--",0,Table645[[#This Row],[Column4]]*Table645[[#This Row],[Column62]])</f>
        <v>0</v>
      </c>
      <c r="BL32" s="93"/>
      <c r="BM32" s="91" t="str">
        <f t="shared" si="3"/>
        <v>--</v>
      </c>
      <c r="BN32" s="89">
        <f>IF(Table645[[#This Row],[Column65]]="--",0,Table645[[#This Row],[Column4]]*Table645[[#This Row],[Column65]])</f>
        <v>0</v>
      </c>
      <c r="BO32" s="163"/>
      <c r="BP32" s="164" t="str">
        <f t="shared" si="5"/>
        <v>--</v>
      </c>
      <c r="BQ32" s="160">
        <f>IF(Table645[[#This Row],[Column68]]="--",0,Table645[[#This Row],[Column4]]*Table645[[#This Row],[Column68]])</f>
        <v>0</v>
      </c>
      <c r="BR32" s="94"/>
      <c r="BS32" s="91" t="str">
        <f t="shared" si="6"/>
        <v>--</v>
      </c>
      <c r="BT32" s="92">
        <f>IF(Table645[[#This Row],[Column71]]="--",0,Table645[[#This Row],[Column4]]*Table645[[#This Row],[Column71]])</f>
        <v>0</v>
      </c>
      <c r="BU32" s="44"/>
      <c r="BV32" s="90"/>
      <c r="BW32" s="91" t="str">
        <f>IF(BV32=0,"--",(Table645[[#This Row],[Column73]]*$BV$4*(IF(J32&lt;0.5001,1,IF(J32&lt;2.0001,2,3)))+BV32/$BV$3)/60/24)</f>
        <v>--</v>
      </c>
      <c r="BX32" s="92">
        <f>IF(Table645[[#This Row],[Column75]]="--",0,Table645[[#This Row],[Column4]]*Table645[[#This Row],[Column75]])</f>
        <v>0</v>
      </c>
      <c r="BY32" s="95" t="s">
        <v>70</v>
      </c>
      <c r="BZ32" s="91" t="str">
        <f>IF(Table645[[#This Row],[Column74]]=0,"--",BW32*$BY$3)</f>
        <v>--</v>
      </c>
      <c r="CA32" s="89">
        <f>IF(Table645[[#This Row],[Column78]]="--",0,Table645[[#This Row],[Column4]]*Table645[[#This Row],[Column78]])</f>
        <v>0</v>
      </c>
      <c r="CB32" s="95" t="s">
        <v>70</v>
      </c>
      <c r="CC32" s="91" t="str">
        <f>IF(Table645[[#This Row],[Column10]]+Table645[[#This Row],[Column74]]=0,"--",J32*$CB$4*$CB$5/(24*60)+IF(Table645[[#This Row],[Column74]]=0,0,$CB$3*Table645[[#This Row],[Column75]]))</f>
        <v>--</v>
      </c>
      <c r="CD32" s="92">
        <f>IF(Table645[[#This Row],[Column81]]="--",0,Table645[[#This Row],[Column4]]*Table645[[#This Row],[Column81]])</f>
        <v>0</v>
      </c>
      <c r="CE32" s="94"/>
      <c r="CF32" s="91" t="str">
        <f t="shared" si="7"/>
        <v>--</v>
      </c>
      <c r="CG32" s="92">
        <f>IF(Table645[[#This Row],[Column84]]="--",0,Table645[[#This Row],[Column4]]*Table645[[#This Row],[Column84]])</f>
        <v>0</v>
      </c>
      <c r="CH32" s="226"/>
      <c r="CI32" s="90"/>
      <c r="CJ32" s="91" t="str">
        <f>IF(CI32=0,"--",(Table645[[#This Row],[Column86]]*$CI$4*(IF(W32&lt;0.5001,1,IF(W32&lt;2.0001,2,3)))+CI32/$CI$3)/60/24)</f>
        <v>--</v>
      </c>
      <c r="CK32" s="92">
        <f>IF(Table645[[#This Row],[Column88]]="--",0,Table645[[#This Row],[Column4]]*Table645[[#This Row],[Column88]])</f>
        <v>0</v>
      </c>
      <c r="CL32" s="95" t="s">
        <v>70</v>
      </c>
      <c r="CM32" s="91" t="str">
        <f>IF(Table645[[#This Row],[Column87]]=0,"--",CJ32*$CL$3)</f>
        <v>--</v>
      </c>
      <c r="CN32" s="89">
        <f>IF(Table645[[#This Row],[Column91]]="--",0,Table645[[#This Row],[Column4]]*Table645[[#This Row],[Column91]])</f>
        <v>0</v>
      </c>
      <c r="CO32" s="95" t="s">
        <v>70</v>
      </c>
      <c r="CP32" s="91" t="str">
        <f>IF(Table645[[#This Row],[Column10]]+Table645[[#This Row],[Column87]]=0, "--", IF($D32="", 1, $D32) * IF($J32="", 1, $J32) * $CO$3 * $CO$4 * IF(Table645[[#This Row],[Column95]]="", 1, Table645[[#This Row],[Column95]]) / (24 * 60))</f>
        <v>--</v>
      </c>
      <c r="CQ32" s="153"/>
      <c r="CR32" s="92">
        <f>IF(Table645[[#This Row],[Column94]]="--",0,Table645[[#This Row],[Column4]]*Table645[[#This Row],[Column94]])</f>
        <v>0</v>
      </c>
      <c r="CS32" s="206" t="str">
        <f>IF(Table645[[#This Row],[Column87]]="","",Table645[[#This Row],[Column87]])</f>
        <v/>
      </c>
      <c r="CT32" s="91" t="str">
        <f>IF(Table645[[#This Row],[Column97]]="","--",Table645[[#This Row],[Column97]]/$CS$3/60/24)</f>
        <v>--</v>
      </c>
      <c r="CU32" s="89">
        <f>IF(Table645[[#This Row],[Column98]]="--",0,Table645[[#This Row],[Column4]]*Table645[[#This Row],[Column98]])</f>
        <v>0</v>
      </c>
      <c r="CV32" s="93"/>
      <c r="CW32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32" s="91" t="str">
        <f>IF(OR(Table645[[#This Row],[Column74]]&gt;0,Table645[[#This Row],[Column87]]&gt;0),(Table645[[#This Row],[Column73]]+Table645[[#This Row],[Column86]]+1)*$CW$3/60/24,"--")</f>
        <v>--</v>
      </c>
      <c r="CY32" s="92">
        <f>IF(Table645[[#This Row],[Column102]]="--",0,Table645[[#This Row],[Column4]]*Table645[[#This Row],[Column102]])</f>
        <v>0</v>
      </c>
      <c r="CZ32" s="158" t="str">
        <f t="shared" si="8"/>
        <v>--</v>
      </c>
      <c r="DA32" s="153"/>
      <c r="DB32" s="160">
        <f>IF(Table645[[#This Row],[Column104]]="--",0,Table645[[#This Row],[Column4]]*Table645[[#This Row],[Column104]])</f>
        <v>0</v>
      </c>
      <c r="DC32" s="116"/>
      <c r="DD32" s="222" t="str">
        <f>IF(DC32=0,"--",1/$DC$3*1000/(60*60*24)*Table645[[#This Row],[Column107]])</f>
        <v>--</v>
      </c>
      <c r="DE32" s="89">
        <f>IF(Table645[[#This Row],[Column108]]="--",0,Table645[[#This Row],[Column4]]*Table645[[#This Row],[Column108]])</f>
        <v>0</v>
      </c>
      <c r="DF32" s="101" t="s">
        <v>70</v>
      </c>
      <c r="DG32" s="91" t="str">
        <f t="shared" si="9"/>
        <v>--</v>
      </c>
      <c r="DH32" s="89">
        <f>IF(Table645[[#This Row],[Column111]]="--",0,Table645[[#This Row],[Column4]]*Table645[[#This Row],[Column111]])</f>
        <v>0</v>
      </c>
      <c r="DI32" s="96"/>
      <c r="DJ32" s="96"/>
      <c r="DK32" s="96"/>
      <c r="DL32" s="96"/>
      <c r="DM32" s="96"/>
      <c r="DN32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32" s="89">
        <f>IF(Table645[[#This Row],[Column118]]="--",0,Table645[[#This Row],[Column4]]*Table645[[#This Row],[Column118]])</f>
        <v>0</v>
      </c>
      <c r="DP32" s="96"/>
      <c r="DQ32" s="96"/>
      <c r="DR32" s="91" t="str">
        <f t="shared" si="10"/>
        <v>--</v>
      </c>
      <c r="DS32" s="89">
        <f>IF(Table645[[#This Row],[Column122]]="--",0,Table645[[#This Row],[Column4]]*Table645[[#This Row],[Column122]])</f>
        <v>0</v>
      </c>
      <c r="DT32" t="str">
        <f>IF(Table645[[#This Row],[Column125]]=0,"--",Table645[[#This Row],[Column125]]*Table645[[#This Row],[Column126]]*Table645[[#This Row],[Column127]]/1000000000)</f>
        <v>--</v>
      </c>
      <c r="DU32" s="53"/>
      <c r="DV32" s="53"/>
      <c r="DW32" s="53"/>
      <c r="DX32" s="91" t="str">
        <f t="shared" si="11"/>
        <v>--</v>
      </c>
      <c r="DY32" s="89">
        <f>IF(Table645[[#This Row],[Column128]]="--",0,Table645[[#This Row],[Column4]]*Table645[[#This Row],[Column128]])</f>
        <v>0</v>
      </c>
      <c r="EA32" s="89">
        <f>IF(Table645[[#This Row],[Column128]]="--",0,Table645[[#This Row],[Column4]]*Table645[[#This Row],[Column128]])</f>
        <v>0</v>
      </c>
      <c r="EC32" s="89">
        <f>IF(Table645[[#This Row],[Column128]]="--",0,Table645[[#This Row],[Column4]]*Table645[[#This Row],[Column128]])</f>
        <v>0</v>
      </c>
      <c r="EE32" s="89">
        <f>IF(Table645[[#This Row],[Column128]]="--",0,Table645[[#This Row],[Column4]]*Table645[[#This Row],[Column128]])</f>
        <v>0</v>
      </c>
      <c r="EG32" s="89">
        <f>IF(Table645[[#This Row],[Column128]]="--",0,Table645[[#This Row],[Column4]]*Table645[[#This Row],[Column128]])</f>
        <v>0</v>
      </c>
      <c r="EI32" s="89">
        <f>IF(Table645[[#This Row],[Column128]]="--",0,Table645[[#This Row],[Column4]]*Table645[[#This Row],[Column128]])</f>
        <v>0</v>
      </c>
    </row>
    <row r="33" spans="1:139" x14ac:dyDescent="0.25">
      <c r="A33" s="140"/>
      <c r="B33" s="79"/>
      <c r="C33" s="140"/>
      <c r="D33" s="167"/>
      <c r="E33" s="52"/>
      <c r="F33" s="81"/>
      <c r="G33" s="81"/>
      <c r="H33" s="82" t="str">
        <f t="shared" si="0"/>
        <v>--</v>
      </c>
      <c r="I33" s="100">
        <f>IF(Table645[[#This Row],[Column8]]="--",0,Table645[[#This Row],[Column4]]*Table645[[#This Row],[Column8]])</f>
        <v>0</v>
      </c>
      <c r="J33" s="169"/>
      <c r="K33" s="85">
        <f>Table645[[#This Row],[Column4]]*Table645[[#This Row],[Column10]]</f>
        <v>0</v>
      </c>
      <c r="L33" s="170" t="str">
        <f t="shared" si="1"/>
        <v>--</v>
      </c>
      <c r="M33" s="85">
        <f>IF(Table645[[#This Row],[Column10]]=0,0,Table645[[#This Row],[Column4]]*Table645[[#This Row],[Column12]])</f>
        <v>0</v>
      </c>
      <c r="N33" s="87" t="str">
        <f t="shared" si="2"/>
        <v>--</v>
      </c>
      <c r="O33" s="138" t="str">
        <f>IF(SUM(Table645[[#This Row],[Column17]:[Column51]])=0,"--",SUM(Table645[[#This Row],[Column17]:[Column51]]))</f>
        <v>--</v>
      </c>
      <c r="AZ33" s="89">
        <f>IF(Table645[[#This Row],[Column14]]="--",0,Table645[[#This Row],[Column4]]*Table645[[#This Row],[Column14]])</f>
        <v>0</v>
      </c>
      <c r="BA33" s="90"/>
      <c r="BB33" s="91" t="str">
        <f>IF(BA33=0,"--",BA33*$BA$3*IF(Table645[[#This Row],[Column5]]&lt;4.1,1,2)/60/24)</f>
        <v>--</v>
      </c>
      <c r="BC33" s="92">
        <f>IF(Table645[[#This Row],[Column54]]="--",0,Table645[[#This Row],[Column4]]*Table645[[#This Row],[Column54]])</f>
        <v>0</v>
      </c>
      <c r="BD33" s="119"/>
      <c r="BE33" s="99"/>
      <c r="BF33" s="119"/>
      <c r="BG33" s="91" t="str">
        <f>IF(BD33+Table645[[#This Row],[Column58]]=0,"--",(BD33*$BF$3*Table645[[#This Row],[Column57]]+Table645[[#This Row],[Column58]]*$BF$4)/60/24)</f>
        <v>--</v>
      </c>
      <c r="BH33" s="92">
        <f>IF(Table645[[#This Row],[Column59]]="--",0,Table645[[#This Row],[Column4]]*Table645[[#This Row],[Column59]])</f>
        <v>0</v>
      </c>
      <c r="BI33" s="93"/>
      <c r="BJ33" s="91" t="str">
        <f t="shared" si="4"/>
        <v>--</v>
      </c>
      <c r="BK33" s="89">
        <f>IF(Table645[[#This Row],[Column62]]="--",0,Table645[[#This Row],[Column4]]*Table645[[#This Row],[Column62]])</f>
        <v>0</v>
      </c>
      <c r="BL33" s="93"/>
      <c r="BM33" s="91" t="str">
        <f t="shared" si="3"/>
        <v>--</v>
      </c>
      <c r="BN33" s="89">
        <f>IF(Table645[[#This Row],[Column65]]="--",0,Table645[[#This Row],[Column4]]*Table645[[#This Row],[Column65]])</f>
        <v>0</v>
      </c>
      <c r="BO33" s="163"/>
      <c r="BP33" s="164" t="str">
        <f t="shared" si="5"/>
        <v>--</v>
      </c>
      <c r="BQ33" s="160">
        <f>IF(Table645[[#This Row],[Column68]]="--",0,Table645[[#This Row],[Column4]]*Table645[[#This Row],[Column68]])</f>
        <v>0</v>
      </c>
      <c r="BR33" s="94"/>
      <c r="BS33" s="91" t="str">
        <f t="shared" si="6"/>
        <v>--</v>
      </c>
      <c r="BT33" s="92">
        <f>IF(Table645[[#This Row],[Column71]]="--",0,Table645[[#This Row],[Column4]]*Table645[[#This Row],[Column71]])</f>
        <v>0</v>
      </c>
      <c r="BU33" s="44"/>
      <c r="BV33" s="90"/>
      <c r="BW33" s="91" t="str">
        <f>IF(BV33=0,"--",(Table645[[#This Row],[Column73]]*$BV$4*(IF(J33&lt;0.5001,1,IF(J33&lt;2.0001,2,3)))+BV33/$BV$3)/60/24)</f>
        <v>--</v>
      </c>
      <c r="BX33" s="92">
        <f>IF(Table645[[#This Row],[Column75]]="--",0,Table645[[#This Row],[Column4]]*Table645[[#This Row],[Column75]])</f>
        <v>0</v>
      </c>
      <c r="BY33" s="95" t="s">
        <v>70</v>
      </c>
      <c r="BZ33" s="91" t="str">
        <f>IF(Table645[[#This Row],[Column74]]=0,"--",BW33*$BY$3)</f>
        <v>--</v>
      </c>
      <c r="CA33" s="89">
        <f>IF(Table645[[#This Row],[Column78]]="--",0,Table645[[#This Row],[Column4]]*Table645[[#This Row],[Column78]])</f>
        <v>0</v>
      </c>
      <c r="CB33" s="95" t="s">
        <v>70</v>
      </c>
      <c r="CC33" s="91" t="str">
        <f>IF(Table645[[#This Row],[Column10]]+Table645[[#This Row],[Column74]]=0,"--",J33*$CB$4*$CB$5/(24*60)+IF(Table645[[#This Row],[Column74]]=0,0,$CB$3*Table645[[#This Row],[Column75]]))</f>
        <v>--</v>
      </c>
      <c r="CD33" s="92">
        <f>IF(Table645[[#This Row],[Column81]]="--",0,Table645[[#This Row],[Column4]]*Table645[[#This Row],[Column81]])</f>
        <v>0</v>
      </c>
      <c r="CE33" s="94"/>
      <c r="CF33" s="91" t="str">
        <f t="shared" si="7"/>
        <v>--</v>
      </c>
      <c r="CG33" s="92">
        <f>IF(Table645[[#This Row],[Column84]]="--",0,Table645[[#This Row],[Column4]]*Table645[[#This Row],[Column84]])</f>
        <v>0</v>
      </c>
      <c r="CH33" s="226"/>
      <c r="CI33" s="90"/>
      <c r="CJ33" s="91" t="str">
        <f>IF(CI33=0,"--",(Table645[[#This Row],[Column86]]*$CI$4*(IF(W33&lt;0.5001,1,IF(W33&lt;2.0001,2,3)))+CI33/$CI$3)/60/24)</f>
        <v>--</v>
      </c>
      <c r="CK33" s="92">
        <f>IF(Table645[[#This Row],[Column88]]="--",0,Table645[[#This Row],[Column4]]*Table645[[#This Row],[Column88]])</f>
        <v>0</v>
      </c>
      <c r="CL33" s="95" t="s">
        <v>70</v>
      </c>
      <c r="CM33" s="91" t="str">
        <f>IF(Table645[[#This Row],[Column87]]=0,"--",CJ33*$CL$3)</f>
        <v>--</v>
      </c>
      <c r="CN33" s="89">
        <f>IF(Table645[[#This Row],[Column91]]="--",0,Table645[[#This Row],[Column4]]*Table645[[#This Row],[Column91]])</f>
        <v>0</v>
      </c>
      <c r="CO33" s="95" t="s">
        <v>70</v>
      </c>
      <c r="CP33" s="91" t="str">
        <f>IF(Table645[[#This Row],[Column10]]+Table645[[#This Row],[Column87]]=0, "--", IF($D33="", 1, $D33) * IF($J33="", 1, $J33) * $CO$3 * $CO$4 * IF(Table645[[#This Row],[Column95]]="", 1, Table645[[#This Row],[Column95]]) / (24 * 60))</f>
        <v>--</v>
      </c>
      <c r="CQ33" s="153"/>
      <c r="CR33" s="92">
        <f>IF(Table645[[#This Row],[Column94]]="--",0,Table645[[#This Row],[Column4]]*Table645[[#This Row],[Column94]])</f>
        <v>0</v>
      </c>
      <c r="CS33" s="206" t="str">
        <f>IF(Table645[[#This Row],[Column87]]="","",Table645[[#This Row],[Column87]])</f>
        <v/>
      </c>
      <c r="CT33" s="91" t="str">
        <f>IF(Table645[[#This Row],[Column97]]="","--",Table645[[#This Row],[Column97]]/$CS$3/60/24)</f>
        <v>--</v>
      </c>
      <c r="CU33" s="89">
        <f>IF(Table645[[#This Row],[Column98]]="--",0,Table645[[#This Row],[Column4]]*Table645[[#This Row],[Column98]])</f>
        <v>0</v>
      </c>
      <c r="CV33" s="93"/>
      <c r="CW33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33" s="91" t="str">
        <f>IF(OR(Table645[[#This Row],[Column74]]&gt;0,Table645[[#This Row],[Column87]]&gt;0),(Table645[[#This Row],[Column73]]+Table645[[#This Row],[Column86]]+1)*$CW$3/60/24,"--")</f>
        <v>--</v>
      </c>
      <c r="CY33" s="92">
        <f>IF(Table645[[#This Row],[Column102]]="--",0,Table645[[#This Row],[Column4]]*Table645[[#This Row],[Column102]])</f>
        <v>0</v>
      </c>
      <c r="CZ33" s="158" t="str">
        <f t="shared" si="8"/>
        <v>--</v>
      </c>
      <c r="DA33" s="153"/>
      <c r="DB33" s="160">
        <f>IF(Table645[[#This Row],[Column104]]="--",0,Table645[[#This Row],[Column4]]*Table645[[#This Row],[Column104]])</f>
        <v>0</v>
      </c>
      <c r="DC33" s="116"/>
      <c r="DD33" s="222" t="str">
        <f>IF(DC33=0,"--",1/$DC$3*1000/(60*60*24)*Table645[[#This Row],[Column107]])</f>
        <v>--</v>
      </c>
      <c r="DE33" s="89">
        <f>IF(Table645[[#This Row],[Column108]]="--",0,Table645[[#This Row],[Column4]]*Table645[[#This Row],[Column108]])</f>
        <v>0</v>
      </c>
      <c r="DF33" s="101" t="s">
        <v>70</v>
      </c>
      <c r="DG33" s="91" t="str">
        <f t="shared" si="9"/>
        <v>--</v>
      </c>
      <c r="DH33" s="89">
        <f>IF(Table645[[#This Row],[Column111]]="--",0,Table645[[#This Row],[Column4]]*Table645[[#This Row],[Column111]])</f>
        <v>0</v>
      </c>
      <c r="DI33" s="96"/>
      <c r="DJ33" s="96"/>
      <c r="DK33" s="96"/>
      <c r="DL33" s="96"/>
      <c r="DM33" s="96"/>
      <c r="DN33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33" s="89">
        <f>IF(Table645[[#This Row],[Column118]]="--",0,Table645[[#This Row],[Column4]]*Table645[[#This Row],[Column118]])</f>
        <v>0</v>
      </c>
      <c r="DP33" s="96"/>
      <c r="DQ33" s="96"/>
      <c r="DR33" s="91" t="str">
        <f t="shared" si="10"/>
        <v>--</v>
      </c>
      <c r="DS33" s="89">
        <f>IF(Table645[[#This Row],[Column122]]="--",0,Table645[[#This Row],[Column4]]*Table645[[#This Row],[Column122]])</f>
        <v>0</v>
      </c>
      <c r="DT33" t="str">
        <f>IF(Table645[[#This Row],[Column125]]=0,"--",Table645[[#This Row],[Column125]]*Table645[[#This Row],[Column126]]*Table645[[#This Row],[Column127]]/1000000000)</f>
        <v>--</v>
      </c>
      <c r="DU33" s="53"/>
      <c r="DV33" s="53"/>
      <c r="DW33" s="53"/>
      <c r="DX33" s="91" t="str">
        <f t="shared" si="11"/>
        <v>--</v>
      </c>
      <c r="DY33" s="89">
        <f>IF(Table645[[#This Row],[Column128]]="--",0,Table645[[#This Row],[Column4]]*Table645[[#This Row],[Column128]])</f>
        <v>0</v>
      </c>
      <c r="EA33" s="89">
        <f>IF(Table645[[#This Row],[Column128]]="--",0,Table645[[#This Row],[Column4]]*Table645[[#This Row],[Column128]])</f>
        <v>0</v>
      </c>
      <c r="EC33" s="89">
        <f>IF(Table645[[#This Row],[Column128]]="--",0,Table645[[#This Row],[Column4]]*Table645[[#This Row],[Column128]])</f>
        <v>0</v>
      </c>
      <c r="EE33" s="89">
        <f>IF(Table645[[#This Row],[Column128]]="--",0,Table645[[#This Row],[Column4]]*Table645[[#This Row],[Column128]])</f>
        <v>0</v>
      </c>
      <c r="EG33" s="89">
        <f>IF(Table645[[#This Row],[Column128]]="--",0,Table645[[#This Row],[Column4]]*Table645[[#This Row],[Column128]])</f>
        <v>0</v>
      </c>
      <c r="EI33" s="89">
        <f>IF(Table645[[#This Row],[Column128]]="--",0,Table645[[#This Row],[Column4]]*Table645[[#This Row],[Column128]])</f>
        <v>0</v>
      </c>
    </row>
    <row r="34" spans="1:139" x14ac:dyDescent="0.25">
      <c r="A34" s="140"/>
      <c r="B34" s="79"/>
      <c r="C34" s="140"/>
      <c r="D34" s="167"/>
      <c r="E34" s="52"/>
      <c r="F34" s="81"/>
      <c r="G34" s="81"/>
      <c r="H34" s="82" t="str">
        <f t="shared" si="0"/>
        <v>--</v>
      </c>
      <c r="I34" s="100">
        <f>IF(Table645[[#This Row],[Column8]]="--",0,Table645[[#This Row],[Column4]]*Table645[[#This Row],[Column8]])</f>
        <v>0</v>
      </c>
      <c r="J34" s="169"/>
      <c r="K34" s="85">
        <f>Table645[[#This Row],[Column4]]*Table645[[#This Row],[Column10]]</f>
        <v>0</v>
      </c>
      <c r="L34" s="170" t="str">
        <f t="shared" si="1"/>
        <v>--</v>
      </c>
      <c r="M34" s="85">
        <f>IF(Table645[[#This Row],[Column10]]=0,0,Table645[[#This Row],[Column4]]*Table645[[#This Row],[Column12]])</f>
        <v>0</v>
      </c>
      <c r="N34" s="87" t="str">
        <f t="shared" si="2"/>
        <v>--</v>
      </c>
      <c r="O34" s="138" t="str">
        <f>IF(SUM(Table645[[#This Row],[Column17]:[Column51]])=0,"--",SUM(Table645[[#This Row],[Column17]:[Column51]]))</f>
        <v>--</v>
      </c>
      <c r="AZ34" s="89">
        <f>IF(Table645[[#This Row],[Column14]]="--",0,Table645[[#This Row],[Column4]]*Table645[[#This Row],[Column14]])</f>
        <v>0</v>
      </c>
      <c r="BA34" s="90"/>
      <c r="BB34" s="91" t="str">
        <f>IF(BA34=0,"--",BA34*$BA$3*IF(Table645[[#This Row],[Column5]]&lt;4.1,1,2)/60/24)</f>
        <v>--</v>
      </c>
      <c r="BC34" s="92">
        <f>IF(Table645[[#This Row],[Column54]]="--",0,Table645[[#This Row],[Column4]]*Table645[[#This Row],[Column54]])</f>
        <v>0</v>
      </c>
      <c r="BD34" s="119"/>
      <c r="BE34" s="99"/>
      <c r="BF34" s="119"/>
      <c r="BG34" s="91" t="str">
        <f>IF(BD34+Table645[[#This Row],[Column58]]=0,"--",(BD34*$BF$3*Table645[[#This Row],[Column57]]+Table645[[#This Row],[Column58]]*$BF$4)/60/24)</f>
        <v>--</v>
      </c>
      <c r="BH34" s="92">
        <f>IF(Table645[[#This Row],[Column59]]="--",0,Table645[[#This Row],[Column4]]*Table645[[#This Row],[Column59]])</f>
        <v>0</v>
      </c>
      <c r="BI34" s="93"/>
      <c r="BJ34" s="91" t="str">
        <f t="shared" si="4"/>
        <v>--</v>
      </c>
      <c r="BK34" s="89">
        <f>IF(Table645[[#This Row],[Column62]]="--",0,Table645[[#This Row],[Column4]]*Table645[[#This Row],[Column62]])</f>
        <v>0</v>
      </c>
      <c r="BL34" s="93"/>
      <c r="BM34" s="91" t="str">
        <f t="shared" si="3"/>
        <v>--</v>
      </c>
      <c r="BN34" s="89">
        <f>IF(Table645[[#This Row],[Column65]]="--",0,Table645[[#This Row],[Column4]]*Table645[[#This Row],[Column65]])</f>
        <v>0</v>
      </c>
      <c r="BO34" s="163"/>
      <c r="BP34" s="164" t="str">
        <f t="shared" si="5"/>
        <v>--</v>
      </c>
      <c r="BQ34" s="160">
        <f>IF(Table645[[#This Row],[Column68]]="--",0,Table645[[#This Row],[Column4]]*Table645[[#This Row],[Column68]])</f>
        <v>0</v>
      </c>
      <c r="BR34" s="94"/>
      <c r="BS34" s="91" t="str">
        <f t="shared" si="6"/>
        <v>--</v>
      </c>
      <c r="BT34" s="92">
        <f>IF(Table645[[#This Row],[Column71]]="--",0,Table645[[#This Row],[Column4]]*Table645[[#This Row],[Column71]])</f>
        <v>0</v>
      </c>
      <c r="BU34" s="44"/>
      <c r="BV34" s="90"/>
      <c r="BW34" s="91" t="str">
        <f>IF(BV34=0,"--",(Table645[[#This Row],[Column73]]*$BV$4*(IF(J34&lt;0.5001,1,IF(J34&lt;2.0001,2,3)))+BV34/$BV$3)/60/24)</f>
        <v>--</v>
      </c>
      <c r="BX34" s="92">
        <f>IF(Table645[[#This Row],[Column75]]="--",0,Table645[[#This Row],[Column4]]*Table645[[#This Row],[Column75]])</f>
        <v>0</v>
      </c>
      <c r="BY34" s="95" t="s">
        <v>70</v>
      </c>
      <c r="BZ34" s="91" t="str">
        <f>IF(Table645[[#This Row],[Column74]]=0,"--",BW34*$BY$3)</f>
        <v>--</v>
      </c>
      <c r="CA34" s="89">
        <f>IF(Table645[[#This Row],[Column78]]="--",0,Table645[[#This Row],[Column4]]*Table645[[#This Row],[Column78]])</f>
        <v>0</v>
      </c>
      <c r="CB34" s="95" t="s">
        <v>70</v>
      </c>
      <c r="CC34" s="91" t="str">
        <f>IF(Table645[[#This Row],[Column10]]+Table645[[#This Row],[Column74]]=0,"--",J34*$CB$4*$CB$5/(24*60)+IF(Table645[[#This Row],[Column74]]=0,0,$CB$3*Table645[[#This Row],[Column75]]))</f>
        <v>--</v>
      </c>
      <c r="CD34" s="92">
        <f>IF(Table645[[#This Row],[Column81]]="--",0,Table645[[#This Row],[Column4]]*Table645[[#This Row],[Column81]])</f>
        <v>0</v>
      </c>
      <c r="CE34" s="94"/>
      <c r="CF34" s="91" t="str">
        <f t="shared" si="7"/>
        <v>--</v>
      </c>
      <c r="CG34" s="92">
        <f>IF(Table645[[#This Row],[Column84]]="--",0,Table645[[#This Row],[Column4]]*Table645[[#This Row],[Column84]])</f>
        <v>0</v>
      </c>
      <c r="CH34" s="226"/>
      <c r="CI34" s="90"/>
      <c r="CJ34" s="91" t="str">
        <f>IF(CI34=0,"--",(Table645[[#This Row],[Column86]]*$CI$4*(IF(W34&lt;0.5001,1,IF(W34&lt;2.0001,2,3)))+CI34/$CI$3)/60/24)</f>
        <v>--</v>
      </c>
      <c r="CK34" s="92">
        <f>IF(Table645[[#This Row],[Column88]]="--",0,Table645[[#This Row],[Column4]]*Table645[[#This Row],[Column88]])</f>
        <v>0</v>
      </c>
      <c r="CL34" s="95" t="s">
        <v>70</v>
      </c>
      <c r="CM34" s="91" t="str">
        <f>IF(Table645[[#This Row],[Column87]]=0,"--",CJ34*$CL$3)</f>
        <v>--</v>
      </c>
      <c r="CN34" s="89">
        <f>IF(Table645[[#This Row],[Column91]]="--",0,Table645[[#This Row],[Column4]]*Table645[[#This Row],[Column91]])</f>
        <v>0</v>
      </c>
      <c r="CO34" s="95" t="s">
        <v>70</v>
      </c>
      <c r="CP34" s="91" t="str">
        <f>IF(Table645[[#This Row],[Column10]]+Table645[[#This Row],[Column87]]=0, "--", IF($D34="", 1, $D34) * IF($J34="", 1, $J34) * $CO$3 * $CO$4 * IF(Table645[[#This Row],[Column95]]="", 1, Table645[[#This Row],[Column95]]) / (24 * 60))</f>
        <v>--</v>
      </c>
      <c r="CQ34" s="153"/>
      <c r="CR34" s="92">
        <f>IF(Table645[[#This Row],[Column94]]="--",0,Table645[[#This Row],[Column4]]*Table645[[#This Row],[Column94]])</f>
        <v>0</v>
      </c>
      <c r="CS34" s="206" t="str">
        <f>IF(Table645[[#This Row],[Column87]]="","",Table645[[#This Row],[Column87]])</f>
        <v/>
      </c>
      <c r="CT34" s="91" t="str">
        <f>IF(Table645[[#This Row],[Column97]]="","--",Table645[[#This Row],[Column97]]/$CS$3/60/24)</f>
        <v>--</v>
      </c>
      <c r="CU34" s="89">
        <f>IF(Table645[[#This Row],[Column98]]="--",0,Table645[[#This Row],[Column4]]*Table645[[#This Row],[Column98]])</f>
        <v>0</v>
      </c>
      <c r="CV34" s="93"/>
      <c r="CW34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34" s="91" t="str">
        <f>IF(OR(Table645[[#This Row],[Column74]]&gt;0,Table645[[#This Row],[Column87]]&gt;0),(Table645[[#This Row],[Column73]]+Table645[[#This Row],[Column86]]+1)*$CW$3/60/24,"--")</f>
        <v>--</v>
      </c>
      <c r="CY34" s="92">
        <f>IF(Table645[[#This Row],[Column102]]="--",0,Table645[[#This Row],[Column4]]*Table645[[#This Row],[Column102]])</f>
        <v>0</v>
      </c>
      <c r="CZ34" s="158" t="str">
        <f t="shared" si="8"/>
        <v>--</v>
      </c>
      <c r="DA34" s="153"/>
      <c r="DB34" s="160">
        <f>IF(Table645[[#This Row],[Column104]]="--",0,Table645[[#This Row],[Column4]]*Table645[[#This Row],[Column104]])</f>
        <v>0</v>
      </c>
      <c r="DC34" s="116"/>
      <c r="DD34" s="222" t="str">
        <f>IF(DC34=0,"--",1/$DC$3*1000/(60*60*24)*Table645[[#This Row],[Column107]])</f>
        <v>--</v>
      </c>
      <c r="DE34" s="89">
        <f>IF(Table645[[#This Row],[Column108]]="--",0,Table645[[#This Row],[Column4]]*Table645[[#This Row],[Column108]])</f>
        <v>0</v>
      </c>
      <c r="DF34" s="101" t="s">
        <v>70</v>
      </c>
      <c r="DG34" s="91" t="str">
        <f t="shared" si="9"/>
        <v>--</v>
      </c>
      <c r="DH34" s="89">
        <f>IF(Table645[[#This Row],[Column111]]="--",0,Table645[[#This Row],[Column4]]*Table645[[#This Row],[Column111]])</f>
        <v>0</v>
      </c>
      <c r="DI34" s="96"/>
      <c r="DJ34" s="96"/>
      <c r="DK34" s="96"/>
      <c r="DL34" s="96"/>
      <c r="DM34" s="96"/>
      <c r="DN34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34" s="89">
        <f>IF(Table645[[#This Row],[Column118]]="--",0,Table645[[#This Row],[Column4]]*Table645[[#This Row],[Column118]])</f>
        <v>0</v>
      </c>
      <c r="DP34" s="96"/>
      <c r="DQ34" s="96"/>
      <c r="DR34" s="91" t="str">
        <f t="shared" si="10"/>
        <v>--</v>
      </c>
      <c r="DS34" s="89">
        <f>IF(Table645[[#This Row],[Column122]]="--",0,Table645[[#This Row],[Column4]]*Table645[[#This Row],[Column122]])</f>
        <v>0</v>
      </c>
      <c r="DT34" t="str">
        <f>IF(Table645[[#This Row],[Column125]]=0,"--",Table645[[#This Row],[Column125]]*Table645[[#This Row],[Column126]]*Table645[[#This Row],[Column127]]/1000000000)</f>
        <v>--</v>
      </c>
      <c r="DU34" s="53"/>
      <c r="DV34" s="53"/>
      <c r="DW34" s="53"/>
      <c r="DX34" s="91" t="str">
        <f t="shared" si="11"/>
        <v>--</v>
      </c>
      <c r="DY34" s="89">
        <f>IF(Table645[[#This Row],[Column128]]="--",0,Table645[[#This Row],[Column4]]*Table645[[#This Row],[Column128]])</f>
        <v>0</v>
      </c>
      <c r="EA34" s="89">
        <f>IF(Table645[[#This Row],[Column128]]="--",0,Table645[[#This Row],[Column4]]*Table645[[#This Row],[Column128]])</f>
        <v>0</v>
      </c>
      <c r="EC34" s="89">
        <f>IF(Table645[[#This Row],[Column128]]="--",0,Table645[[#This Row],[Column4]]*Table645[[#This Row],[Column128]])</f>
        <v>0</v>
      </c>
      <c r="EE34" s="89">
        <f>IF(Table645[[#This Row],[Column128]]="--",0,Table645[[#This Row],[Column4]]*Table645[[#This Row],[Column128]])</f>
        <v>0</v>
      </c>
      <c r="EG34" s="89">
        <f>IF(Table645[[#This Row],[Column128]]="--",0,Table645[[#This Row],[Column4]]*Table645[[#This Row],[Column128]])</f>
        <v>0</v>
      </c>
      <c r="EI34" s="89">
        <f>IF(Table645[[#This Row],[Column128]]="--",0,Table645[[#This Row],[Column4]]*Table645[[#This Row],[Column128]])</f>
        <v>0</v>
      </c>
    </row>
    <row r="35" spans="1:139" x14ac:dyDescent="0.25">
      <c r="A35" s="140"/>
      <c r="B35" s="79"/>
      <c r="C35" s="140"/>
      <c r="D35" s="167"/>
      <c r="E35" s="52"/>
      <c r="F35" s="81"/>
      <c r="G35" s="81"/>
      <c r="H35" s="82" t="str">
        <f t="shared" ref="H35:H43" si="12">IF(E35&gt;0,E35*F35*G35/1000000*8*(1+$H$4),"--")</f>
        <v>--</v>
      </c>
      <c r="I35" s="100">
        <f>IF(Table645[[#This Row],[Column8]]="--",0,Table645[[#This Row],[Column4]]*Table645[[#This Row],[Column8]])</f>
        <v>0</v>
      </c>
      <c r="J35" s="169"/>
      <c r="K35" s="85">
        <f>Table645[[#This Row],[Column4]]*Table645[[#This Row],[Column10]]</f>
        <v>0</v>
      </c>
      <c r="L35" s="170" t="str">
        <f t="shared" ref="L35:L43" si="13">IF(J35=0,"--",J35/$J$3)</f>
        <v>--</v>
      </c>
      <c r="M35" s="85">
        <f>IF(Table645[[#This Row],[Column10]]=0,0,Table645[[#This Row],[Column4]]*Table645[[#This Row],[Column12]])</f>
        <v>0</v>
      </c>
      <c r="N35" s="87" t="str">
        <f t="shared" ref="N35:N43" si="14">IF(SUM(Q35:AX35)=0,"--",(Q35/$Q$4+T35/$T$4+W35/$W$4+Z35/$Z$4+AC35/$AC$4+AF35/$AF$4+AI35/$AI$4+AL35/$AL$4+AO35/$AO$4+AR35/$AR$4+AU35/$AU$4+AX35/$AX$4)/60/24)</f>
        <v>--</v>
      </c>
      <c r="O35" s="138" t="str">
        <f>IF(SUM(Table645[[#This Row],[Column17]:[Column51]])=0,"--",SUM(Table645[[#This Row],[Column17]:[Column51]]))</f>
        <v>--</v>
      </c>
      <c r="AZ35" s="89">
        <f>IF(Table645[[#This Row],[Column14]]="--",0,Table645[[#This Row],[Column4]]*Table645[[#This Row],[Column14]])</f>
        <v>0</v>
      </c>
      <c r="BA35" s="90"/>
      <c r="BB35" s="91" t="str">
        <f>IF(BA35=0,"--",BA35*$BA$3*IF(Table645[[#This Row],[Column5]]&lt;4.1,1,2)/60/24)</f>
        <v>--</v>
      </c>
      <c r="BC35" s="92">
        <f>IF(Table645[[#This Row],[Column54]]="--",0,Table645[[#This Row],[Column4]]*Table645[[#This Row],[Column54]])</f>
        <v>0</v>
      </c>
      <c r="BD35" s="119"/>
      <c r="BE35" s="99"/>
      <c r="BF35" s="119"/>
      <c r="BG35" s="91" t="str">
        <f>IF(BD35+Table645[[#This Row],[Column58]]=0,"--",(BD35*$BF$3*Table645[[#This Row],[Column57]]+Table645[[#This Row],[Column58]]*$BF$4)/60/24)</f>
        <v>--</v>
      </c>
      <c r="BH35" s="92">
        <f>IF(Table645[[#This Row],[Column59]]="--",0,Table645[[#This Row],[Column4]]*Table645[[#This Row],[Column59]])</f>
        <v>0</v>
      </c>
      <c r="BI35" s="93"/>
      <c r="BJ35" s="91" t="str">
        <f t="shared" ref="BJ35:BJ98" si="15">IF(BI35=0,"--",BI35/$BI$3/60/24)</f>
        <v>--</v>
      </c>
      <c r="BK35" s="89">
        <f>IF(Table645[[#This Row],[Column62]]="--",0,Table645[[#This Row],[Column4]]*Table645[[#This Row],[Column62]])</f>
        <v>0</v>
      </c>
      <c r="BL35" s="93"/>
      <c r="BM35" s="91" t="str">
        <f t="shared" ref="BM35:BM43" si="16">IF(BL35=0,"--",BL35*$BL$3/60/60/24)</f>
        <v>--</v>
      </c>
      <c r="BN35" s="89">
        <f>IF(Table645[[#This Row],[Column65]]="--",0,Table645[[#This Row],[Column4]]*Table645[[#This Row],[Column65]])</f>
        <v>0</v>
      </c>
      <c r="BO35" s="163"/>
      <c r="BP35" s="164" t="str">
        <f t="shared" ref="BP35:BP43" si="17">IF(BO35=0,"--",BO35*$BO$3/60/60/24)</f>
        <v>--</v>
      </c>
      <c r="BQ35" s="160">
        <f>IF(Table645[[#This Row],[Column68]]="--",0,Table645[[#This Row],[Column4]]*Table645[[#This Row],[Column68]])</f>
        <v>0</v>
      </c>
      <c r="BR35" s="94"/>
      <c r="BS35" s="91" t="str">
        <f t="shared" ref="BS35:BS43" si="18">IF(BR35=0,"--",BR35*$BR$3/60/60/24)</f>
        <v>--</v>
      </c>
      <c r="BT35" s="92">
        <f>IF(Table645[[#This Row],[Column71]]="--",0,Table645[[#This Row],[Column4]]*Table645[[#This Row],[Column71]])</f>
        <v>0</v>
      </c>
      <c r="BU35" s="44"/>
      <c r="BV35" s="90"/>
      <c r="BW35" s="91" t="str">
        <f>IF(BV35=0,"--",(Table645[[#This Row],[Column73]]*$BV$4*(IF(J35&lt;0.5001,1,IF(J35&lt;2.0001,2,3)))+BV35/$BV$3)/60/24)</f>
        <v>--</v>
      </c>
      <c r="BX35" s="92">
        <f>IF(Table645[[#This Row],[Column75]]="--",0,Table645[[#This Row],[Column4]]*Table645[[#This Row],[Column75]])</f>
        <v>0</v>
      </c>
      <c r="BY35" s="95" t="s">
        <v>70</v>
      </c>
      <c r="BZ35" s="91" t="str">
        <f>IF(Table645[[#This Row],[Column74]]=0,"--",BW35*$BY$3)</f>
        <v>--</v>
      </c>
      <c r="CA35" s="89">
        <f>IF(Table645[[#This Row],[Column78]]="--",0,Table645[[#This Row],[Column4]]*Table645[[#This Row],[Column78]])</f>
        <v>0</v>
      </c>
      <c r="CB35" s="95" t="s">
        <v>70</v>
      </c>
      <c r="CC35" s="91" t="str">
        <f>IF(Table645[[#This Row],[Column10]]+Table645[[#This Row],[Column74]]=0,"--",J35*$CB$4*$CB$5/(24*60)+IF(Table645[[#This Row],[Column74]]=0,0,$CB$3*Table645[[#This Row],[Column75]]))</f>
        <v>--</v>
      </c>
      <c r="CD35" s="92">
        <f>IF(Table645[[#This Row],[Column81]]="--",0,Table645[[#This Row],[Column4]]*Table645[[#This Row],[Column81]])</f>
        <v>0</v>
      </c>
      <c r="CE35" s="94"/>
      <c r="CF35" s="91" t="str">
        <f t="shared" ref="CF35:CF98" si="19">IF(CE35=0,"--",CE35*$BR$3/60/60/24)</f>
        <v>--</v>
      </c>
      <c r="CG35" s="92">
        <f>IF(Table645[[#This Row],[Column84]]="--",0,Table645[[#This Row],[Column4]]*Table645[[#This Row],[Column84]])</f>
        <v>0</v>
      </c>
      <c r="CH35" s="226"/>
      <c r="CI35" s="90"/>
      <c r="CJ35" s="91" t="str">
        <f>IF(CI35=0,"--",(Table645[[#This Row],[Column86]]*$CI$4*(IF(W35&lt;0.5001,1,IF(W35&lt;2.0001,2,3)))+CI35/$CI$3)/60/24)</f>
        <v>--</v>
      </c>
      <c r="CK35" s="92">
        <f>IF(Table645[[#This Row],[Column88]]="--",0,Table645[[#This Row],[Column4]]*Table645[[#This Row],[Column88]])</f>
        <v>0</v>
      </c>
      <c r="CL35" s="95" t="s">
        <v>70</v>
      </c>
      <c r="CM35" s="91" t="str">
        <f>IF(Table645[[#This Row],[Column87]]=0,"--",CJ35*$CL$3)</f>
        <v>--</v>
      </c>
      <c r="CN35" s="89">
        <f>IF(Table645[[#This Row],[Column91]]="--",0,Table645[[#This Row],[Column4]]*Table645[[#This Row],[Column91]])</f>
        <v>0</v>
      </c>
      <c r="CO35" s="95" t="s">
        <v>70</v>
      </c>
      <c r="CP35" s="91" t="str">
        <f>IF(Table645[[#This Row],[Column10]]+Table645[[#This Row],[Column87]]=0, "--", IF($D35="", 1, $D35) * IF($J35="", 1, $J35) * $CO$3 * $CO$4 * IF(Table645[[#This Row],[Column95]]="", 1, Table645[[#This Row],[Column95]]) / (24 * 60))</f>
        <v>--</v>
      </c>
      <c r="CQ35" s="153"/>
      <c r="CR35" s="92">
        <f>IF(Table645[[#This Row],[Column94]]="--",0,Table645[[#This Row],[Column4]]*Table645[[#This Row],[Column94]])</f>
        <v>0</v>
      </c>
      <c r="CS35" s="206" t="str">
        <f>IF(Table645[[#This Row],[Column87]]="","",Table645[[#This Row],[Column87]])</f>
        <v/>
      </c>
      <c r="CT35" s="91" t="str">
        <f>IF(Table645[[#This Row],[Column97]]="","--",Table645[[#This Row],[Column97]]/$CS$3/60/24)</f>
        <v>--</v>
      </c>
      <c r="CU35" s="89">
        <f>IF(Table645[[#This Row],[Column98]]="--",0,Table645[[#This Row],[Column4]]*Table645[[#This Row],[Column98]])</f>
        <v>0</v>
      </c>
      <c r="CV35" s="93"/>
      <c r="CW35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35" s="91" t="str">
        <f>IF(OR(Table645[[#This Row],[Column74]]&gt;0,Table645[[#This Row],[Column87]]&gt;0),(Table645[[#This Row],[Column73]]+Table645[[#This Row],[Column86]]+1)*$CW$3/60/24,"--")</f>
        <v>--</v>
      </c>
      <c r="CY35" s="92">
        <f>IF(Table645[[#This Row],[Column102]]="--",0,Table645[[#This Row],[Column4]]*Table645[[#This Row],[Column102]])</f>
        <v>0</v>
      </c>
      <c r="CZ35" s="158" t="str">
        <f t="shared" ref="CZ35:CZ43" si="20">IF(J35=0,"--",J35/$CZ$3/(24)*DA35)</f>
        <v>--</v>
      </c>
      <c r="DA35" s="153"/>
      <c r="DB35" s="160">
        <f>IF(Table645[[#This Row],[Column104]]="--",0,Table645[[#This Row],[Column4]]*Table645[[#This Row],[Column104]])</f>
        <v>0</v>
      </c>
      <c r="DC35" s="116"/>
      <c r="DD35" s="222" t="str">
        <f>IF(DC35=0,"--",1/$DC$3*1000/(60*60*24)*Table645[[#This Row],[Column107]])</f>
        <v>--</v>
      </c>
      <c r="DE35" s="89">
        <f>IF(Table645[[#This Row],[Column108]]="--",0,Table645[[#This Row],[Column4]]*Table645[[#This Row],[Column108]])</f>
        <v>0</v>
      </c>
      <c r="DF35" s="101" t="s">
        <v>70</v>
      </c>
      <c r="DG35" s="91" t="str">
        <f t="shared" ref="DG35:DG43" si="21">IF(DA35=0,"--",(J35*$DF$3)/60/24)</f>
        <v>--</v>
      </c>
      <c r="DH35" s="89">
        <f>IF(Table645[[#This Row],[Column111]]="--",0,Table645[[#This Row],[Column4]]*Table645[[#This Row],[Column111]])</f>
        <v>0</v>
      </c>
      <c r="DI35" s="96"/>
      <c r="DJ35" s="96"/>
      <c r="DK35" s="96"/>
      <c r="DL35" s="96"/>
      <c r="DM35" s="96"/>
      <c r="DN35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35" s="89">
        <f>IF(Table645[[#This Row],[Column118]]="--",0,Table645[[#This Row],[Column4]]*Table645[[#This Row],[Column118]])</f>
        <v>0</v>
      </c>
      <c r="DP35" s="96"/>
      <c r="DQ35" s="96"/>
      <c r="DR35" s="91" t="str">
        <f t="shared" ref="DR35:DR43" si="22">IF(DP35+DQ35&gt;0,(DP35*$DQ$3+DQ35*$DQ$4)/60/24,IF(DN35="--","--",(DP35*$DQ$3+DQ35*$DQ$4)/60/24))</f>
        <v>--</v>
      </c>
      <c r="DS35" s="89">
        <f>IF(Table645[[#This Row],[Column122]]="--",0,Table645[[#This Row],[Column4]]*Table645[[#This Row],[Column122]])</f>
        <v>0</v>
      </c>
      <c r="DT35" t="str">
        <f>IF(Table645[[#This Row],[Column125]]=0,"--",Table645[[#This Row],[Column125]]*Table645[[#This Row],[Column126]]*Table645[[#This Row],[Column127]]/1000000000)</f>
        <v>--</v>
      </c>
      <c r="DU35" s="53"/>
      <c r="DV35" s="53"/>
      <c r="DW35" s="53"/>
      <c r="DX35" s="91" t="str">
        <f t="shared" ref="DX35:DX43" si="23">IF(DT35="--","--",(1+DT35*$DT$3)/60/24)</f>
        <v>--</v>
      </c>
      <c r="DY35" s="89">
        <f>IF(Table645[[#This Row],[Column128]]="--",0,Table645[[#This Row],[Column4]]*Table645[[#This Row],[Column128]])</f>
        <v>0</v>
      </c>
      <c r="EA35" s="89">
        <f>IF(Table645[[#This Row],[Column128]]="--",0,Table645[[#This Row],[Column4]]*Table645[[#This Row],[Column128]])</f>
        <v>0</v>
      </c>
      <c r="EC35" s="89">
        <f>IF(Table645[[#This Row],[Column128]]="--",0,Table645[[#This Row],[Column4]]*Table645[[#This Row],[Column128]])</f>
        <v>0</v>
      </c>
      <c r="EE35" s="89">
        <f>IF(Table645[[#This Row],[Column128]]="--",0,Table645[[#This Row],[Column4]]*Table645[[#This Row],[Column128]])</f>
        <v>0</v>
      </c>
      <c r="EG35" s="89">
        <f>IF(Table645[[#This Row],[Column128]]="--",0,Table645[[#This Row],[Column4]]*Table645[[#This Row],[Column128]])</f>
        <v>0</v>
      </c>
      <c r="EI35" s="89">
        <f>IF(Table645[[#This Row],[Column128]]="--",0,Table645[[#This Row],[Column4]]*Table645[[#This Row],[Column128]])</f>
        <v>0</v>
      </c>
    </row>
    <row r="36" spans="1:139" x14ac:dyDescent="0.25">
      <c r="A36" s="140"/>
      <c r="B36" s="79"/>
      <c r="C36" s="140"/>
      <c r="D36" s="167"/>
      <c r="E36" s="52"/>
      <c r="F36" s="81"/>
      <c r="G36" s="81"/>
      <c r="H36" s="102" t="str">
        <f t="shared" ref="H36:H41" si="24">IF(E36&gt;0,E36*F36*G36/1000000*8*(1+$H$4),"--")</f>
        <v>--</v>
      </c>
      <c r="I36" s="100">
        <f>IF(Table645[[#This Row],[Column8]]="--",0,Table645[[#This Row],[Column4]]*Table645[[#This Row],[Column8]])</f>
        <v>0</v>
      </c>
      <c r="J36" s="169"/>
      <c r="K36" s="85">
        <f>Table645[[#This Row],[Column4]]*Table645[[#This Row],[Column10]]</f>
        <v>0</v>
      </c>
      <c r="L36" s="170" t="str">
        <f t="shared" ref="L36:L41" si="25">IF(J36=0,"--",J36/$J$3)</f>
        <v>--</v>
      </c>
      <c r="M36" s="214">
        <f>IF(Table645[[#This Row],[Column10]]=0,0,Table645[[#This Row],[Column4]]*Table645[[#This Row],[Column12]])</f>
        <v>0</v>
      </c>
      <c r="N36" s="87" t="str">
        <f t="shared" ref="N36:N41" si="26">IF(SUM(Q36:AX36)=0,"--",(Q36/$Q$4+T36/$T$4+W36/$W$4+Z36/$Z$4+AC36/$AC$4+AF36/$AF$4+AI36/$AI$4+AL36/$AL$4+AO36/$AO$4+AR36/$AR$4+AU36/$AU$4+AX36/$AX$4)/60/24)</f>
        <v>--</v>
      </c>
      <c r="O36" s="138"/>
      <c r="AZ36" s="89">
        <f>IF(Table645[[#This Row],[Column14]]="--",0,Table645[[#This Row],[Column4]]*Table645[[#This Row],[Column14]])</f>
        <v>0</v>
      </c>
      <c r="BA36" s="90"/>
      <c r="BB36" s="91" t="str">
        <f>IF(BA36=0,"--",BA36*$BA$3*IF(Table645[[#This Row],[Column5]]&lt;4.1,1,2)/60/24)</f>
        <v>--</v>
      </c>
      <c r="BC36" s="92">
        <f>IF(Table645[[#This Row],[Column54]]="--",0,Table645[[#This Row],[Column4]]*Table645[[#This Row],[Column54]])</f>
        <v>0</v>
      </c>
      <c r="BD36" s="119"/>
      <c r="BE36" s="99"/>
      <c r="BF36" s="119"/>
      <c r="BG36" s="91" t="str">
        <f>IF(BD36+Table645[[#This Row],[Column58]]=0,"--",(BD36*$BF$3*Table645[[#This Row],[Column57]]+Table645[[#This Row],[Column58]]*$BF$4)/60/24)</f>
        <v>--</v>
      </c>
      <c r="BH36" s="92">
        <f>IF(Table645[[#This Row],[Column59]]="--",0,Table645[[#This Row],[Column4]]*Table645[[#This Row],[Column59]])</f>
        <v>0</v>
      </c>
      <c r="BI36" s="119"/>
      <c r="BJ36" s="91" t="str">
        <f t="shared" si="15"/>
        <v>--</v>
      </c>
      <c r="BK36" s="92">
        <f>IF(Table645[[#This Row],[Column62]]="--",0,Table645[[#This Row],[Column4]]*Table645[[#This Row],[Column62]])</f>
        <v>0</v>
      </c>
      <c r="BL36" s="93"/>
      <c r="BM36" s="91" t="str">
        <f t="shared" ref="BM36:BM41" si="27">IF(BL36=0,"--",BL36*$BL$3/60/60/24)</f>
        <v>--</v>
      </c>
      <c r="BN36" s="89">
        <f>IF(Table645[[#This Row],[Column65]]="--",0,Table645[[#This Row],[Column4]]*Table645[[#This Row],[Column65]])</f>
        <v>0</v>
      </c>
      <c r="BO36" s="163"/>
      <c r="BP36" s="164" t="str">
        <f t="shared" ref="BP36:BP41" si="28">IF(BO36=0,"--",BO36*$BO$3/60/60/24)</f>
        <v>--</v>
      </c>
      <c r="BQ36" s="160">
        <f>IF(Table645[[#This Row],[Column68]]="--",0,Table645[[#This Row],[Column4]]*Table645[[#This Row],[Column68]])</f>
        <v>0</v>
      </c>
      <c r="BR36" s="94"/>
      <c r="BS36" s="91" t="str">
        <f t="shared" ref="BS36:BS41" si="29">IF(BR36=0,"--",BR36*$BR$3/60/60/24)</f>
        <v>--</v>
      </c>
      <c r="BT36" s="92">
        <f>IF(Table645[[#This Row],[Column71]]="--",0,Table645[[#This Row],[Column4]]*Table645[[#This Row],[Column71]])</f>
        <v>0</v>
      </c>
      <c r="BU36" s="44"/>
      <c r="BV36" s="90"/>
      <c r="BW36" s="91" t="str">
        <f>IF(BV36=0,"--",(Table645[[#This Row],[Column73]]*$BV$4*(IF(J36&lt;0.5001,1,IF(J36&lt;2.0001,2,3)))+BV36/$BV$3)/60/24)</f>
        <v>--</v>
      </c>
      <c r="BX36" s="92">
        <f>IF(Table645[[#This Row],[Column75]]="--",0,Table645[[#This Row],[Column4]]*Table645[[#This Row],[Column75]])</f>
        <v>0</v>
      </c>
      <c r="BY36" s="95" t="s">
        <v>70</v>
      </c>
      <c r="BZ36" s="91" t="str">
        <f>IF(Table645[[#This Row],[Column74]]=0,"--",BW36*$BY$3)</f>
        <v>--</v>
      </c>
      <c r="CA36" s="89">
        <f>IF(Table645[[#This Row],[Column78]]="--",0,Table645[[#This Row],[Column4]]*Table645[[#This Row],[Column78]])</f>
        <v>0</v>
      </c>
      <c r="CB36" s="95" t="s">
        <v>70</v>
      </c>
      <c r="CC36" s="91" t="str">
        <f>IF(Table645[[#This Row],[Column10]]+Table645[[#This Row],[Column74]]=0,"--",J36*$CB$4*$CB$5/(24*60)+IF(Table645[[#This Row],[Column74]]=0,0,$CB$3*Table645[[#This Row],[Column75]]))</f>
        <v>--</v>
      </c>
      <c r="CD36" s="92">
        <f>IF(Table645[[#This Row],[Column81]]="--",0,Table645[[#This Row],[Column4]]*Table645[[#This Row],[Column81]])</f>
        <v>0</v>
      </c>
      <c r="CE36" s="215"/>
      <c r="CF36" s="91" t="str">
        <f t="shared" si="19"/>
        <v>--</v>
      </c>
      <c r="CG36" s="92">
        <f>IF(Table645[[#This Row],[Column84]]="--",0,Table645[[#This Row],[Column4]]*Table645[[#This Row],[Column84]])</f>
        <v>0</v>
      </c>
      <c r="CH36" s="226"/>
      <c r="CI36" s="216"/>
      <c r="CJ36" s="91" t="str">
        <f>IF(CI36=0,"--",(Table645[[#This Row],[Column86]]*$CI$4*(IF(W36&lt;0.5001,1,IF(W36&lt;2.0001,2,3)))+CI36/$CI$3)/60/24)</f>
        <v>--</v>
      </c>
      <c r="CK36" s="92">
        <f>IF(Table645[[#This Row],[Column88]]="--",0,Table645[[#This Row],[Column4]]*Table645[[#This Row],[Column88]])</f>
        <v>0</v>
      </c>
      <c r="CL36" s="217"/>
      <c r="CM36" s="91" t="str">
        <f>IF(Table645[[#This Row],[Column87]]=0,"--",CJ36*$CL$3)</f>
        <v>--</v>
      </c>
      <c r="CN36" s="92">
        <f>IF(Table645[[#This Row],[Column91]]="--",0,Table645[[#This Row],[Column4]]*Table645[[#This Row],[Column91]])</f>
        <v>0</v>
      </c>
      <c r="CO36" s="217"/>
      <c r="CP36" s="91" t="str">
        <f>IF(Table645[[#This Row],[Column10]]+Table645[[#This Row],[Column87]]=0, "--", IF($D36="", 1, $D36) * IF($J36="", 1, $J36) * $CO$3 * $CO$4 * IF(Table645[[#This Row],[Column95]]="", 1, Table645[[#This Row],[Column95]]) / (24 * 60))</f>
        <v>--</v>
      </c>
      <c r="CQ36" s="153"/>
      <c r="CR36" s="92">
        <f>IF(Table645[[#This Row],[Column94]]="--",0,Table645[[#This Row],[Column4]]*Table645[[#This Row],[Column94]])</f>
        <v>0</v>
      </c>
      <c r="CS36" s="218" t="str">
        <f>IF(Table645[[#This Row],[Column87]]="","",Table645[[#This Row],[Column87]])</f>
        <v/>
      </c>
      <c r="CT36" s="91" t="str">
        <f>IF(Table645[[#This Row],[Column97]]="","--",Table645[[#This Row],[Column97]]/$CS$3/60/24)</f>
        <v>--</v>
      </c>
      <c r="CU36" s="92">
        <f>IF(Table645[[#This Row],[Column98]]="--",0,Table645[[#This Row],[Column4]]*Table645[[#This Row],[Column98]])</f>
        <v>0</v>
      </c>
      <c r="CV36" s="93"/>
      <c r="CW36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36" s="91" t="str">
        <f>IF(OR(Table645[[#This Row],[Column74]]&gt;0,Table645[[#This Row],[Column87]]&gt;0),(Table645[[#This Row],[Column73]]+Table645[[#This Row],[Column86]]+1)*$CW$3/60/24,"--")</f>
        <v>--</v>
      </c>
      <c r="CY36" s="92">
        <f>IF(Table645[[#This Row],[Column102]]="--",0,Table645[[#This Row],[Column4]]*Table645[[#This Row],[Column102]])</f>
        <v>0</v>
      </c>
      <c r="CZ36" s="158" t="str">
        <f t="shared" ref="CZ36:CZ41" si="30">IF(J36=0,"--",J36/$CZ$3/(24)*DA36)</f>
        <v>--</v>
      </c>
      <c r="DA36" s="153"/>
      <c r="DB36" s="160">
        <f>IF(Table645[[#This Row],[Column104]]="--",0,Table645[[#This Row],[Column4]]*Table645[[#This Row],[Column104]])</f>
        <v>0</v>
      </c>
      <c r="DC36" s="219"/>
      <c r="DD36" s="220" t="str">
        <f>IF(DC36=0,"--",1/$DC$3*1000/(60*60*24)*Table645[[#This Row],[Column107]])</f>
        <v>--</v>
      </c>
      <c r="DE36" s="160">
        <f>IF(Table645[[#This Row],[Column108]]="--",0,Table645[[#This Row],[Column4]]*Table645[[#This Row],[Column108]])</f>
        <v>0</v>
      </c>
      <c r="DF36" s="101" t="s">
        <v>70</v>
      </c>
      <c r="DG36" s="91" t="str">
        <f t="shared" ref="DG36:DG41" si="31">IF(DA36=0,"--",(J36*$DF$3)/60/24)</f>
        <v>--</v>
      </c>
      <c r="DH36" s="89">
        <f>IF(Table645[[#This Row],[Column111]]="--",0,Table645[[#This Row],[Column4]]*Table645[[#This Row],[Column111]])</f>
        <v>0</v>
      </c>
      <c r="DI36" s="96"/>
      <c r="DJ36" s="96"/>
      <c r="DK36" s="96"/>
      <c r="DL36" s="96"/>
      <c r="DM36" s="96"/>
      <c r="DN36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36" s="89">
        <f>IF(Table645[[#This Row],[Column118]]="--",0,Table645[[#This Row],[Column4]]*Table645[[#This Row],[Column118]])</f>
        <v>0</v>
      </c>
      <c r="DP36" s="96"/>
      <c r="DQ36" s="96"/>
      <c r="DR36" s="91" t="str">
        <f t="shared" ref="DR36:DR41" si="32">IF(DP36+DQ36&gt;0,(DP36*$DQ$3+DQ36*$DQ$4)/60/24,IF(DN36="--","--",(DP36*$DQ$3+DQ36*$DQ$4)/60/24))</f>
        <v>--</v>
      </c>
      <c r="DS36" s="89">
        <f>IF(Table645[[#This Row],[Column122]]="--",0,Table645[[#This Row],[Column4]]*Table645[[#This Row],[Column122]])</f>
        <v>0</v>
      </c>
      <c r="DT36" t="str">
        <f>IF(Table645[[#This Row],[Column125]]=0,"--",Table645[[#This Row],[Column125]]*Table645[[#This Row],[Column126]]*Table645[[#This Row],[Column127]]/1000000000)</f>
        <v>--</v>
      </c>
      <c r="DU36" s="53"/>
      <c r="DV36" s="53"/>
      <c r="DW36" s="53"/>
      <c r="DX36" s="91" t="str">
        <f t="shared" ref="DX36:DX41" si="33">IF(DT36="--","--",(1+DT36*$DT$3)/60/24)</f>
        <v>--</v>
      </c>
      <c r="DY36" s="89">
        <f>IF(Table645[[#This Row],[Column128]]="--",0,Table645[[#This Row],[Column4]]*Table645[[#This Row],[Column128]])</f>
        <v>0</v>
      </c>
      <c r="EA36" s="89">
        <f>IF(Table645[[#This Row],[Column128]]="--",0,Table645[[#This Row],[Column4]]*Table645[[#This Row],[Column128]])</f>
        <v>0</v>
      </c>
      <c r="EC36" s="89">
        <f>IF(Table645[[#This Row],[Column128]]="--",0,Table645[[#This Row],[Column4]]*Table645[[#This Row],[Column128]])</f>
        <v>0</v>
      </c>
      <c r="EE36" s="89">
        <f>IF(Table645[[#This Row],[Column128]]="--",0,Table645[[#This Row],[Column4]]*Table645[[#This Row],[Column128]])</f>
        <v>0</v>
      </c>
      <c r="EG36" s="89">
        <f>IF(Table645[[#This Row],[Column128]]="--",0,Table645[[#This Row],[Column4]]*Table645[[#This Row],[Column128]])</f>
        <v>0</v>
      </c>
      <c r="EI36" s="89">
        <f>IF(Table645[[#This Row],[Column128]]="--",0,Table645[[#This Row],[Column4]]*Table645[[#This Row],[Column128]])</f>
        <v>0</v>
      </c>
    </row>
    <row r="37" spans="1:139" x14ac:dyDescent="0.25">
      <c r="A37" s="140"/>
      <c r="B37" s="79"/>
      <c r="C37" s="140"/>
      <c r="D37" s="167"/>
      <c r="E37" s="52"/>
      <c r="F37" s="81"/>
      <c r="G37" s="81"/>
      <c r="H37" s="102" t="str">
        <f t="shared" si="24"/>
        <v>--</v>
      </c>
      <c r="I37" s="100">
        <f>IF(Table645[[#This Row],[Column8]]="--",0,Table645[[#This Row],[Column4]]*Table645[[#This Row],[Column8]])</f>
        <v>0</v>
      </c>
      <c r="J37" s="169"/>
      <c r="K37" s="85">
        <f>Table645[[#This Row],[Column4]]*Table645[[#This Row],[Column10]]</f>
        <v>0</v>
      </c>
      <c r="L37" s="170" t="str">
        <f t="shared" si="25"/>
        <v>--</v>
      </c>
      <c r="M37" s="214">
        <f>IF(Table645[[#This Row],[Column10]]=0,0,Table645[[#This Row],[Column4]]*Table645[[#This Row],[Column12]])</f>
        <v>0</v>
      </c>
      <c r="N37" s="87" t="str">
        <f t="shared" si="26"/>
        <v>--</v>
      </c>
      <c r="O37" s="138"/>
      <c r="AZ37" s="89">
        <f>IF(Table645[[#This Row],[Column14]]="--",0,Table645[[#This Row],[Column4]]*Table645[[#This Row],[Column14]])</f>
        <v>0</v>
      </c>
      <c r="BA37" s="90"/>
      <c r="BB37" s="91" t="str">
        <f>IF(BA37=0,"--",BA37*$BA$3*IF(Table645[[#This Row],[Column5]]&lt;4.1,1,2)/60/24)</f>
        <v>--</v>
      </c>
      <c r="BC37" s="92">
        <f>IF(Table645[[#This Row],[Column54]]="--",0,Table645[[#This Row],[Column4]]*Table645[[#This Row],[Column54]])</f>
        <v>0</v>
      </c>
      <c r="BD37" s="119"/>
      <c r="BE37" s="99"/>
      <c r="BF37" s="119"/>
      <c r="BG37" s="91" t="str">
        <f>IF(BD37+Table645[[#This Row],[Column58]]=0,"--",(BD37*$BF$3*Table645[[#This Row],[Column57]]+Table645[[#This Row],[Column58]]*$BF$4)/60/24)</f>
        <v>--</v>
      </c>
      <c r="BH37" s="92">
        <f>IF(Table645[[#This Row],[Column59]]="--",0,Table645[[#This Row],[Column4]]*Table645[[#This Row],[Column59]])</f>
        <v>0</v>
      </c>
      <c r="BI37" s="119"/>
      <c r="BJ37" s="91" t="str">
        <f t="shared" si="15"/>
        <v>--</v>
      </c>
      <c r="BK37" s="92">
        <f>IF(Table645[[#This Row],[Column62]]="--",0,Table645[[#This Row],[Column4]]*Table645[[#This Row],[Column62]])</f>
        <v>0</v>
      </c>
      <c r="BL37" s="93"/>
      <c r="BM37" s="91" t="str">
        <f t="shared" si="27"/>
        <v>--</v>
      </c>
      <c r="BN37" s="89">
        <f>IF(Table645[[#This Row],[Column65]]="--",0,Table645[[#This Row],[Column4]]*Table645[[#This Row],[Column65]])</f>
        <v>0</v>
      </c>
      <c r="BO37" s="163"/>
      <c r="BP37" s="164" t="str">
        <f t="shared" si="28"/>
        <v>--</v>
      </c>
      <c r="BQ37" s="160">
        <f>IF(Table645[[#This Row],[Column68]]="--",0,Table645[[#This Row],[Column4]]*Table645[[#This Row],[Column68]])</f>
        <v>0</v>
      </c>
      <c r="BR37" s="94"/>
      <c r="BS37" s="91" t="str">
        <f t="shared" si="29"/>
        <v>--</v>
      </c>
      <c r="BT37" s="92">
        <f>IF(Table645[[#This Row],[Column71]]="--",0,Table645[[#This Row],[Column4]]*Table645[[#This Row],[Column71]])</f>
        <v>0</v>
      </c>
      <c r="BU37" s="44"/>
      <c r="BV37" s="90"/>
      <c r="BW37" s="91" t="str">
        <f>IF(BV37=0,"--",(Table645[[#This Row],[Column73]]*$BV$4*(IF(J37&lt;0.5001,1,IF(J37&lt;2.0001,2,3)))+BV37/$BV$3)/60/24)</f>
        <v>--</v>
      </c>
      <c r="BX37" s="92">
        <f>IF(Table645[[#This Row],[Column75]]="--",0,Table645[[#This Row],[Column4]]*Table645[[#This Row],[Column75]])</f>
        <v>0</v>
      </c>
      <c r="BY37" s="95" t="s">
        <v>70</v>
      </c>
      <c r="BZ37" s="91" t="str">
        <f>IF(Table645[[#This Row],[Column74]]=0,"--",BW37*$BY$3)</f>
        <v>--</v>
      </c>
      <c r="CA37" s="89">
        <f>IF(Table645[[#This Row],[Column78]]="--",0,Table645[[#This Row],[Column4]]*Table645[[#This Row],[Column78]])</f>
        <v>0</v>
      </c>
      <c r="CB37" s="95" t="s">
        <v>70</v>
      </c>
      <c r="CC37" s="91" t="str">
        <f>IF(Table645[[#This Row],[Column10]]+Table645[[#This Row],[Column74]]=0,"--",J37*$CB$4*$CB$5/(24*60)+IF(Table645[[#This Row],[Column74]]=0,0,$CB$3*Table645[[#This Row],[Column75]]))</f>
        <v>--</v>
      </c>
      <c r="CD37" s="92">
        <f>IF(Table645[[#This Row],[Column81]]="--",0,Table645[[#This Row],[Column4]]*Table645[[#This Row],[Column81]])</f>
        <v>0</v>
      </c>
      <c r="CE37" s="215"/>
      <c r="CF37" s="91" t="str">
        <f t="shared" si="19"/>
        <v>--</v>
      </c>
      <c r="CG37" s="92">
        <f>IF(Table645[[#This Row],[Column84]]="--",0,Table645[[#This Row],[Column4]]*Table645[[#This Row],[Column84]])</f>
        <v>0</v>
      </c>
      <c r="CH37" s="226"/>
      <c r="CI37" s="216"/>
      <c r="CJ37" s="91" t="str">
        <f>IF(CI37=0,"--",(Table645[[#This Row],[Column86]]*$CI$4*(IF(W37&lt;0.5001,1,IF(W37&lt;2.0001,2,3)))+CI37/$CI$3)/60/24)</f>
        <v>--</v>
      </c>
      <c r="CK37" s="92">
        <f>IF(Table645[[#This Row],[Column88]]="--",0,Table645[[#This Row],[Column4]]*Table645[[#This Row],[Column88]])</f>
        <v>0</v>
      </c>
      <c r="CL37" s="217"/>
      <c r="CM37" s="91" t="str">
        <f>IF(Table645[[#This Row],[Column87]]=0,"--",CJ37*$CL$3)</f>
        <v>--</v>
      </c>
      <c r="CN37" s="92">
        <f>IF(Table645[[#This Row],[Column91]]="--",0,Table645[[#This Row],[Column4]]*Table645[[#This Row],[Column91]])</f>
        <v>0</v>
      </c>
      <c r="CO37" s="217"/>
      <c r="CP37" s="91" t="str">
        <f>IF(Table645[[#This Row],[Column10]]+Table645[[#This Row],[Column87]]=0, "--", IF($D37="", 1, $D37) * IF($J37="", 1, $J37) * $CO$3 * $CO$4 * IF(Table645[[#This Row],[Column95]]="", 1, Table645[[#This Row],[Column95]]) / (24 * 60))</f>
        <v>--</v>
      </c>
      <c r="CQ37" s="153"/>
      <c r="CR37" s="92">
        <f>IF(Table645[[#This Row],[Column94]]="--",0,Table645[[#This Row],[Column4]]*Table645[[#This Row],[Column94]])</f>
        <v>0</v>
      </c>
      <c r="CS37" s="218" t="str">
        <f>IF(Table645[[#This Row],[Column87]]="","",Table645[[#This Row],[Column87]])</f>
        <v/>
      </c>
      <c r="CT37" s="91" t="str">
        <f>IF(Table645[[#This Row],[Column97]]="","--",Table645[[#This Row],[Column97]]/$CS$3/60/24)</f>
        <v>--</v>
      </c>
      <c r="CU37" s="92">
        <f>IF(Table645[[#This Row],[Column98]]="--",0,Table645[[#This Row],[Column4]]*Table645[[#This Row],[Column98]])</f>
        <v>0</v>
      </c>
      <c r="CV37" s="93"/>
      <c r="CW37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37" s="91" t="str">
        <f>IF(OR(Table645[[#This Row],[Column74]]&gt;0,Table645[[#This Row],[Column87]]&gt;0),(Table645[[#This Row],[Column73]]+Table645[[#This Row],[Column86]]+1)*$CW$3/60/24,"--")</f>
        <v>--</v>
      </c>
      <c r="CY37" s="92">
        <f>IF(Table645[[#This Row],[Column102]]="--",0,Table645[[#This Row],[Column4]]*Table645[[#This Row],[Column102]])</f>
        <v>0</v>
      </c>
      <c r="CZ37" s="158" t="str">
        <f t="shared" si="30"/>
        <v>--</v>
      </c>
      <c r="DA37" s="153"/>
      <c r="DB37" s="160">
        <f>IF(Table645[[#This Row],[Column104]]="--",0,Table645[[#This Row],[Column4]]*Table645[[#This Row],[Column104]])</f>
        <v>0</v>
      </c>
      <c r="DC37" s="219"/>
      <c r="DD37" s="220" t="str">
        <f>IF(DC37=0,"--",1/$DC$3*1000/(60*60*24)*Table645[[#This Row],[Column107]])</f>
        <v>--</v>
      </c>
      <c r="DE37" s="160">
        <f>IF(Table645[[#This Row],[Column108]]="--",0,Table645[[#This Row],[Column4]]*Table645[[#This Row],[Column108]])</f>
        <v>0</v>
      </c>
      <c r="DF37" s="101" t="s">
        <v>70</v>
      </c>
      <c r="DG37" s="91" t="str">
        <f t="shared" si="31"/>
        <v>--</v>
      </c>
      <c r="DH37" s="89">
        <f>IF(Table645[[#This Row],[Column111]]="--",0,Table645[[#This Row],[Column4]]*Table645[[#This Row],[Column111]])</f>
        <v>0</v>
      </c>
      <c r="DI37" s="96"/>
      <c r="DJ37" s="96"/>
      <c r="DK37" s="96"/>
      <c r="DL37" s="96"/>
      <c r="DM37" s="96"/>
      <c r="DN37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37" s="89">
        <f>IF(Table645[[#This Row],[Column118]]="--",0,Table645[[#This Row],[Column4]]*Table645[[#This Row],[Column118]])</f>
        <v>0</v>
      </c>
      <c r="DP37" s="96"/>
      <c r="DQ37" s="96"/>
      <c r="DR37" s="91" t="str">
        <f t="shared" si="32"/>
        <v>--</v>
      </c>
      <c r="DS37" s="89">
        <f>IF(Table645[[#This Row],[Column122]]="--",0,Table645[[#This Row],[Column4]]*Table645[[#This Row],[Column122]])</f>
        <v>0</v>
      </c>
      <c r="DT37" t="str">
        <f>IF(Table645[[#This Row],[Column125]]=0,"--",Table645[[#This Row],[Column125]]*Table645[[#This Row],[Column126]]*Table645[[#This Row],[Column127]]/1000000000)</f>
        <v>--</v>
      </c>
      <c r="DU37" s="53"/>
      <c r="DV37" s="53"/>
      <c r="DW37" s="53"/>
      <c r="DX37" s="91" t="str">
        <f t="shared" si="33"/>
        <v>--</v>
      </c>
      <c r="DY37" s="89">
        <f>IF(Table645[[#This Row],[Column128]]="--",0,Table645[[#This Row],[Column4]]*Table645[[#This Row],[Column128]])</f>
        <v>0</v>
      </c>
      <c r="EA37" s="89">
        <f>IF(Table645[[#This Row],[Column128]]="--",0,Table645[[#This Row],[Column4]]*Table645[[#This Row],[Column128]])</f>
        <v>0</v>
      </c>
      <c r="EC37" s="89">
        <f>IF(Table645[[#This Row],[Column128]]="--",0,Table645[[#This Row],[Column4]]*Table645[[#This Row],[Column128]])</f>
        <v>0</v>
      </c>
      <c r="EE37" s="89">
        <f>IF(Table645[[#This Row],[Column128]]="--",0,Table645[[#This Row],[Column4]]*Table645[[#This Row],[Column128]])</f>
        <v>0</v>
      </c>
      <c r="EG37" s="89">
        <f>IF(Table645[[#This Row],[Column128]]="--",0,Table645[[#This Row],[Column4]]*Table645[[#This Row],[Column128]])</f>
        <v>0</v>
      </c>
      <c r="EI37" s="89">
        <f>IF(Table645[[#This Row],[Column128]]="--",0,Table645[[#This Row],[Column4]]*Table645[[#This Row],[Column128]])</f>
        <v>0</v>
      </c>
    </row>
    <row r="38" spans="1:139" x14ac:dyDescent="0.25">
      <c r="A38" s="140"/>
      <c r="B38" s="79"/>
      <c r="C38" s="140"/>
      <c r="D38" s="167"/>
      <c r="E38" s="52"/>
      <c r="F38" s="81"/>
      <c r="G38" s="81"/>
      <c r="H38" s="102" t="str">
        <f t="shared" si="24"/>
        <v>--</v>
      </c>
      <c r="I38" s="100">
        <f>IF(Table645[[#This Row],[Column8]]="--",0,Table645[[#This Row],[Column4]]*Table645[[#This Row],[Column8]])</f>
        <v>0</v>
      </c>
      <c r="J38" s="169"/>
      <c r="K38" s="85">
        <f>Table645[[#This Row],[Column4]]*Table645[[#This Row],[Column10]]</f>
        <v>0</v>
      </c>
      <c r="L38" s="170" t="str">
        <f t="shared" si="25"/>
        <v>--</v>
      </c>
      <c r="M38" s="214">
        <f>IF(Table645[[#This Row],[Column10]]=0,0,Table645[[#This Row],[Column4]]*Table645[[#This Row],[Column12]])</f>
        <v>0</v>
      </c>
      <c r="N38" s="87" t="str">
        <f t="shared" si="26"/>
        <v>--</v>
      </c>
      <c r="O38" s="138"/>
      <c r="AZ38" s="89">
        <f>IF(Table645[[#This Row],[Column14]]="--",0,Table645[[#This Row],[Column4]]*Table645[[#This Row],[Column14]])</f>
        <v>0</v>
      </c>
      <c r="BA38" s="90"/>
      <c r="BB38" s="91" t="str">
        <f>IF(BA38=0,"--",BA38*$BA$3*IF(Table645[[#This Row],[Column5]]&lt;4.1,1,2)/60/24)</f>
        <v>--</v>
      </c>
      <c r="BC38" s="92">
        <f>IF(Table645[[#This Row],[Column54]]="--",0,Table645[[#This Row],[Column4]]*Table645[[#This Row],[Column54]])</f>
        <v>0</v>
      </c>
      <c r="BD38" s="119"/>
      <c r="BE38" s="99"/>
      <c r="BF38" s="119"/>
      <c r="BG38" s="91" t="str">
        <f>IF(BD38+Table645[[#This Row],[Column58]]=0,"--",(BD38*$BF$3*Table645[[#This Row],[Column57]]+Table645[[#This Row],[Column58]]*$BF$4)/60/24)</f>
        <v>--</v>
      </c>
      <c r="BH38" s="92">
        <f>IF(Table645[[#This Row],[Column59]]="--",0,Table645[[#This Row],[Column4]]*Table645[[#This Row],[Column59]])</f>
        <v>0</v>
      </c>
      <c r="BI38" s="119"/>
      <c r="BJ38" s="91" t="str">
        <f t="shared" si="15"/>
        <v>--</v>
      </c>
      <c r="BK38" s="92">
        <f>IF(Table645[[#This Row],[Column62]]="--",0,Table645[[#This Row],[Column4]]*Table645[[#This Row],[Column62]])</f>
        <v>0</v>
      </c>
      <c r="BL38" s="93"/>
      <c r="BM38" s="91" t="str">
        <f t="shared" si="27"/>
        <v>--</v>
      </c>
      <c r="BN38" s="89">
        <f>IF(Table645[[#This Row],[Column65]]="--",0,Table645[[#This Row],[Column4]]*Table645[[#This Row],[Column65]])</f>
        <v>0</v>
      </c>
      <c r="BO38" s="163"/>
      <c r="BP38" s="164" t="str">
        <f t="shared" si="28"/>
        <v>--</v>
      </c>
      <c r="BQ38" s="160">
        <f>IF(Table645[[#This Row],[Column68]]="--",0,Table645[[#This Row],[Column4]]*Table645[[#This Row],[Column68]])</f>
        <v>0</v>
      </c>
      <c r="BR38" s="94"/>
      <c r="BS38" s="91" t="str">
        <f t="shared" si="29"/>
        <v>--</v>
      </c>
      <c r="BT38" s="92">
        <f>IF(Table645[[#This Row],[Column71]]="--",0,Table645[[#This Row],[Column4]]*Table645[[#This Row],[Column71]])</f>
        <v>0</v>
      </c>
      <c r="BU38" s="44"/>
      <c r="BV38" s="90"/>
      <c r="BW38" s="91" t="str">
        <f>IF(BV38=0,"--",(Table645[[#This Row],[Column73]]*$BV$4*(IF(J38&lt;0.5001,1,IF(J38&lt;2.0001,2,3)))+BV38/$BV$3)/60/24)</f>
        <v>--</v>
      </c>
      <c r="BX38" s="92">
        <f>IF(Table645[[#This Row],[Column75]]="--",0,Table645[[#This Row],[Column4]]*Table645[[#This Row],[Column75]])</f>
        <v>0</v>
      </c>
      <c r="BY38" s="95" t="s">
        <v>70</v>
      </c>
      <c r="BZ38" s="91" t="str">
        <f>IF(Table645[[#This Row],[Column74]]=0,"--",BW38*$BY$3)</f>
        <v>--</v>
      </c>
      <c r="CA38" s="89">
        <f>IF(Table645[[#This Row],[Column78]]="--",0,Table645[[#This Row],[Column4]]*Table645[[#This Row],[Column78]])</f>
        <v>0</v>
      </c>
      <c r="CB38" s="95" t="s">
        <v>70</v>
      </c>
      <c r="CC38" s="91" t="str">
        <f>IF(Table645[[#This Row],[Column10]]+Table645[[#This Row],[Column74]]=0,"--",J38*$CB$4*$CB$5/(24*60)+IF(Table645[[#This Row],[Column74]]=0,0,$CB$3*Table645[[#This Row],[Column75]]))</f>
        <v>--</v>
      </c>
      <c r="CD38" s="92">
        <f>IF(Table645[[#This Row],[Column81]]="--",0,Table645[[#This Row],[Column4]]*Table645[[#This Row],[Column81]])</f>
        <v>0</v>
      </c>
      <c r="CE38" s="215"/>
      <c r="CF38" s="91" t="str">
        <f t="shared" si="19"/>
        <v>--</v>
      </c>
      <c r="CG38" s="92">
        <f>IF(Table645[[#This Row],[Column84]]="--",0,Table645[[#This Row],[Column4]]*Table645[[#This Row],[Column84]])</f>
        <v>0</v>
      </c>
      <c r="CH38" s="226"/>
      <c r="CI38" s="216"/>
      <c r="CJ38" s="91" t="str">
        <f>IF(CI38=0,"--",(Table645[[#This Row],[Column86]]*$CI$4*(IF(W38&lt;0.5001,1,IF(W38&lt;2.0001,2,3)))+CI38/$CI$3)/60/24)</f>
        <v>--</v>
      </c>
      <c r="CK38" s="92">
        <f>IF(Table645[[#This Row],[Column88]]="--",0,Table645[[#This Row],[Column4]]*Table645[[#This Row],[Column88]])</f>
        <v>0</v>
      </c>
      <c r="CL38" s="217"/>
      <c r="CM38" s="91" t="str">
        <f>IF(Table645[[#This Row],[Column87]]=0,"--",CJ38*$CL$3)</f>
        <v>--</v>
      </c>
      <c r="CN38" s="92">
        <f>IF(Table645[[#This Row],[Column91]]="--",0,Table645[[#This Row],[Column4]]*Table645[[#This Row],[Column91]])</f>
        <v>0</v>
      </c>
      <c r="CO38" s="217"/>
      <c r="CP38" s="91" t="str">
        <f>IF(Table645[[#This Row],[Column10]]+Table645[[#This Row],[Column87]]=0, "--", IF($D38="", 1, $D38) * IF($J38="", 1, $J38) * $CO$3 * $CO$4 * IF(Table645[[#This Row],[Column95]]="", 1, Table645[[#This Row],[Column95]]) / (24 * 60))</f>
        <v>--</v>
      </c>
      <c r="CQ38" s="153"/>
      <c r="CR38" s="92">
        <f>IF(Table645[[#This Row],[Column94]]="--",0,Table645[[#This Row],[Column4]]*Table645[[#This Row],[Column94]])</f>
        <v>0</v>
      </c>
      <c r="CS38" s="218" t="str">
        <f>IF(Table645[[#This Row],[Column87]]="","",Table645[[#This Row],[Column87]])</f>
        <v/>
      </c>
      <c r="CT38" s="91" t="str">
        <f>IF(Table645[[#This Row],[Column97]]="","--",Table645[[#This Row],[Column97]]/$CS$3/60/24)</f>
        <v>--</v>
      </c>
      <c r="CU38" s="92">
        <f>IF(Table645[[#This Row],[Column98]]="--",0,Table645[[#This Row],[Column4]]*Table645[[#This Row],[Column98]])</f>
        <v>0</v>
      </c>
      <c r="CV38" s="93"/>
      <c r="CW38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38" s="91" t="str">
        <f>IF(OR(Table645[[#This Row],[Column74]]&gt;0,Table645[[#This Row],[Column87]]&gt;0),(Table645[[#This Row],[Column73]]+Table645[[#This Row],[Column86]]+1)*$CW$3/60/24,"--")</f>
        <v>--</v>
      </c>
      <c r="CY38" s="92">
        <f>IF(Table645[[#This Row],[Column102]]="--",0,Table645[[#This Row],[Column4]]*Table645[[#This Row],[Column102]])</f>
        <v>0</v>
      </c>
      <c r="CZ38" s="158" t="str">
        <f t="shared" si="30"/>
        <v>--</v>
      </c>
      <c r="DA38" s="153"/>
      <c r="DB38" s="160">
        <f>IF(Table645[[#This Row],[Column104]]="--",0,Table645[[#This Row],[Column4]]*Table645[[#This Row],[Column104]])</f>
        <v>0</v>
      </c>
      <c r="DC38" s="219"/>
      <c r="DD38" s="220" t="str">
        <f>IF(DC38=0,"--",1/$DC$3*1000/(60*60*24)*Table645[[#This Row],[Column107]])</f>
        <v>--</v>
      </c>
      <c r="DE38" s="160">
        <f>IF(Table645[[#This Row],[Column108]]="--",0,Table645[[#This Row],[Column4]]*Table645[[#This Row],[Column108]])</f>
        <v>0</v>
      </c>
      <c r="DF38" s="101" t="s">
        <v>70</v>
      </c>
      <c r="DG38" s="91" t="str">
        <f t="shared" si="31"/>
        <v>--</v>
      </c>
      <c r="DH38" s="89">
        <f>IF(Table645[[#This Row],[Column111]]="--",0,Table645[[#This Row],[Column4]]*Table645[[#This Row],[Column111]])</f>
        <v>0</v>
      </c>
      <c r="DI38" s="96"/>
      <c r="DJ38" s="96"/>
      <c r="DK38" s="96"/>
      <c r="DL38" s="96"/>
      <c r="DM38" s="96"/>
      <c r="DN38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38" s="89">
        <f>IF(Table645[[#This Row],[Column118]]="--",0,Table645[[#This Row],[Column4]]*Table645[[#This Row],[Column118]])</f>
        <v>0</v>
      </c>
      <c r="DP38" s="96"/>
      <c r="DQ38" s="96"/>
      <c r="DR38" s="91" t="str">
        <f t="shared" si="32"/>
        <v>--</v>
      </c>
      <c r="DS38" s="89">
        <f>IF(Table645[[#This Row],[Column122]]="--",0,Table645[[#This Row],[Column4]]*Table645[[#This Row],[Column122]])</f>
        <v>0</v>
      </c>
      <c r="DT38" t="str">
        <f>IF(Table645[[#This Row],[Column125]]=0,"--",Table645[[#This Row],[Column125]]*Table645[[#This Row],[Column126]]*Table645[[#This Row],[Column127]]/1000000000)</f>
        <v>--</v>
      </c>
      <c r="DU38" s="53"/>
      <c r="DV38" s="53"/>
      <c r="DW38" s="53"/>
      <c r="DX38" s="91" t="str">
        <f t="shared" si="33"/>
        <v>--</v>
      </c>
      <c r="DY38" s="89">
        <f>IF(Table645[[#This Row],[Column128]]="--",0,Table645[[#This Row],[Column4]]*Table645[[#This Row],[Column128]])</f>
        <v>0</v>
      </c>
      <c r="EA38" s="89">
        <f>IF(Table645[[#This Row],[Column128]]="--",0,Table645[[#This Row],[Column4]]*Table645[[#This Row],[Column128]])</f>
        <v>0</v>
      </c>
      <c r="EC38" s="89">
        <f>IF(Table645[[#This Row],[Column128]]="--",0,Table645[[#This Row],[Column4]]*Table645[[#This Row],[Column128]])</f>
        <v>0</v>
      </c>
      <c r="EE38" s="89">
        <f>IF(Table645[[#This Row],[Column128]]="--",0,Table645[[#This Row],[Column4]]*Table645[[#This Row],[Column128]])</f>
        <v>0</v>
      </c>
      <c r="EG38" s="89">
        <f>IF(Table645[[#This Row],[Column128]]="--",0,Table645[[#This Row],[Column4]]*Table645[[#This Row],[Column128]])</f>
        <v>0</v>
      </c>
      <c r="EI38" s="89">
        <f>IF(Table645[[#This Row],[Column128]]="--",0,Table645[[#This Row],[Column4]]*Table645[[#This Row],[Column128]])</f>
        <v>0</v>
      </c>
    </row>
    <row r="39" spans="1:139" x14ac:dyDescent="0.25">
      <c r="A39" s="140"/>
      <c r="B39" s="79"/>
      <c r="C39" s="140"/>
      <c r="D39" s="167"/>
      <c r="E39" s="52"/>
      <c r="F39" s="81"/>
      <c r="G39" s="81"/>
      <c r="H39" s="102" t="str">
        <f t="shared" si="24"/>
        <v>--</v>
      </c>
      <c r="I39" s="100">
        <f>IF(Table645[[#This Row],[Column8]]="--",0,Table645[[#This Row],[Column4]]*Table645[[#This Row],[Column8]])</f>
        <v>0</v>
      </c>
      <c r="J39" s="169"/>
      <c r="K39" s="85">
        <f>Table645[[#This Row],[Column4]]*Table645[[#This Row],[Column10]]</f>
        <v>0</v>
      </c>
      <c r="L39" s="170" t="str">
        <f t="shared" si="25"/>
        <v>--</v>
      </c>
      <c r="M39" s="214">
        <f>IF(Table645[[#This Row],[Column10]]=0,0,Table645[[#This Row],[Column4]]*Table645[[#This Row],[Column12]])</f>
        <v>0</v>
      </c>
      <c r="N39" s="87" t="str">
        <f t="shared" si="26"/>
        <v>--</v>
      </c>
      <c r="O39" s="138"/>
      <c r="AZ39" s="89">
        <f>IF(Table645[[#This Row],[Column14]]="--",0,Table645[[#This Row],[Column4]]*Table645[[#This Row],[Column14]])</f>
        <v>0</v>
      </c>
      <c r="BA39" s="90"/>
      <c r="BB39" s="91" t="str">
        <f>IF(BA39=0,"--",BA39*$BA$3*IF(Table645[[#This Row],[Column5]]&lt;4.1,1,2)/60/24)</f>
        <v>--</v>
      </c>
      <c r="BC39" s="92">
        <f>IF(Table645[[#This Row],[Column54]]="--",0,Table645[[#This Row],[Column4]]*Table645[[#This Row],[Column54]])</f>
        <v>0</v>
      </c>
      <c r="BD39" s="119"/>
      <c r="BE39" s="99"/>
      <c r="BF39" s="119"/>
      <c r="BG39" s="91" t="str">
        <f>IF(BD39+Table645[[#This Row],[Column58]]=0,"--",(BD39*$BF$3*Table645[[#This Row],[Column57]]+Table645[[#This Row],[Column58]]*$BF$4)/60/24)</f>
        <v>--</v>
      </c>
      <c r="BH39" s="92">
        <f>IF(Table645[[#This Row],[Column59]]="--",0,Table645[[#This Row],[Column4]]*Table645[[#This Row],[Column59]])</f>
        <v>0</v>
      </c>
      <c r="BI39" s="119"/>
      <c r="BJ39" s="91" t="str">
        <f t="shared" si="15"/>
        <v>--</v>
      </c>
      <c r="BK39" s="92">
        <f>IF(Table645[[#This Row],[Column62]]="--",0,Table645[[#This Row],[Column4]]*Table645[[#This Row],[Column62]])</f>
        <v>0</v>
      </c>
      <c r="BL39" s="93"/>
      <c r="BM39" s="91" t="str">
        <f t="shared" si="27"/>
        <v>--</v>
      </c>
      <c r="BN39" s="89">
        <f>IF(Table645[[#This Row],[Column65]]="--",0,Table645[[#This Row],[Column4]]*Table645[[#This Row],[Column65]])</f>
        <v>0</v>
      </c>
      <c r="BO39" s="163"/>
      <c r="BP39" s="164" t="str">
        <f t="shared" si="28"/>
        <v>--</v>
      </c>
      <c r="BQ39" s="160">
        <f>IF(Table645[[#This Row],[Column68]]="--",0,Table645[[#This Row],[Column4]]*Table645[[#This Row],[Column68]])</f>
        <v>0</v>
      </c>
      <c r="BR39" s="94"/>
      <c r="BS39" s="91" t="str">
        <f t="shared" si="29"/>
        <v>--</v>
      </c>
      <c r="BT39" s="92">
        <f>IF(Table645[[#This Row],[Column71]]="--",0,Table645[[#This Row],[Column4]]*Table645[[#This Row],[Column71]])</f>
        <v>0</v>
      </c>
      <c r="BU39" s="44"/>
      <c r="BV39" s="90"/>
      <c r="BW39" s="91" t="str">
        <f>IF(BV39=0,"--",(Table645[[#This Row],[Column73]]*$BV$4*(IF(J39&lt;0.5001,1,IF(J39&lt;2.0001,2,3)))+BV39/$BV$3)/60/24)</f>
        <v>--</v>
      </c>
      <c r="BX39" s="92">
        <f>IF(Table645[[#This Row],[Column75]]="--",0,Table645[[#This Row],[Column4]]*Table645[[#This Row],[Column75]])</f>
        <v>0</v>
      </c>
      <c r="BY39" s="95" t="s">
        <v>70</v>
      </c>
      <c r="BZ39" s="91" t="str">
        <f>IF(Table645[[#This Row],[Column74]]=0,"--",BW39*$BY$3)</f>
        <v>--</v>
      </c>
      <c r="CA39" s="89">
        <f>IF(Table645[[#This Row],[Column78]]="--",0,Table645[[#This Row],[Column4]]*Table645[[#This Row],[Column78]])</f>
        <v>0</v>
      </c>
      <c r="CB39" s="95" t="s">
        <v>70</v>
      </c>
      <c r="CC39" s="91" t="str">
        <f>IF(Table645[[#This Row],[Column10]]+Table645[[#This Row],[Column74]]=0,"--",J39*$CB$4*$CB$5/(24*60)+IF(Table645[[#This Row],[Column74]]=0,0,$CB$3*Table645[[#This Row],[Column75]]))</f>
        <v>--</v>
      </c>
      <c r="CD39" s="92">
        <f>IF(Table645[[#This Row],[Column81]]="--",0,Table645[[#This Row],[Column4]]*Table645[[#This Row],[Column81]])</f>
        <v>0</v>
      </c>
      <c r="CE39" s="215"/>
      <c r="CF39" s="91" t="str">
        <f t="shared" si="19"/>
        <v>--</v>
      </c>
      <c r="CG39" s="92">
        <f>IF(Table645[[#This Row],[Column84]]="--",0,Table645[[#This Row],[Column4]]*Table645[[#This Row],[Column84]])</f>
        <v>0</v>
      </c>
      <c r="CH39" s="226"/>
      <c r="CI39" s="216"/>
      <c r="CJ39" s="91" t="str">
        <f>IF(CI39=0,"--",(Table645[[#This Row],[Column86]]*$CI$4*(IF(W39&lt;0.5001,1,IF(W39&lt;2.0001,2,3)))+CI39/$CI$3)/60/24)</f>
        <v>--</v>
      </c>
      <c r="CK39" s="92">
        <f>IF(Table645[[#This Row],[Column88]]="--",0,Table645[[#This Row],[Column4]]*Table645[[#This Row],[Column88]])</f>
        <v>0</v>
      </c>
      <c r="CL39" s="217"/>
      <c r="CM39" s="91" t="str">
        <f>IF(Table645[[#This Row],[Column87]]=0,"--",CJ39*$CL$3)</f>
        <v>--</v>
      </c>
      <c r="CN39" s="92">
        <f>IF(Table645[[#This Row],[Column91]]="--",0,Table645[[#This Row],[Column4]]*Table645[[#This Row],[Column91]])</f>
        <v>0</v>
      </c>
      <c r="CO39" s="217"/>
      <c r="CP39" s="91" t="str">
        <f>IF(Table645[[#This Row],[Column10]]+Table645[[#This Row],[Column87]]=0, "--", IF($D39="", 1, $D39) * IF($J39="", 1, $J39) * $CO$3 * $CO$4 * IF(Table645[[#This Row],[Column95]]="", 1, Table645[[#This Row],[Column95]]) / (24 * 60))</f>
        <v>--</v>
      </c>
      <c r="CQ39" s="153"/>
      <c r="CR39" s="92">
        <f>IF(Table645[[#This Row],[Column94]]="--",0,Table645[[#This Row],[Column4]]*Table645[[#This Row],[Column94]])</f>
        <v>0</v>
      </c>
      <c r="CS39" s="218" t="str">
        <f>IF(Table645[[#This Row],[Column87]]="","",Table645[[#This Row],[Column87]])</f>
        <v/>
      </c>
      <c r="CT39" s="91" t="str">
        <f>IF(Table645[[#This Row],[Column97]]="","--",Table645[[#This Row],[Column97]]/$CS$3/60/24)</f>
        <v>--</v>
      </c>
      <c r="CU39" s="92">
        <f>IF(Table645[[#This Row],[Column98]]="--",0,Table645[[#This Row],[Column4]]*Table645[[#This Row],[Column98]])</f>
        <v>0</v>
      </c>
      <c r="CV39" s="93"/>
      <c r="CW39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39" s="91" t="str">
        <f>IF(OR(Table645[[#This Row],[Column74]]&gt;0,Table645[[#This Row],[Column87]]&gt;0),(Table645[[#This Row],[Column73]]+Table645[[#This Row],[Column86]]+1)*$CW$3/60/24,"--")</f>
        <v>--</v>
      </c>
      <c r="CY39" s="92">
        <f>IF(Table645[[#This Row],[Column102]]="--",0,Table645[[#This Row],[Column4]]*Table645[[#This Row],[Column102]])</f>
        <v>0</v>
      </c>
      <c r="CZ39" s="158" t="str">
        <f t="shared" si="30"/>
        <v>--</v>
      </c>
      <c r="DA39" s="153"/>
      <c r="DB39" s="160">
        <f>IF(Table645[[#This Row],[Column104]]="--",0,Table645[[#This Row],[Column4]]*Table645[[#This Row],[Column104]])</f>
        <v>0</v>
      </c>
      <c r="DC39" s="219"/>
      <c r="DD39" s="220" t="str">
        <f>IF(DC39=0,"--",1/$DC$3*1000/(60*60*24)*Table645[[#This Row],[Column107]])</f>
        <v>--</v>
      </c>
      <c r="DE39" s="160">
        <f>IF(Table645[[#This Row],[Column108]]="--",0,Table645[[#This Row],[Column4]]*Table645[[#This Row],[Column108]])</f>
        <v>0</v>
      </c>
      <c r="DF39" s="101" t="s">
        <v>70</v>
      </c>
      <c r="DG39" s="91" t="str">
        <f t="shared" si="31"/>
        <v>--</v>
      </c>
      <c r="DH39" s="89">
        <f>IF(Table645[[#This Row],[Column111]]="--",0,Table645[[#This Row],[Column4]]*Table645[[#This Row],[Column111]])</f>
        <v>0</v>
      </c>
      <c r="DI39" s="96"/>
      <c r="DJ39" s="96"/>
      <c r="DK39" s="96"/>
      <c r="DL39" s="96"/>
      <c r="DM39" s="96"/>
      <c r="DN39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39" s="89">
        <f>IF(Table645[[#This Row],[Column118]]="--",0,Table645[[#This Row],[Column4]]*Table645[[#This Row],[Column118]])</f>
        <v>0</v>
      </c>
      <c r="DP39" s="96"/>
      <c r="DQ39" s="96"/>
      <c r="DR39" s="91" t="str">
        <f t="shared" si="32"/>
        <v>--</v>
      </c>
      <c r="DS39" s="89">
        <f>IF(Table645[[#This Row],[Column122]]="--",0,Table645[[#This Row],[Column4]]*Table645[[#This Row],[Column122]])</f>
        <v>0</v>
      </c>
      <c r="DT39" t="str">
        <f>IF(Table645[[#This Row],[Column125]]=0,"--",Table645[[#This Row],[Column125]]*Table645[[#This Row],[Column126]]*Table645[[#This Row],[Column127]]/1000000000)</f>
        <v>--</v>
      </c>
      <c r="DU39" s="53"/>
      <c r="DV39" s="53"/>
      <c r="DW39" s="53"/>
      <c r="DX39" s="91" t="str">
        <f t="shared" si="33"/>
        <v>--</v>
      </c>
      <c r="DY39" s="89">
        <f>IF(Table645[[#This Row],[Column128]]="--",0,Table645[[#This Row],[Column4]]*Table645[[#This Row],[Column128]])</f>
        <v>0</v>
      </c>
      <c r="EA39" s="89">
        <f>IF(Table645[[#This Row],[Column128]]="--",0,Table645[[#This Row],[Column4]]*Table645[[#This Row],[Column128]])</f>
        <v>0</v>
      </c>
      <c r="EC39" s="89">
        <f>IF(Table645[[#This Row],[Column128]]="--",0,Table645[[#This Row],[Column4]]*Table645[[#This Row],[Column128]])</f>
        <v>0</v>
      </c>
      <c r="EE39" s="89">
        <f>IF(Table645[[#This Row],[Column128]]="--",0,Table645[[#This Row],[Column4]]*Table645[[#This Row],[Column128]])</f>
        <v>0</v>
      </c>
      <c r="EG39" s="89">
        <f>IF(Table645[[#This Row],[Column128]]="--",0,Table645[[#This Row],[Column4]]*Table645[[#This Row],[Column128]])</f>
        <v>0</v>
      </c>
      <c r="EI39" s="89">
        <f>IF(Table645[[#This Row],[Column128]]="--",0,Table645[[#This Row],[Column4]]*Table645[[#This Row],[Column128]])</f>
        <v>0</v>
      </c>
    </row>
    <row r="40" spans="1:139" x14ac:dyDescent="0.25">
      <c r="A40" s="140"/>
      <c r="B40" s="79"/>
      <c r="C40" s="140"/>
      <c r="D40" s="167"/>
      <c r="E40" s="52"/>
      <c r="F40" s="81"/>
      <c r="G40" s="81"/>
      <c r="H40" s="102" t="str">
        <f t="shared" si="24"/>
        <v>--</v>
      </c>
      <c r="I40" s="100">
        <f>IF(Table645[[#This Row],[Column8]]="--",0,Table645[[#This Row],[Column4]]*Table645[[#This Row],[Column8]])</f>
        <v>0</v>
      </c>
      <c r="J40" s="169"/>
      <c r="K40" s="85">
        <f>Table645[[#This Row],[Column4]]*Table645[[#This Row],[Column10]]</f>
        <v>0</v>
      </c>
      <c r="L40" s="170" t="str">
        <f t="shared" si="25"/>
        <v>--</v>
      </c>
      <c r="M40" s="214">
        <f>IF(Table645[[#This Row],[Column10]]=0,0,Table645[[#This Row],[Column4]]*Table645[[#This Row],[Column12]])</f>
        <v>0</v>
      </c>
      <c r="N40" s="87" t="str">
        <f t="shared" si="26"/>
        <v>--</v>
      </c>
      <c r="O40" s="138"/>
      <c r="AZ40" s="89">
        <f>IF(Table645[[#This Row],[Column14]]="--",0,Table645[[#This Row],[Column4]]*Table645[[#This Row],[Column14]])</f>
        <v>0</v>
      </c>
      <c r="BA40" s="90"/>
      <c r="BB40" s="91" t="str">
        <f>IF(BA40=0,"--",BA40*$BA$3*IF(Table645[[#This Row],[Column5]]&lt;4.1,1,2)/60/24)</f>
        <v>--</v>
      </c>
      <c r="BC40" s="92">
        <f>IF(Table645[[#This Row],[Column54]]="--",0,Table645[[#This Row],[Column4]]*Table645[[#This Row],[Column54]])</f>
        <v>0</v>
      </c>
      <c r="BD40" s="119"/>
      <c r="BE40" s="99"/>
      <c r="BF40" s="119"/>
      <c r="BG40" s="91" t="str">
        <f>IF(BD40+Table645[[#This Row],[Column58]]=0,"--",(BD40*$BF$3*Table645[[#This Row],[Column57]]+Table645[[#This Row],[Column58]]*$BF$4)/60/24)</f>
        <v>--</v>
      </c>
      <c r="BH40" s="92">
        <f>IF(Table645[[#This Row],[Column59]]="--",0,Table645[[#This Row],[Column4]]*Table645[[#This Row],[Column59]])</f>
        <v>0</v>
      </c>
      <c r="BI40" s="119"/>
      <c r="BJ40" s="91" t="str">
        <f t="shared" si="15"/>
        <v>--</v>
      </c>
      <c r="BK40" s="92">
        <f>IF(Table645[[#This Row],[Column62]]="--",0,Table645[[#This Row],[Column4]]*Table645[[#This Row],[Column62]])</f>
        <v>0</v>
      </c>
      <c r="BL40" s="93"/>
      <c r="BM40" s="91" t="str">
        <f t="shared" si="27"/>
        <v>--</v>
      </c>
      <c r="BN40" s="89">
        <f>IF(Table645[[#This Row],[Column65]]="--",0,Table645[[#This Row],[Column4]]*Table645[[#This Row],[Column65]])</f>
        <v>0</v>
      </c>
      <c r="BO40" s="163"/>
      <c r="BP40" s="164" t="str">
        <f t="shared" si="28"/>
        <v>--</v>
      </c>
      <c r="BQ40" s="160">
        <f>IF(Table645[[#This Row],[Column68]]="--",0,Table645[[#This Row],[Column4]]*Table645[[#This Row],[Column68]])</f>
        <v>0</v>
      </c>
      <c r="BR40" s="94"/>
      <c r="BS40" s="91" t="str">
        <f t="shared" si="29"/>
        <v>--</v>
      </c>
      <c r="BT40" s="92">
        <f>IF(Table645[[#This Row],[Column71]]="--",0,Table645[[#This Row],[Column4]]*Table645[[#This Row],[Column71]])</f>
        <v>0</v>
      </c>
      <c r="BU40" s="44"/>
      <c r="BV40" s="90"/>
      <c r="BW40" s="91" t="str">
        <f>IF(BV40=0,"--",(Table645[[#This Row],[Column73]]*$BV$4*(IF(J40&lt;0.5001,1,IF(J40&lt;2.0001,2,3)))+BV40/$BV$3)/60/24)</f>
        <v>--</v>
      </c>
      <c r="BX40" s="92">
        <f>IF(Table645[[#This Row],[Column75]]="--",0,Table645[[#This Row],[Column4]]*Table645[[#This Row],[Column75]])</f>
        <v>0</v>
      </c>
      <c r="BY40" s="95" t="s">
        <v>70</v>
      </c>
      <c r="BZ40" s="91" t="str">
        <f>IF(Table645[[#This Row],[Column74]]=0,"--",BW40*$BY$3)</f>
        <v>--</v>
      </c>
      <c r="CA40" s="89">
        <f>IF(Table645[[#This Row],[Column78]]="--",0,Table645[[#This Row],[Column4]]*Table645[[#This Row],[Column78]])</f>
        <v>0</v>
      </c>
      <c r="CB40" s="95" t="s">
        <v>70</v>
      </c>
      <c r="CC40" s="91" t="str">
        <f>IF(Table645[[#This Row],[Column10]]+Table645[[#This Row],[Column74]]=0,"--",J40*$CB$4*$CB$5/(24*60)+IF(Table645[[#This Row],[Column74]]=0,0,$CB$3*Table645[[#This Row],[Column75]]))</f>
        <v>--</v>
      </c>
      <c r="CD40" s="92">
        <f>IF(Table645[[#This Row],[Column81]]="--",0,Table645[[#This Row],[Column4]]*Table645[[#This Row],[Column81]])</f>
        <v>0</v>
      </c>
      <c r="CE40" s="215"/>
      <c r="CF40" s="91" t="str">
        <f t="shared" si="19"/>
        <v>--</v>
      </c>
      <c r="CG40" s="92">
        <f>IF(Table645[[#This Row],[Column84]]="--",0,Table645[[#This Row],[Column4]]*Table645[[#This Row],[Column84]])</f>
        <v>0</v>
      </c>
      <c r="CH40" s="226"/>
      <c r="CI40" s="216"/>
      <c r="CJ40" s="91" t="str">
        <f>IF(CI40=0,"--",(Table645[[#This Row],[Column86]]*$CI$4*(IF(W40&lt;0.5001,1,IF(W40&lt;2.0001,2,3)))+CI40/$CI$3)/60/24)</f>
        <v>--</v>
      </c>
      <c r="CK40" s="92">
        <f>IF(Table645[[#This Row],[Column88]]="--",0,Table645[[#This Row],[Column4]]*Table645[[#This Row],[Column88]])</f>
        <v>0</v>
      </c>
      <c r="CL40" s="217"/>
      <c r="CM40" s="91" t="str">
        <f>IF(Table645[[#This Row],[Column87]]=0,"--",CJ40*$CL$3)</f>
        <v>--</v>
      </c>
      <c r="CN40" s="92">
        <f>IF(Table645[[#This Row],[Column91]]="--",0,Table645[[#This Row],[Column4]]*Table645[[#This Row],[Column91]])</f>
        <v>0</v>
      </c>
      <c r="CO40" s="217"/>
      <c r="CP40" s="91" t="str">
        <f>IF(Table645[[#This Row],[Column10]]+Table645[[#This Row],[Column87]]=0, "--", IF($D40="", 1, $D40) * IF($J40="", 1, $J40) * $CO$3 * $CO$4 * IF(Table645[[#This Row],[Column95]]="", 1, Table645[[#This Row],[Column95]]) / (24 * 60))</f>
        <v>--</v>
      </c>
      <c r="CQ40" s="153"/>
      <c r="CR40" s="92">
        <f>IF(Table645[[#This Row],[Column94]]="--",0,Table645[[#This Row],[Column4]]*Table645[[#This Row],[Column94]])</f>
        <v>0</v>
      </c>
      <c r="CS40" s="218" t="str">
        <f>IF(Table645[[#This Row],[Column87]]="","",Table645[[#This Row],[Column87]])</f>
        <v/>
      </c>
      <c r="CT40" s="91" t="str">
        <f>IF(Table645[[#This Row],[Column97]]="","--",Table645[[#This Row],[Column97]]/$CS$3/60/24)</f>
        <v>--</v>
      </c>
      <c r="CU40" s="92">
        <f>IF(Table645[[#This Row],[Column98]]="--",0,Table645[[#This Row],[Column4]]*Table645[[#This Row],[Column98]])</f>
        <v>0</v>
      </c>
      <c r="CV40" s="93"/>
      <c r="CW40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40" s="91" t="str">
        <f>IF(OR(Table645[[#This Row],[Column74]]&gt;0,Table645[[#This Row],[Column87]]&gt;0),(Table645[[#This Row],[Column73]]+Table645[[#This Row],[Column86]]+1)*$CW$3/60/24,"--")</f>
        <v>--</v>
      </c>
      <c r="CY40" s="92">
        <f>IF(Table645[[#This Row],[Column102]]="--",0,Table645[[#This Row],[Column4]]*Table645[[#This Row],[Column102]])</f>
        <v>0</v>
      </c>
      <c r="CZ40" s="158" t="str">
        <f t="shared" si="30"/>
        <v>--</v>
      </c>
      <c r="DA40" s="153"/>
      <c r="DB40" s="160">
        <f>IF(Table645[[#This Row],[Column104]]="--",0,Table645[[#This Row],[Column4]]*Table645[[#This Row],[Column104]])</f>
        <v>0</v>
      </c>
      <c r="DC40" s="219"/>
      <c r="DD40" s="220" t="str">
        <f>IF(DC40=0,"--",1/$DC$3*1000/(60*60*24)*Table645[[#This Row],[Column107]])</f>
        <v>--</v>
      </c>
      <c r="DE40" s="160">
        <f>IF(Table645[[#This Row],[Column108]]="--",0,Table645[[#This Row],[Column4]]*Table645[[#This Row],[Column108]])</f>
        <v>0</v>
      </c>
      <c r="DF40" s="101" t="s">
        <v>70</v>
      </c>
      <c r="DG40" s="91" t="str">
        <f t="shared" si="31"/>
        <v>--</v>
      </c>
      <c r="DH40" s="89">
        <f>IF(Table645[[#This Row],[Column111]]="--",0,Table645[[#This Row],[Column4]]*Table645[[#This Row],[Column111]])</f>
        <v>0</v>
      </c>
      <c r="DI40" s="96"/>
      <c r="DJ40" s="96"/>
      <c r="DK40" s="96"/>
      <c r="DL40" s="96"/>
      <c r="DM40" s="96"/>
      <c r="DN40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40" s="89">
        <f>IF(Table645[[#This Row],[Column118]]="--",0,Table645[[#This Row],[Column4]]*Table645[[#This Row],[Column118]])</f>
        <v>0</v>
      </c>
      <c r="DP40" s="96"/>
      <c r="DQ40" s="96"/>
      <c r="DR40" s="91" t="str">
        <f t="shared" si="32"/>
        <v>--</v>
      </c>
      <c r="DS40" s="89">
        <f>IF(Table645[[#This Row],[Column122]]="--",0,Table645[[#This Row],[Column4]]*Table645[[#This Row],[Column122]])</f>
        <v>0</v>
      </c>
      <c r="DT40" t="str">
        <f>IF(Table645[[#This Row],[Column125]]=0,"--",Table645[[#This Row],[Column125]]*Table645[[#This Row],[Column126]]*Table645[[#This Row],[Column127]]/1000000000)</f>
        <v>--</v>
      </c>
      <c r="DU40" s="53"/>
      <c r="DV40" s="53"/>
      <c r="DW40" s="53"/>
      <c r="DX40" s="91" t="str">
        <f t="shared" si="33"/>
        <v>--</v>
      </c>
      <c r="DY40" s="89">
        <f>IF(Table645[[#This Row],[Column128]]="--",0,Table645[[#This Row],[Column4]]*Table645[[#This Row],[Column128]])</f>
        <v>0</v>
      </c>
      <c r="EA40" s="89">
        <f>IF(Table645[[#This Row],[Column128]]="--",0,Table645[[#This Row],[Column4]]*Table645[[#This Row],[Column128]])</f>
        <v>0</v>
      </c>
      <c r="EC40" s="89">
        <f>IF(Table645[[#This Row],[Column128]]="--",0,Table645[[#This Row],[Column4]]*Table645[[#This Row],[Column128]])</f>
        <v>0</v>
      </c>
      <c r="EE40" s="89">
        <f>IF(Table645[[#This Row],[Column128]]="--",0,Table645[[#This Row],[Column4]]*Table645[[#This Row],[Column128]])</f>
        <v>0</v>
      </c>
      <c r="EG40" s="89">
        <f>IF(Table645[[#This Row],[Column128]]="--",0,Table645[[#This Row],[Column4]]*Table645[[#This Row],[Column128]])</f>
        <v>0</v>
      </c>
      <c r="EI40" s="89">
        <f>IF(Table645[[#This Row],[Column128]]="--",0,Table645[[#This Row],[Column4]]*Table645[[#This Row],[Column128]])</f>
        <v>0</v>
      </c>
    </row>
    <row r="41" spans="1:139" x14ac:dyDescent="0.25">
      <c r="A41" s="140"/>
      <c r="B41" s="79"/>
      <c r="C41" s="140"/>
      <c r="D41" s="167"/>
      <c r="E41" s="52"/>
      <c r="F41" s="81"/>
      <c r="G41" s="81"/>
      <c r="H41" s="102" t="str">
        <f t="shared" si="24"/>
        <v>--</v>
      </c>
      <c r="I41" s="100">
        <f>IF(Table645[[#This Row],[Column8]]="--",0,Table645[[#This Row],[Column4]]*Table645[[#This Row],[Column8]])</f>
        <v>0</v>
      </c>
      <c r="J41" s="169"/>
      <c r="K41" s="85">
        <f>Table645[[#This Row],[Column4]]*Table645[[#This Row],[Column10]]</f>
        <v>0</v>
      </c>
      <c r="L41" s="170" t="str">
        <f t="shared" si="25"/>
        <v>--</v>
      </c>
      <c r="M41" s="214">
        <f>IF(Table645[[#This Row],[Column10]]=0,0,Table645[[#This Row],[Column4]]*Table645[[#This Row],[Column12]])</f>
        <v>0</v>
      </c>
      <c r="N41" s="87" t="str">
        <f t="shared" si="26"/>
        <v>--</v>
      </c>
      <c r="O41" s="138"/>
      <c r="AZ41" s="89">
        <f>IF(Table645[[#This Row],[Column14]]="--",0,Table645[[#This Row],[Column4]]*Table645[[#This Row],[Column14]])</f>
        <v>0</v>
      </c>
      <c r="BA41" s="90"/>
      <c r="BB41" s="91" t="str">
        <f>IF(BA41=0,"--",BA41*$BA$3*IF(Table645[[#This Row],[Column5]]&lt;4.1,1,2)/60/24)</f>
        <v>--</v>
      </c>
      <c r="BC41" s="92">
        <f>IF(Table645[[#This Row],[Column54]]="--",0,Table645[[#This Row],[Column4]]*Table645[[#This Row],[Column54]])</f>
        <v>0</v>
      </c>
      <c r="BD41" s="119"/>
      <c r="BE41" s="99"/>
      <c r="BF41" s="119"/>
      <c r="BG41" s="91" t="str">
        <f>IF(BD41+Table645[[#This Row],[Column58]]=0,"--",(BD41*$BF$3*Table645[[#This Row],[Column57]]+Table645[[#This Row],[Column58]]*$BF$4)/60/24)</f>
        <v>--</v>
      </c>
      <c r="BH41" s="92">
        <f>IF(Table645[[#This Row],[Column59]]="--",0,Table645[[#This Row],[Column4]]*Table645[[#This Row],[Column59]])</f>
        <v>0</v>
      </c>
      <c r="BI41" s="119"/>
      <c r="BJ41" s="91" t="str">
        <f t="shared" si="15"/>
        <v>--</v>
      </c>
      <c r="BK41" s="92">
        <f>IF(Table645[[#This Row],[Column62]]="--",0,Table645[[#This Row],[Column4]]*Table645[[#This Row],[Column62]])</f>
        <v>0</v>
      </c>
      <c r="BL41" s="93"/>
      <c r="BM41" s="91" t="str">
        <f t="shared" si="27"/>
        <v>--</v>
      </c>
      <c r="BN41" s="89">
        <f>IF(Table645[[#This Row],[Column65]]="--",0,Table645[[#This Row],[Column4]]*Table645[[#This Row],[Column65]])</f>
        <v>0</v>
      </c>
      <c r="BO41" s="163"/>
      <c r="BP41" s="164" t="str">
        <f t="shared" si="28"/>
        <v>--</v>
      </c>
      <c r="BQ41" s="160">
        <f>IF(Table645[[#This Row],[Column68]]="--",0,Table645[[#This Row],[Column4]]*Table645[[#This Row],[Column68]])</f>
        <v>0</v>
      </c>
      <c r="BR41" s="94"/>
      <c r="BS41" s="91" t="str">
        <f t="shared" si="29"/>
        <v>--</v>
      </c>
      <c r="BT41" s="92">
        <f>IF(Table645[[#This Row],[Column71]]="--",0,Table645[[#This Row],[Column4]]*Table645[[#This Row],[Column71]])</f>
        <v>0</v>
      </c>
      <c r="BU41" s="44"/>
      <c r="BV41" s="90"/>
      <c r="BW41" s="91" t="str">
        <f>IF(BV41=0,"--",(Table645[[#This Row],[Column73]]*$BV$4*(IF(J41&lt;0.5001,1,IF(J41&lt;2.0001,2,3)))+BV41/$BV$3)/60/24)</f>
        <v>--</v>
      </c>
      <c r="BX41" s="92">
        <f>IF(Table645[[#This Row],[Column75]]="--",0,Table645[[#This Row],[Column4]]*Table645[[#This Row],[Column75]])</f>
        <v>0</v>
      </c>
      <c r="BY41" s="95" t="s">
        <v>70</v>
      </c>
      <c r="BZ41" s="91" t="str">
        <f>IF(Table645[[#This Row],[Column74]]=0,"--",BW41*$BY$3)</f>
        <v>--</v>
      </c>
      <c r="CA41" s="89">
        <f>IF(Table645[[#This Row],[Column78]]="--",0,Table645[[#This Row],[Column4]]*Table645[[#This Row],[Column78]])</f>
        <v>0</v>
      </c>
      <c r="CB41" s="95" t="s">
        <v>70</v>
      </c>
      <c r="CC41" s="91" t="str">
        <f>IF(Table645[[#This Row],[Column10]]+Table645[[#This Row],[Column74]]=0,"--",J41*$CB$4*$CB$5/(24*60)+IF(Table645[[#This Row],[Column74]]=0,0,$CB$3*Table645[[#This Row],[Column75]]))</f>
        <v>--</v>
      </c>
      <c r="CD41" s="92">
        <f>IF(Table645[[#This Row],[Column81]]="--",0,Table645[[#This Row],[Column4]]*Table645[[#This Row],[Column81]])</f>
        <v>0</v>
      </c>
      <c r="CE41" s="215"/>
      <c r="CF41" s="91" t="str">
        <f t="shared" si="19"/>
        <v>--</v>
      </c>
      <c r="CG41" s="92">
        <f>IF(Table645[[#This Row],[Column84]]="--",0,Table645[[#This Row],[Column4]]*Table645[[#This Row],[Column84]])</f>
        <v>0</v>
      </c>
      <c r="CH41" s="226"/>
      <c r="CI41" s="216"/>
      <c r="CJ41" s="91" t="str">
        <f>IF(CI41=0,"--",(Table645[[#This Row],[Column86]]*$CI$4*(IF(W41&lt;0.5001,1,IF(W41&lt;2.0001,2,3)))+CI41/$CI$3)/60/24)</f>
        <v>--</v>
      </c>
      <c r="CK41" s="92">
        <f>IF(Table645[[#This Row],[Column88]]="--",0,Table645[[#This Row],[Column4]]*Table645[[#This Row],[Column88]])</f>
        <v>0</v>
      </c>
      <c r="CL41" s="217"/>
      <c r="CM41" s="91" t="str">
        <f>IF(Table645[[#This Row],[Column87]]=0,"--",CJ41*$CL$3)</f>
        <v>--</v>
      </c>
      <c r="CN41" s="92">
        <f>IF(Table645[[#This Row],[Column91]]="--",0,Table645[[#This Row],[Column4]]*Table645[[#This Row],[Column91]])</f>
        <v>0</v>
      </c>
      <c r="CO41" s="217"/>
      <c r="CP41" s="91" t="str">
        <f>IF(Table645[[#This Row],[Column10]]+Table645[[#This Row],[Column87]]=0, "--", IF($D41="", 1, $D41) * IF($J41="", 1, $J41) * $CO$3 * $CO$4 * IF(Table645[[#This Row],[Column95]]="", 1, Table645[[#This Row],[Column95]]) / (24 * 60))</f>
        <v>--</v>
      </c>
      <c r="CQ41" s="153"/>
      <c r="CR41" s="92">
        <f>IF(Table645[[#This Row],[Column94]]="--",0,Table645[[#This Row],[Column4]]*Table645[[#This Row],[Column94]])</f>
        <v>0</v>
      </c>
      <c r="CS41" s="218" t="str">
        <f>IF(Table645[[#This Row],[Column87]]="","",Table645[[#This Row],[Column87]])</f>
        <v/>
      </c>
      <c r="CT41" s="91" t="str">
        <f>IF(Table645[[#This Row],[Column97]]="","--",Table645[[#This Row],[Column97]]/$CS$3/60/24)</f>
        <v>--</v>
      </c>
      <c r="CU41" s="92">
        <f>IF(Table645[[#This Row],[Column98]]="--",0,Table645[[#This Row],[Column4]]*Table645[[#This Row],[Column98]])</f>
        <v>0</v>
      </c>
      <c r="CV41" s="93"/>
      <c r="CW41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41" s="91" t="str">
        <f>IF(OR(Table645[[#This Row],[Column74]]&gt;0,Table645[[#This Row],[Column87]]&gt;0),(Table645[[#This Row],[Column73]]+Table645[[#This Row],[Column86]]+1)*$CW$3/60/24,"--")</f>
        <v>--</v>
      </c>
      <c r="CY41" s="92">
        <f>IF(Table645[[#This Row],[Column102]]="--",0,Table645[[#This Row],[Column4]]*Table645[[#This Row],[Column102]])</f>
        <v>0</v>
      </c>
      <c r="CZ41" s="158" t="str">
        <f t="shared" si="30"/>
        <v>--</v>
      </c>
      <c r="DA41" s="153"/>
      <c r="DB41" s="160">
        <f>IF(Table645[[#This Row],[Column104]]="--",0,Table645[[#This Row],[Column4]]*Table645[[#This Row],[Column104]])</f>
        <v>0</v>
      </c>
      <c r="DC41" s="219"/>
      <c r="DD41" s="220" t="str">
        <f>IF(DC41=0,"--",1/$DC$3*1000/(60*60*24)*Table645[[#This Row],[Column107]])</f>
        <v>--</v>
      </c>
      <c r="DE41" s="160">
        <f>IF(Table645[[#This Row],[Column108]]="--",0,Table645[[#This Row],[Column4]]*Table645[[#This Row],[Column108]])</f>
        <v>0</v>
      </c>
      <c r="DF41" s="101" t="s">
        <v>70</v>
      </c>
      <c r="DG41" s="91" t="str">
        <f t="shared" si="31"/>
        <v>--</v>
      </c>
      <c r="DH41" s="89">
        <f>IF(Table645[[#This Row],[Column111]]="--",0,Table645[[#This Row],[Column4]]*Table645[[#This Row],[Column111]])</f>
        <v>0</v>
      </c>
      <c r="DI41" s="96"/>
      <c r="DJ41" s="96"/>
      <c r="DK41" s="96"/>
      <c r="DL41" s="96"/>
      <c r="DM41" s="96"/>
      <c r="DN41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41" s="89">
        <f>IF(Table645[[#This Row],[Column118]]="--",0,Table645[[#This Row],[Column4]]*Table645[[#This Row],[Column118]])</f>
        <v>0</v>
      </c>
      <c r="DP41" s="96"/>
      <c r="DQ41" s="96"/>
      <c r="DR41" s="91" t="str">
        <f t="shared" si="32"/>
        <v>--</v>
      </c>
      <c r="DS41" s="89">
        <f>IF(Table645[[#This Row],[Column122]]="--",0,Table645[[#This Row],[Column4]]*Table645[[#This Row],[Column122]])</f>
        <v>0</v>
      </c>
      <c r="DT41" t="str">
        <f>IF(Table645[[#This Row],[Column125]]=0,"--",Table645[[#This Row],[Column125]]*Table645[[#This Row],[Column126]]*Table645[[#This Row],[Column127]]/1000000000)</f>
        <v>--</v>
      </c>
      <c r="DU41" s="53"/>
      <c r="DV41" s="53"/>
      <c r="DW41" s="53"/>
      <c r="DX41" s="91" t="str">
        <f t="shared" si="33"/>
        <v>--</v>
      </c>
      <c r="DY41" s="89">
        <f>IF(Table645[[#This Row],[Column128]]="--",0,Table645[[#This Row],[Column4]]*Table645[[#This Row],[Column128]])</f>
        <v>0</v>
      </c>
      <c r="EA41" s="89">
        <f>IF(Table645[[#This Row],[Column128]]="--",0,Table645[[#This Row],[Column4]]*Table645[[#This Row],[Column128]])</f>
        <v>0</v>
      </c>
      <c r="EC41" s="89">
        <f>IF(Table645[[#This Row],[Column128]]="--",0,Table645[[#This Row],[Column4]]*Table645[[#This Row],[Column128]])</f>
        <v>0</v>
      </c>
      <c r="EE41" s="89">
        <f>IF(Table645[[#This Row],[Column128]]="--",0,Table645[[#This Row],[Column4]]*Table645[[#This Row],[Column128]])</f>
        <v>0</v>
      </c>
      <c r="EG41" s="89">
        <f>IF(Table645[[#This Row],[Column128]]="--",0,Table645[[#This Row],[Column4]]*Table645[[#This Row],[Column128]])</f>
        <v>0</v>
      </c>
      <c r="EI41" s="89">
        <f>IF(Table645[[#This Row],[Column128]]="--",0,Table645[[#This Row],[Column4]]*Table645[[#This Row],[Column128]])</f>
        <v>0</v>
      </c>
    </row>
    <row r="42" spans="1:139" x14ac:dyDescent="0.25">
      <c r="A42" s="140"/>
      <c r="B42" s="79"/>
      <c r="C42" s="140"/>
      <c r="D42" s="167"/>
      <c r="E42" s="52"/>
      <c r="F42" s="81"/>
      <c r="G42" s="81"/>
      <c r="H42" s="82" t="str">
        <f t="shared" si="12"/>
        <v>--</v>
      </c>
      <c r="I42" s="100">
        <f>IF(Table645[[#This Row],[Column8]]="--",0,Table645[[#This Row],[Column4]]*Table645[[#This Row],[Column8]])</f>
        <v>0</v>
      </c>
      <c r="J42" s="169"/>
      <c r="K42" s="85">
        <f>Table645[[#This Row],[Column4]]*Table645[[#This Row],[Column10]]</f>
        <v>0</v>
      </c>
      <c r="L42" s="170" t="str">
        <f t="shared" si="13"/>
        <v>--</v>
      </c>
      <c r="M42" s="85">
        <f>IF(Table645[[#This Row],[Column10]]=0,0,Table645[[#This Row],[Column4]]*Table645[[#This Row],[Column12]])</f>
        <v>0</v>
      </c>
      <c r="N42" s="87" t="str">
        <f t="shared" si="14"/>
        <v>--</v>
      </c>
      <c r="O42" s="138" t="str">
        <f>IF(SUM(Table645[[#This Row],[Column17]:[Column51]])=0,"--",SUM(Table645[[#This Row],[Column17]:[Column51]]))</f>
        <v>--</v>
      </c>
      <c r="AZ42" s="89">
        <f>IF(Table645[[#This Row],[Column14]]="--",0,Table645[[#This Row],[Column4]]*Table645[[#This Row],[Column14]])</f>
        <v>0</v>
      </c>
      <c r="BA42" s="90"/>
      <c r="BB42" s="91" t="str">
        <f>IF(BA42=0,"--",BA42*$BA$3*IF(Table645[[#This Row],[Column5]]&lt;4.1,1,2)/60/24)</f>
        <v>--</v>
      </c>
      <c r="BC42" s="92">
        <f>IF(Table645[[#This Row],[Column54]]="--",0,Table645[[#This Row],[Column4]]*Table645[[#This Row],[Column54]])</f>
        <v>0</v>
      </c>
      <c r="BD42" s="119"/>
      <c r="BE42" s="99"/>
      <c r="BF42" s="119"/>
      <c r="BG42" s="91" t="str">
        <f>IF(BD42+Table645[[#This Row],[Column58]]=0,"--",(BD42*$BF$3*Table645[[#This Row],[Column57]]+Table645[[#This Row],[Column58]]*$BF$4)/60/24)</f>
        <v>--</v>
      </c>
      <c r="BH42" s="92">
        <f>IF(Table645[[#This Row],[Column59]]="--",0,Table645[[#This Row],[Column4]]*Table645[[#This Row],[Column59]])</f>
        <v>0</v>
      </c>
      <c r="BI42" s="93"/>
      <c r="BJ42" s="91" t="str">
        <f t="shared" si="15"/>
        <v>--</v>
      </c>
      <c r="BK42" s="89">
        <f>IF(Table645[[#This Row],[Column62]]="--",0,Table645[[#This Row],[Column4]]*Table645[[#This Row],[Column62]])</f>
        <v>0</v>
      </c>
      <c r="BL42" s="93"/>
      <c r="BM42" s="91" t="str">
        <f t="shared" si="16"/>
        <v>--</v>
      </c>
      <c r="BN42" s="89">
        <f>IF(Table645[[#This Row],[Column65]]="--",0,Table645[[#This Row],[Column4]]*Table645[[#This Row],[Column65]])</f>
        <v>0</v>
      </c>
      <c r="BO42" s="163"/>
      <c r="BP42" s="164" t="str">
        <f t="shared" si="17"/>
        <v>--</v>
      </c>
      <c r="BQ42" s="160">
        <f>IF(Table645[[#This Row],[Column68]]="--",0,Table645[[#This Row],[Column4]]*Table645[[#This Row],[Column68]])</f>
        <v>0</v>
      </c>
      <c r="BR42" s="94"/>
      <c r="BS42" s="91" t="str">
        <f t="shared" si="18"/>
        <v>--</v>
      </c>
      <c r="BT42" s="92">
        <f>IF(Table645[[#This Row],[Column71]]="--",0,Table645[[#This Row],[Column4]]*Table645[[#This Row],[Column71]])</f>
        <v>0</v>
      </c>
      <c r="BU42" s="44"/>
      <c r="BV42" s="90"/>
      <c r="BW42" s="91" t="str">
        <f>IF(BV42=0,"--",(Table645[[#This Row],[Column73]]*$BV$4*(IF(J42&lt;0.5001,1,IF(J42&lt;2.0001,2,3)))+BV42/$BV$3)/60/24)</f>
        <v>--</v>
      </c>
      <c r="BX42" s="92">
        <f>IF(Table645[[#This Row],[Column75]]="--",0,Table645[[#This Row],[Column4]]*Table645[[#This Row],[Column75]])</f>
        <v>0</v>
      </c>
      <c r="BY42" s="95" t="s">
        <v>70</v>
      </c>
      <c r="BZ42" s="91" t="str">
        <f>IF(Table645[[#This Row],[Column74]]=0,"--",BW42*$BY$3)</f>
        <v>--</v>
      </c>
      <c r="CA42" s="89">
        <f>IF(Table645[[#This Row],[Column78]]="--",0,Table645[[#This Row],[Column4]]*Table645[[#This Row],[Column78]])</f>
        <v>0</v>
      </c>
      <c r="CB42" s="95" t="s">
        <v>70</v>
      </c>
      <c r="CC42" s="91" t="str">
        <f>IF(Table645[[#This Row],[Column10]]+Table645[[#This Row],[Column74]]=0,"--",J42*$CB$4*$CB$5/(24*60)+IF(Table645[[#This Row],[Column74]]=0,0,$CB$3*Table645[[#This Row],[Column75]]))</f>
        <v>--</v>
      </c>
      <c r="CD42" s="92">
        <f>IF(Table645[[#This Row],[Column81]]="--",0,Table645[[#This Row],[Column4]]*Table645[[#This Row],[Column81]])</f>
        <v>0</v>
      </c>
      <c r="CE42" s="94"/>
      <c r="CF42" s="91" t="str">
        <f t="shared" si="19"/>
        <v>--</v>
      </c>
      <c r="CG42" s="92">
        <f>IF(Table645[[#This Row],[Column84]]="--",0,Table645[[#This Row],[Column4]]*Table645[[#This Row],[Column84]])</f>
        <v>0</v>
      </c>
      <c r="CH42" s="226"/>
      <c r="CI42" s="90"/>
      <c r="CJ42" s="91" t="str">
        <f>IF(CI42=0,"--",(Table645[[#This Row],[Column86]]*$CI$4*(IF(W42&lt;0.5001,1,IF(W42&lt;2.0001,2,3)))+CI42/$CI$3)/60/24)</f>
        <v>--</v>
      </c>
      <c r="CK42" s="92">
        <f>IF(Table645[[#This Row],[Column88]]="--",0,Table645[[#This Row],[Column4]]*Table645[[#This Row],[Column88]])</f>
        <v>0</v>
      </c>
      <c r="CL42" s="95" t="s">
        <v>70</v>
      </c>
      <c r="CM42" s="91" t="str">
        <f>IF(Table645[[#This Row],[Column87]]=0,"--",CJ42*$CL$3)</f>
        <v>--</v>
      </c>
      <c r="CN42" s="89">
        <f>IF(Table645[[#This Row],[Column91]]="--",0,Table645[[#This Row],[Column4]]*Table645[[#This Row],[Column91]])</f>
        <v>0</v>
      </c>
      <c r="CO42" s="95" t="s">
        <v>70</v>
      </c>
      <c r="CP42" s="91" t="str">
        <f>IF(Table645[[#This Row],[Column10]]+Table645[[#This Row],[Column87]]=0, "--", IF($D42="", 1, $D42) * IF($J42="", 1, $J42) * $CO$3 * $CO$4 * IF(Table645[[#This Row],[Column95]]="", 1, Table645[[#This Row],[Column95]]) / (24 * 60))</f>
        <v>--</v>
      </c>
      <c r="CQ42" s="153"/>
      <c r="CR42" s="92">
        <f>IF(Table645[[#This Row],[Column94]]="--",0,Table645[[#This Row],[Column4]]*Table645[[#This Row],[Column94]])</f>
        <v>0</v>
      </c>
      <c r="CS42" s="206" t="str">
        <f>IF(Table645[[#This Row],[Column87]]="","",Table645[[#This Row],[Column87]])</f>
        <v/>
      </c>
      <c r="CT42" s="91" t="str">
        <f>IF(Table645[[#This Row],[Column97]]="","--",Table645[[#This Row],[Column97]]/$CS$3/60/24)</f>
        <v>--</v>
      </c>
      <c r="CU42" s="89">
        <f>IF(Table645[[#This Row],[Column98]]="--",0,Table645[[#This Row],[Column4]]*Table645[[#This Row],[Column98]])</f>
        <v>0</v>
      </c>
      <c r="CV42" s="93"/>
      <c r="CW42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42" s="91" t="str">
        <f>IF(OR(Table645[[#This Row],[Column74]]&gt;0,Table645[[#This Row],[Column87]]&gt;0),(Table645[[#This Row],[Column73]]+Table645[[#This Row],[Column86]]+1)*$CW$3/60/24,"--")</f>
        <v>--</v>
      </c>
      <c r="CY42" s="92">
        <f>IF(Table645[[#This Row],[Column102]]="--",0,Table645[[#This Row],[Column4]]*Table645[[#This Row],[Column102]])</f>
        <v>0</v>
      </c>
      <c r="CZ42" s="158" t="str">
        <f t="shared" si="20"/>
        <v>--</v>
      </c>
      <c r="DA42" s="153"/>
      <c r="DB42" s="160">
        <f>IF(Table645[[#This Row],[Column104]]="--",0,Table645[[#This Row],[Column4]]*Table645[[#This Row],[Column104]])</f>
        <v>0</v>
      </c>
      <c r="DC42" s="116"/>
      <c r="DD42" s="91" t="str">
        <f>IF(DC42=0,"--",1/$DC$3*1000/(60*60*24)*Table645[[#This Row],[Column107]])</f>
        <v>--</v>
      </c>
      <c r="DE42" s="89">
        <f>IF(Table645[[#This Row],[Column108]]="--",0,Table645[[#This Row],[Column4]]*Table645[[#This Row],[Column108]])</f>
        <v>0</v>
      </c>
      <c r="DF42" s="101" t="s">
        <v>70</v>
      </c>
      <c r="DG42" s="91" t="str">
        <f t="shared" si="21"/>
        <v>--</v>
      </c>
      <c r="DH42" s="89">
        <f>IF(Table645[[#This Row],[Column111]]="--",0,Table645[[#This Row],[Column4]]*Table645[[#This Row],[Column111]])</f>
        <v>0</v>
      </c>
      <c r="DI42" s="96"/>
      <c r="DJ42" s="96"/>
      <c r="DK42" s="96"/>
      <c r="DL42" s="96"/>
      <c r="DM42" s="96"/>
      <c r="DN42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42" s="89">
        <f>IF(Table645[[#This Row],[Column118]]="--",0,Table645[[#This Row],[Column4]]*Table645[[#This Row],[Column118]])</f>
        <v>0</v>
      </c>
      <c r="DP42" s="96"/>
      <c r="DQ42" s="96"/>
      <c r="DR42" s="91" t="str">
        <f t="shared" si="22"/>
        <v>--</v>
      </c>
      <c r="DS42" s="89">
        <f>IF(Table645[[#This Row],[Column122]]="--",0,Table645[[#This Row],[Column4]]*Table645[[#This Row],[Column122]])</f>
        <v>0</v>
      </c>
      <c r="DT42" t="str">
        <f>IF(Table645[[#This Row],[Column125]]=0,"--",Table645[[#This Row],[Column125]]*Table645[[#This Row],[Column126]]*Table645[[#This Row],[Column127]]/1000000000)</f>
        <v>--</v>
      </c>
      <c r="DU42" s="53"/>
      <c r="DV42" s="53"/>
      <c r="DW42" s="53"/>
      <c r="DX42" s="91" t="str">
        <f t="shared" si="23"/>
        <v>--</v>
      </c>
      <c r="DY42" s="89">
        <f>IF(Table645[[#This Row],[Column128]]="--",0,Table645[[#This Row],[Column4]]*Table645[[#This Row],[Column128]])</f>
        <v>0</v>
      </c>
      <c r="EA42" s="89">
        <f>IF(Table645[[#This Row],[Column128]]="--",0,Table645[[#This Row],[Column4]]*Table645[[#This Row],[Column128]])</f>
        <v>0</v>
      </c>
      <c r="EC42" s="89">
        <f>IF(Table645[[#This Row],[Column128]]="--",0,Table645[[#This Row],[Column4]]*Table645[[#This Row],[Column128]])</f>
        <v>0</v>
      </c>
      <c r="EE42" s="89">
        <f>IF(Table645[[#This Row],[Column128]]="--",0,Table645[[#This Row],[Column4]]*Table645[[#This Row],[Column128]])</f>
        <v>0</v>
      </c>
      <c r="EG42" s="89">
        <f>IF(Table645[[#This Row],[Column128]]="--",0,Table645[[#This Row],[Column4]]*Table645[[#This Row],[Column128]])</f>
        <v>0</v>
      </c>
      <c r="EI42" s="89">
        <f>IF(Table645[[#This Row],[Column128]]="--",0,Table645[[#This Row],[Column4]]*Table645[[#This Row],[Column128]])</f>
        <v>0</v>
      </c>
    </row>
    <row r="43" spans="1:139" x14ac:dyDescent="0.25">
      <c r="A43" s="140"/>
      <c r="B43" s="79"/>
      <c r="C43" s="140"/>
      <c r="D43" s="167"/>
      <c r="E43" s="52"/>
      <c r="F43" s="81"/>
      <c r="G43" s="81"/>
      <c r="H43" s="82" t="str">
        <f t="shared" si="12"/>
        <v>--</v>
      </c>
      <c r="I43" s="100">
        <f>IF(Table645[[#This Row],[Column8]]="--",0,Table645[[#This Row],[Column4]]*Table645[[#This Row],[Column8]])</f>
        <v>0</v>
      </c>
      <c r="J43" s="169"/>
      <c r="K43" s="85">
        <f>Table645[[#This Row],[Column4]]*Table645[[#This Row],[Column10]]</f>
        <v>0</v>
      </c>
      <c r="L43" s="170" t="str">
        <f t="shared" si="13"/>
        <v>--</v>
      </c>
      <c r="M43" s="85">
        <f>IF(Table645[[#This Row],[Column10]]=0,0,Table645[[#This Row],[Column4]]*Table645[[#This Row],[Column12]])</f>
        <v>0</v>
      </c>
      <c r="N43" s="87" t="str">
        <f t="shared" si="14"/>
        <v>--</v>
      </c>
      <c r="O43" s="138" t="str">
        <f>IF(SUM(Table645[[#This Row],[Column17]:[Column51]])=0,"--",SUM(Table645[[#This Row],[Column17]:[Column51]]))</f>
        <v>--</v>
      </c>
      <c r="AZ43" s="89">
        <f>IF(Table645[[#This Row],[Column14]]="--",0,Table645[[#This Row],[Column4]]*Table645[[#This Row],[Column14]])</f>
        <v>0</v>
      </c>
      <c r="BA43" s="90"/>
      <c r="BB43" s="91" t="str">
        <f>IF(BA43=0,"--",BA43*$BA$3*IF(Table645[[#This Row],[Column5]]&lt;4.1,1,2)/60/24)</f>
        <v>--</v>
      </c>
      <c r="BC43" s="92">
        <f>IF(Table645[[#This Row],[Column54]]="--",0,Table645[[#This Row],[Column4]]*Table645[[#This Row],[Column54]])</f>
        <v>0</v>
      </c>
      <c r="BD43" s="119"/>
      <c r="BE43" s="99"/>
      <c r="BF43" s="119"/>
      <c r="BG43" s="91" t="str">
        <f>IF(BD43+Table645[[#This Row],[Column58]]=0,"--",(BD43*$BF$3*Table645[[#This Row],[Column57]]+Table645[[#This Row],[Column58]]*$BF$4)/60/24)</f>
        <v>--</v>
      </c>
      <c r="BH43" s="92">
        <f>IF(Table645[[#This Row],[Column59]]="--",0,Table645[[#This Row],[Column4]]*Table645[[#This Row],[Column59]])</f>
        <v>0</v>
      </c>
      <c r="BI43" s="93"/>
      <c r="BJ43" s="91" t="str">
        <f t="shared" si="15"/>
        <v>--</v>
      </c>
      <c r="BK43" s="89">
        <f>IF(Table645[[#This Row],[Column62]]="--",0,Table645[[#This Row],[Column4]]*Table645[[#This Row],[Column62]])</f>
        <v>0</v>
      </c>
      <c r="BL43" s="93"/>
      <c r="BM43" s="91" t="str">
        <f t="shared" si="16"/>
        <v>--</v>
      </c>
      <c r="BN43" s="89">
        <f>IF(Table645[[#This Row],[Column65]]="--",0,Table645[[#This Row],[Column4]]*Table645[[#This Row],[Column65]])</f>
        <v>0</v>
      </c>
      <c r="BO43" s="163"/>
      <c r="BP43" s="164" t="str">
        <f t="shared" si="17"/>
        <v>--</v>
      </c>
      <c r="BQ43" s="160">
        <f>IF(Table645[[#This Row],[Column68]]="--",0,Table645[[#This Row],[Column4]]*Table645[[#This Row],[Column68]])</f>
        <v>0</v>
      </c>
      <c r="BR43" s="94"/>
      <c r="BS43" s="91" t="str">
        <f t="shared" si="18"/>
        <v>--</v>
      </c>
      <c r="BT43" s="92">
        <f>IF(Table645[[#This Row],[Column71]]="--",0,Table645[[#This Row],[Column4]]*Table645[[#This Row],[Column71]])</f>
        <v>0</v>
      </c>
      <c r="BU43" s="44"/>
      <c r="BV43" s="90"/>
      <c r="BW43" s="91" t="str">
        <f>IF(BV43=0,"--",(Table645[[#This Row],[Column73]]*$BV$4*(IF(J43&lt;0.5001,1,IF(J43&lt;2.0001,2,3)))+BV43/$BV$3)/60/24)</f>
        <v>--</v>
      </c>
      <c r="BX43" s="92">
        <f>IF(Table645[[#This Row],[Column75]]="--",0,Table645[[#This Row],[Column4]]*Table645[[#This Row],[Column75]])</f>
        <v>0</v>
      </c>
      <c r="BY43" s="95" t="s">
        <v>70</v>
      </c>
      <c r="BZ43" s="91" t="str">
        <f>IF(Table645[[#This Row],[Column74]]=0,"--",BW43*$BY$3)</f>
        <v>--</v>
      </c>
      <c r="CA43" s="89">
        <f>IF(Table645[[#This Row],[Column78]]="--",0,Table645[[#This Row],[Column4]]*Table645[[#This Row],[Column78]])</f>
        <v>0</v>
      </c>
      <c r="CB43" s="95" t="s">
        <v>70</v>
      </c>
      <c r="CC43" s="91" t="str">
        <f>IF(Table645[[#This Row],[Column10]]+Table645[[#This Row],[Column74]]=0,"--",J43*$CB$4*$CB$5/(24*60)+IF(Table645[[#This Row],[Column74]]=0,0,$CB$3*Table645[[#This Row],[Column75]]))</f>
        <v>--</v>
      </c>
      <c r="CD43" s="92">
        <f>IF(Table645[[#This Row],[Column81]]="--",0,Table645[[#This Row],[Column4]]*Table645[[#This Row],[Column81]])</f>
        <v>0</v>
      </c>
      <c r="CE43" s="94"/>
      <c r="CF43" s="91" t="str">
        <f t="shared" si="19"/>
        <v>--</v>
      </c>
      <c r="CG43" s="92">
        <f>IF(Table645[[#This Row],[Column84]]="--",0,Table645[[#This Row],[Column4]]*Table645[[#This Row],[Column84]])</f>
        <v>0</v>
      </c>
      <c r="CH43" s="226"/>
      <c r="CI43" s="90"/>
      <c r="CJ43" s="91" t="str">
        <f>IF(CI43=0,"--",(Table645[[#This Row],[Column86]]*$CI$4*(IF(W43&lt;0.5001,1,IF(W43&lt;2.0001,2,3)))+CI43/$CI$3)/60/24)</f>
        <v>--</v>
      </c>
      <c r="CK43" s="92">
        <f>IF(Table645[[#This Row],[Column88]]="--",0,Table645[[#This Row],[Column4]]*Table645[[#This Row],[Column88]])</f>
        <v>0</v>
      </c>
      <c r="CL43" s="95" t="s">
        <v>70</v>
      </c>
      <c r="CM43" s="91" t="str">
        <f>IF(Table645[[#This Row],[Column87]]=0,"--",CJ43*$CL$3)</f>
        <v>--</v>
      </c>
      <c r="CN43" s="89">
        <f>IF(Table645[[#This Row],[Column91]]="--",0,Table645[[#This Row],[Column4]]*Table645[[#This Row],[Column91]])</f>
        <v>0</v>
      </c>
      <c r="CO43" s="95" t="s">
        <v>70</v>
      </c>
      <c r="CP43" s="91" t="str">
        <f>IF(Table645[[#This Row],[Column10]]+Table645[[#This Row],[Column87]]=0, "--", IF($D43="", 1, $D43) * IF($J43="", 1, $J43) * $CO$3 * $CO$4 * IF(Table645[[#This Row],[Column95]]="", 1, Table645[[#This Row],[Column95]]) / (24 * 60))</f>
        <v>--</v>
      </c>
      <c r="CQ43" s="153"/>
      <c r="CR43" s="92">
        <f>IF(Table645[[#This Row],[Column94]]="--",0,Table645[[#This Row],[Column4]]*Table645[[#This Row],[Column94]])</f>
        <v>0</v>
      </c>
      <c r="CS43" s="206" t="str">
        <f>IF(Table645[[#This Row],[Column87]]="","",Table645[[#This Row],[Column87]])</f>
        <v/>
      </c>
      <c r="CT43" s="91" t="str">
        <f>IF(Table645[[#This Row],[Column97]]="","--",Table645[[#This Row],[Column97]]/$CS$3/60/24)</f>
        <v>--</v>
      </c>
      <c r="CU43" s="89">
        <f>IF(Table645[[#This Row],[Column98]]="--",0,Table645[[#This Row],[Column4]]*Table645[[#This Row],[Column98]])</f>
        <v>0</v>
      </c>
      <c r="CV43" s="93"/>
      <c r="CW43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43" s="91" t="str">
        <f>IF(OR(Table645[[#This Row],[Column74]]&gt;0,Table645[[#This Row],[Column87]]&gt;0),(Table645[[#This Row],[Column73]]+Table645[[#This Row],[Column86]]+1)*$CW$3/60/24,"--")</f>
        <v>--</v>
      </c>
      <c r="CY43" s="92">
        <f>IF(Table645[[#This Row],[Column102]]="--",0,Table645[[#This Row],[Column4]]*Table645[[#This Row],[Column102]])</f>
        <v>0</v>
      </c>
      <c r="CZ43" s="158" t="str">
        <f t="shared" si="20"/>
        <v>--</v>
      </c>
      <c r="DA43" s="153"/>
      <c r="DB43" s="160">
        <f>IF(Table645[[#This Row],[Column104]]="--",0,Table645[[#This Row],[Column4]]*Table645[[#This Row],[Column104]])</f>
        <v>0</v>
      </c>
      <c r="DC43" s="116"/>
      <c r="DD43" s="91" t="str">
        <f>IF(DC43=0,"--",1/$DC$3*1000/(60*60*24)*Table645[[#This Row],[Column107]])</f>
        <v>--</v>
      </c>
      <c r="DE43" s="89">
        <f>IF(Table645[[#This Row],[Column108]]="--",0,Table645[[#This Row],[Column4]]*Table645[[#This Row],[Column108]])</f>
        <v>0</v>
      </c>
      <c r="DF43" s="101" t="s">
        <v>70</v>
      </c>
      <c r="DG43" s="91" t="str">
        <f t="shared" si="21"/>
        <v>--</v>
      </c>
      <c r="DH43" s="89">
        <f>IF(Table645[[#This Row],[Column111]]="--",0,Table645[[#This Row],[Column4]]*Table645[[#This Row],[Column111]])</f>
        <v>0</v>
      </c>
      <c r="DI43" s="96"/>
      <c r="DJ43" s="96"/>
      <c r="DK43" s="96"/>
      <c r="DL43" s="96"/>
      <c r="DM43" s="96"/>
      <c r="DN43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43" s="89">
        <f>IF(Table645[[#This Row],[Column118]]="--",0,Table645[[#This Row],[Column4]]*Table645[[#This Row],[Column118]])</f>
        <v>0</v>
      </c>
      <c r="DP43" s="96"/>
      <c r="DQ43" s="96"/>
      <c r="DR43" s="91" t="str">
        <f t="shared" si="22"/>
        <v>--</v>
      </c>
      <c r="DS43" s="89">
        <f>IF(Table645[[#This Row],[Column122]]="--",0,Table645[[#This Row],[Column4]]*Table645[[#This Row],[Column122]])</f>
        <v>0</v>
      </c>
      <c r="DT43" t="str">
        <f>IF(Table645[[#This Row],[Column125]]=0,"--",Table645[[#This Row],[Column125]]*Table645[[#This Row],[Column126]]*Table645[[#This Row],[Column127]]/1000000000)</f>
        <v>--</v>
      </c>
      <c r="DU43" s="53"/>
      <c r="DV43" s="53"/>
      <c r="DW43" s="53"/>
      <c r="DX43" s="91" t="str">
        <f t="shared" si="23"/>
        <v>--</v>
      </c>
      <c r="DY43" s="89">
        <f>IF(Table645[[#This Row],[Column128]]="--",0,Table645[[#This Row],[Column4]]*Table645[[#This Row],[Column128]])</f>
        <v>0</v>
      </c>
      <c r="EA43" s="89">
        <f>IF(Table645[[#This Row],[Column128]]="--",0,Table645[[#This Row],[Column4]]*Table645[[#This Row],[Column128]])</f>
        <v>0</v>
      </c>
      <c r="EC43" s="89">
        <f>IF(Table645[[#This Row],[Column128]]="--",0,Table645[[#This Row],[Column4]]*Table645[[#This Row],[Column128]])</f>
        <v>0</v>
      </c>
      <c r="EE43" s="89">
        <f>IF(Table645[[#This Row],[Column128]]="--",0,Table645[[#This Row],[Column4]]*Table645[[#This Row],[Column128]])</f>
        <v>0</v>
      </c>
      <c r="EG43" s="89">
        <f>IF(Table645[[#This Row],[Column128]]="--",0,Table645[[#This Row],[Column4]]*Table645[[#This Row],[Column128]])</f>
        <v>0</v>
      </c>
      <c r="EI43" s="89">
        <f>IF(Table645[[#This Row],[Column128]]="--",0,Table645[[#This Row],[Column4]]*Table645[[#This Row],[Column128]])</f>
        <v>0</v>
      </c>
    </row>
    <row r="44" spans="1:139" x14ac:dyDescent="0.25">
      <c r="A44" s="140"/>
      <c r="B44" s="79"/>
      <c r="C44" s="140"/>
      <c r="D44" s="167"/>
      <c r="E44" s="52"/>
      <c r="F44" s="81"/>
      <c r="G44" s="81"/>
      <c r="H44" s="102" t="str">
        <f t="shared" ref="H44:H298" si="34">IF(E44&gt;0,E44*F44*G44/1000000*8*(1+$H$4),"--")</f>
        <v>--</v>
      </c>
      <c r="I44" s="100">
        <f>IF(Table645[[#This Row],[Column8]]="--",0,Table645[[#This Row],[Column4]]*Table645[[#This Row],[Column8]])</f>
        <v>0</v>
      </c>
      <c r="J44" s="169"/>
      <c r="K44" s="85">
        <f>Table645[[#This Row],[Column4]]*Table645[[#This Row],[Column10]]</f>
        <v>0</v>
      </c>
      <c r="L44" s="170" t="str">
        <f t="shared" ref="L44:L298" si="35">IF(J44=0,"--",J44/$J$3)</f>
        <v>--</v>
      </c>
      <c r="M44" s="214">
        <f>IF(Table645[[#This Row],[Column10]]=0,0,Table645[[#This Row],[Column4]]*Table645[[#This Row],[Column12]])</f>
        <v>0</v>
      </c>
      <c r="N44" s="87" t="str">
        <f t="shared" ref="N44:N298" si="36">IF(SUM(Q44:AX44)=0,"--",(Q44/$Q$4+T44/$T$4+W44/$W$4+Z44/$Z$4+AC44/$AC$4+AF44/$AF$4+AI44/$AI$4+AL44/$AL$4+AO44/$AO$4+AR44/$AR$4+AU44/$AU$4+AX44/$AX$4)/60/24)</f>
        <v>--</v>
      </c>
      <c r="O44" s="138"/>
      <c r="AZ44" s="89">
        <f>IF(Table645[[#This Row],[Column14]]="--",0,Table645[[#This Row],[Column4]]*Table645[[#This Row],[Column14]])</f>
        <v>0</v>
      </c>
      <c r="BA44" s="90"/>
      <c r="BB44" s="91" t="str">
        <f>IF(BA44=0,"--",BA44*$BA$3*IF(Table645[[#This Row],[Column5]]&lt;4.1,1,2)/60/24)</f>
        <v>--</v>
      </c>
      <c r="BC44" s="92">
        <f>IF(Table645[[#This Row],[Column54]]="--",0,Table645[[#This Row],[Column4]]*Table645[[#This Row],[Column54]])</f>
        <v>0</v>
      </c>
      <c r="BD44" s="119"/>
      <c r="BE44" s="119"/>
      <c r="BF44" s="119"/>
      <c r="BG44" s="91" t="str">
        <f>IF(BD44+Table645[[#This Row],[Column58]]=0,"--",(BD44*$BF$3*Table645[[#This Row],[Column57]]+Table645[[#This Row],[Column58]]*$BF$4)/60/24)</f>
        <v>--</v>
      </c>
      <c r="BH44" s="92">
        <f>IF(Table645[[#This Row],[Column59]]="--",0,Table645[[#This Row],[Column4]]*Table645[[#This Row],[Column59]])</f>
        <v>0</v>
      </c>
      <c r="BI44" s="119"/>
      <c r="BJ44" s="91" t="str">
        <f t="shared" si="15"/>
        <v>--</v>
      </c>
      <c r="BK44" s="92">
        <f>IF(Table645[[#This Row],[Column62]]="--",0,Table645[[#This Row],[Column4]]*Table645[[#This Row],[Column62]])</f>
        <v>0</v>
      </c>
      <c r="BL44" s="93"/>
      <c r="BM44" s="91" t="str">
        <f t="shared" ref="BM44:BM298" si="37">IF(BL44=0,"--",BL44*$BL$3/60/60/24)</f>
        <v>--</v>
      </c>
      <c r="BN44" s="89">
        <f>IF(Table645[[#This Row],[Column65]]="--",0,Table645[[#This Row],[Column4]]*Table645[[#This Row],[Column65]])</f>
        <v>0</v>
      </c>
      <c r="BO44" s="163"/>
      <c r="BP44" s="164" t="str">
        <f t="shared" ref="BP44:BP298" si="38">IF(BO44=0,"--",BO44*$BO$3/60/60/24)</f>
        <v>--</v>
      </c>
      <c r="BQ44" s="160">
        <f>IF(Table645[[#This Row],[Column68]]="--",0,Table645[[#This Row],[Column4]]*Table645[[#This Row],[Column68]])</f>
        <v>0</v>
      </c>
      <c r="BR44" s="94"/>
      <c r="BS44" s="91" t="str">
        <f t="shared" ref="BS44:BS298" si="39">IF(BR44=0,"--",BR44*$BR$3/60/60/24)</f>
        <v>--</v>
      </c>
      <c r="BT44" s="92">
        <f>IF(Table645[[#This Row],[Column71]]="--",0,Table645[[#This Row],[Column4]]*Table645[[#This Row],[Column71]])</f>
        <v>0</v>
      </c>
      <c r="BU44" s="44"/>
      <c r="BV44" s="90"/>
      <c r="BW44" s="91" t="str">
        <f>IF(BV44=0,"--",(Table645[[#This Row],[Column73]]*$BV$4*(IF(J44&lt;0.5001,1,IF(J44&lt;2.0001,2,3)))+BV44/$BV$3)/60/24)</f>
        <v>--</v>
      </c>
      <c r="BX44" s="92">
        <f>IF(Table645[[#This Row],[Column75]]="--",0,Table645[[#This Row],[Column4]]*Table645[[#This Row],[Column75]])</f>
        <v>0</v>
      </c>
      <c r="BY44" s="95" t="s">
        <v>70</v>
      </c>
      <c r="BZ44" s="91" t="str">
        <f>IF(Table645[[#This Row],[Column74]]=0,"--",BW44*$BY$3)</f>
        <v>--</v>
      </c>
      <c r="CA44" s="89">
        <f>IF(Table645[[#This Row],[Column78]]="--",0,Table645[[#This Row],[Column4]]*Table645[[#This Row],[Column78]])</f>
        <v>0</v>
      </c>
      <c r="CB44" s="95" t="s">
        <v>70</v>
      </c>
      <c r="CC44" s="91" t="str">
        <f>IF(Table645[[#This Row],[Column10]]+Table645[[#This Row],[Column74]]=0,"--",J44*$CB$4*$CB$5/(24*60)+IF(Table645[[#This Row],[Column74]]=0,0,$CB$3*Table645[[#This Row],[Column75]]))</f>
        <v>--</v>
      </c>
      <c r="CD44" s="92">
        <f>IF(Table645[[#This Row],[Column81]]="--",0,Table645[[#This Row],[Column4]]*Table645[[#This Row],[Column81]])</f>
        <v>0</v>
      </c>
      <c r="CE44" s="215"/>
      <c r="CF44" s="91" t="str">
        <f t="shared" si="19"/>
        <v>--</v>
      </c>
      <c r="CG44" s="92">
        <f>IF(Table645[[#This Row],[Column84]]="--",0,Table645[[#This Row],[Column4]]*Table645[[#This Row],[Column84]])</f>
        <v>0</v>
      </c>
      <c r="CH44" s="226"/>
      <c r="CI44" s="216"/>
      <c r="CJ44" s="91" t="str">
        <f>IF(CI44=0,"--",(Table645[[#This Row],[Column86]]*$CI$4*(IF(W44&lt;0.5001,1,IF(W44&lt;2.0001,2,3)))+CI44/$CI$3)/60/24)</f>
        <v>--</v>
      </c>
      <c r="CK44" s="92">
        <f>IF(Table645[[#This Row],[Column88]]="--",0,Table645[[#This Row],[Column4]]*Table645[[#This Row],[Column88]])</f>
        <v>0</v>
      </c>
      <c r="CL44" s="217"/>
      <c r="CM44" s="91" t="str">
        <f>IF(Table645[[#This Row],[Column87]]=0,"--",CJ44*$CL$3)</f>
        <v>--</v>
      </c>
      <c r="CN44" s="92">
        <f>IF(Table645[[#This Row],[Column91]]="--",0,Table645[[#This Row],[Column4]]*Table645[[#This Row],[Column91]])</f>
        <v>0</v>
      </c>
      <c r="CO44" s="217"/>
      <c r="CP44" s="91" t="str">
        <f>IF(Table645[[#This Row],[Column10]]+Table645[[#This Row],[Column87]]=0, "--", IF($D44="", 1, $D44) * IF($J44="", 1, $J44) * $CO$3 * $CO$4 * IF(Table645[[#This Row],[Column95]]="", 1, Table645[[#This Row],[Column95]]) / (24 * 60))</f>
        <v>--</v>
      </c>
      <c r="CQ44" s="164"/>
      <c r="CR44" s="92">
        <f>IF(Table645[[#This Row],[Column94]]="--",0,Table645[[#This Row],[Column4]]*Table645[[#This Row],[Column94]])</f>
        <v>0</v>
      </c>
      <c r="CS44" s="218" t="str">
        <f>IF(Table645[[#This Row],[Column87]]="","",Table645[[#This Row],[Column87]])</f>
        <v/>
      </c>
      <c r="CT44" s="91" t="str">
        <f>IF(Table645[[#This Row],[Column97]]="","--",Table645[[#This Row],[Column97]]/$CS$3/60/24)</f>
        <v>--</v>
      </c>
      <c r="CU44" s="92">
        <f>IF(Table645[[#This Row],[Column98]]="--",0,Table645[[#This Row],[Column4]]*Table645[[#This Row],[Column98]])</f>
        <v>0</v>
      </c>
      <c r="CV44" s="93"/>
      <c r="CW44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44" s="91" t="str">
        <f>IF(OR(Table645[[#This Row],[Column74]]&gt;0,Table645[[#This Row],[Column87]]&gt;0),(Table645[[#This Row],[Column73]]+Table645[[#This Row],[Column86]]+1)*$CW$3/60/24,"--")</f>
        <v>--</v>
      </c>
      <c r="CY44" s="92">
        <f>IF(Table645[[#This Row],[Column102]]="--",0,Table645[[#This Row],[Column4]]*Table645[[#This Row],[Column102]])</f>
        <v>0</v>
      </c>
      <c r="CZ44" s="158" t="str">
        <f t="shared" ref="CZ44:CZ298" si="40">IF(J44=0,"--",J44/$CZ$3/(24)*DA44)</f>
        <v>--</v>
      </c>
      <c r="DA44" s="153"/>
      <c r="DB44" s="160">
        <f>IF(Table645[[#This Row],[Column104]]="--",0,Table645[[#This Row],[Column4]]*Table645[[#This Row],[Column104]])</f>
        <v>0</v>
      </c>
      <c r="DC44" s="219"/>
      <c r="DD44" s="220" t="str">
        <f>IF(DC44=0,"--",1/$DC$3*1000/(60*60*24)*Table645[[#This Row],[Column107]])</f>
        <v>--</v>
      </c>
      <c r="DE44" s="160">
        <f>IF(Table645[[#This Row],[Column108]]="--",0,Table645[[#This Row],[Column4]]*Table645[[#This Row],[Column108]])</f>
        <v>0</v>
      </c>
      <c r="DF44" s="101" t="s">
        <v>70</v>
      </c>
      <c r="DG44" s="91" t="str">
        <f t="shared" ref="DG44:DG298" si="41">IF(DA44=0,"--",(J44*$DF$3)/60/24)</f>
        <v>--</v>
      </c>
      <c r="DH44" s="89">
        <f>IF(Table645[[#This Row],[Column111]]="--",0,Table645[[#This Row],[Column4]]*Table645[[#This Row],[Column111]])</f>
        <v>0</v>
      </c>
      <c r="DI44" s="96"/>
      <c r="DJ44" s="96"/>
      <c r="DK44" s="96"/>
      <c r="DL44" s="96"/>
      <c r="DM44" s="96"/>
      <c r="DN44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44" s="89">
        <f>IF(Table645[[#This Row],[Column118]]="--",0,Table645[[#This Row],[Column4]]*Table645[[#This Row],[Column118]])</f>
        <v>0</v>
      </c>
      <c r="DP44" s="96"/>
      <c r="DQ44" s="96"/>
      <c r="DR44" s="91" t="str">
        <f t="shared" ref="DR44:DR298" si="42">IF(DP44+DQ44&gt;0,(DP44*$DQ$3+DQ44*$DQ$4)/60/24,IF(DN44="--","--",(DP44*$DQ$3+DQ44*$DQ$4)/60/24))</f>
        <v>--</v>
      </c>
      <c r="DS44" s="89">
        <f>IF(Table645[[#This Row],[Column122]]="--",0,Table645[[#This Row],[Column4]]*Table645[[#This Row],[Column122]])</f>
        <v>0</v>
      </c>
      <c r="DT44" t="str">
        <f>IF(Table645[[#This Row],[Column125]]=0,"--",Table645[[#This Row],[Column125]]*Table645[[#This Row],[Column126]]*Table645[[#This Row],[Column127]]/1000000000)</f>
        <v>--</v>
      </c>
      <c r="DU44" s="53"/>
      <c r="DV44" s="53"/>
      <c r="DW44" s="53"/>
      <c r="DX44" s="91" t="str">
        <f t="shared" ref="DX44:DX298" si="43">IF(DT44="--","--",(1+DT44*$DT$3)/60/24)</f>
        <v>--</v>
      </c>
      <c r="DY44" s="89">
        <f>IF(Table645[[#This Row],[Column128]]="--",0,Table645[[#This Row],[Column4]]*Table645[[#This Row],[Column128]])</f>
        <v>0</v>
      </c>
      <c r="EA44" s="89">
        <f>IF(Table645[[#This Row],[Column128]]="--",0,Table645[[#This Row],[Column4]]*Table645[[#This Row],[Column128]])</f>
        <v>0</v>
      </c>
      <c r="EC44" s="89">
        <f>IF(Table645[[#This Row],[Column128]]="--",0,Table645[[#This Row],[Column4]]*Table645[[#This Row],[Column128]])</f>
        <v>0</v>
      </c>
      <c r="EE44" s="89">
        <f>IF(Table645[[#This Row],[Column128]]="--",0,Table645[[#This Row],[Column4]]*Table645[[#This Row],[Column128]])</f>
        <v>0</v>
      </c>
      <c r="EG44" s="89">
        <f>IF(Table645[[#This Row],[Column128]]="--",0,Table645[[#This Row],[Column4]]*Table645[[#This Row],[Column128]])</f>
        <v>0</v>
      </c>
      <c r="EI44" s="89">
        <f>IF(Table645[[#This Row],[Column128]]="--",0,Table645[[#This Row],[Column4]]*Table645[[#This Row],[Column128]])</f>
        <v>0</v>
      </c>
    </row>
    <row r="45" spans="1:139" x14ac:dyDescent="0.25">
      <c r="A45" s="140"/>
      <c r="B45" s="79"/>
      <c r="C45" s="140"/>
      <c r="D45" s="167"/>
      <c r="E45" s="52"/>
      <c r="F45" s="81"/>
      <c r="G45" s="81"/>
      <c r="H45" s="102" t="str">
        <f t="shared" si="34"/>
        <v>--</v>
      </c>
      <c r="I45" s="100">
        <f>IF(Table645[[#This Row],[Column8]]="--",0,Table645[[#This Row],[Column4]]*Table645[[#This Row],[Column8]])</f>
        <v>0</v>
      </c>
      <c r="J45" s="169"/>
      <c r="K45" s="85">
        <f>Table645[[#This Row],[Column4]]*Table645[[#This Row],[Column10]]</f>
        <v>0</v>
      </c>
      <c r="L45" s="170" t="str">
        <f t="shared" si="35"/>
        <v>--</v>
      </c>
      <c r="M45" s="214">
        <f>IF(Table645[[#This Row],[Column10]]=0,0,Table645[[#This Row],[Column4]]*Table645[[#This Row],[Column12]])</f>
        <v>0</v>
      </c>
      <c r="N45" s="87" t="str">
        <f t="shared" si="36"/>
        <v>--</v>
      </c>
      <c r="O45" s="138"/>
      <c r="AZ45" s="89">
        <f>IF(Table645[[#This Row],[Column14]]="--",0,Table645[[#This Row],[Column4]]*Table645[[#This Row],[Column14]])</f>
        <v>0</v>
      </c>
      <c r="BA45" s="90"/>
      <c r="BB45" s="91" t="str">
        <f>IF(BA45=0,"--",BA45*$BA$3*IF(Table645[[#This Row],[Column5]]&lt;4.1,1,2)/60/24)</f>
        <v>--</v>
      </c>
      <c r="BC45" s="92">
        <f>IF(Table645[[#This Row],[Column54]]="--",0,Table645[[#This Row],[Column4]]*Table645[[#This Row],[Column54]])</f>
        <v>0</v>
      </c>
      <c r="BD45" s="119"/>
      <c r="BE45" s="119"/>
      <c r="BF45" s="119"/>
      <c r="BG45" s="91" t="str">
        <f>IF(BD45+Table645[[#This Row],[Column58]]=0,"--",(BD45*$BF$3*Table645[[#This Row],[Column57]]+Table645[[#This Row],[Column58]]*$BF$4)/60/24)</f>
        <v>--</v>
      </c>
      <c r="BH45" s="92">
        <f>IF(Table645[[#This Row],[Column59]]="--",0,Table645[[#This Row],[Column4]]*Table645[[#This Row],[Column59]])</f>
        <v>0</v>
      </c>
      <c r="BI45" s="119"/>
      <c r="BJ45" s="91" t="str">
        <f t="shared" si="15"/>
        <v>--</v>
      </c>
      <c r="BK45" s="92">
        <f>IF(Table645[[#This Row],[Column62]]="--",0,Table645[[#This Row],[Column4]]*Table645[[#This Row],[Column62]])</f>
        <v>0</v>
      </c>
      <c r="BL45" s="93"/>
      <c r="BM45" s="91" t="str">
        <f t="shared" si="37"/>
        <v>--</v>
      </c>
      <c r="BN45" s="89">
        <f>IF(Table645[[#This Row],[Column65]]="--",0,Table645[[#This Row],[Column4]]*Table645[[#This Row],[Column65]])</f>
        <v>0</v>
      </c>
      <c r="BO45" s="163"/>
      <c r="BP45" s="164" t="str">
        <f t="shared" si="38"/>
        <v>--</v>
      </c>
      <c r="BQ45" s="160">
        <f>IF(Table645[[#This Row],[Column68]]="--",0,Table645[[#This Row],[Column4]]*Table645[[#This Row],[Column68]])</f>
        <v>0</v>
      </c>
      <c r="BR45" s="94"/>
      <c r="BS45" s="91" t="str">
        <f t="shared" si="39"/>
        <v>--</v>
      </c>
      <c r="BT45" s="92">
        <f>IF(Table645[[#This Row],[Column71]]="--",0,Table645[[#This Row],[Column4]]*Table645[[#This Row],[Column71]])</f>
        <v>0</v>
      </c>
      <c r="BU45" s="44"/>
      <c r="BV45" s="90"/>
      <c r="BW45" s="91" t="str">
        <f>IF(BV45=0,"--",(Table645[[#This Row],[Column73]]*$BV$4*(IF(J45&lt;0.5001,1,IF(J45&lt;2.0001,2,3)))+BV45/$BV$3)/60/24)</f>
        <v>--</v>
      </c>
      <c r="BX45" s="92">
        <f>IF(Table645[[#This Row],[Column75]]="--",0,Table645[[#This Row],[Column4]]*Table645[[#This Row],[Column75]])</f>
        <v>0</v>
      </c>
      <c r="BY45" s="95" t="s">
        <v>70</v>
      </c>
      <c r="BZ45" s="91" t="str">
        <f>IF(Table645[[#This Row],[Column74]]=0,"--",BW45*$BY$3)</f>
        <v>--</v>
      </c>
      <c r="CA45" s="89">
        <f>IF(Table645[[#This Row],[Column78]]="--",0,Table645[[#This Row],[Column4]]*Table645[[#This Row],[Column78]])</f>
        <v>0</v>
      </c>
      <c r="CB45" s="95" t="s">
        <v>70</v>
      </c>
      <c r="CC45" s="91" t="str">
        <f>IF(Table645[[#This Row],[Column10]]+Table645[[#This Row],[Column74]]=0,"--",J45*$CB$4*$CB$5/(24*60)+IF(Table645[[#This Row],[Column74]]=0,0,$CB$3*Table645[[#This Row],[Column75]]))</f>
        <v>--</v>
      </c>
      <c r="CD45" s="92">
        <f>IF(Table645[[#This Row],[Column81]]="--",0,Table645[[#This Row],[Column4]]*Table645[[#This Row],[Column81]])</f>
        <v>0</v>
      </c>
      <c r="CE45" s="215"/>
      <c r="CF45" s="91" t="str">
        <f t="shared" si="19"/>
        <v>--</v>
      </c>
      <c r="CG45" s="92">
        <f>IF(Table645[[#This Row],[Column84]]="--",0,Table645[[#This Row],[Column4]]*Table645[[#This Row],[Column84]])</f>
        <v>0</v>
      </c>
      <c r="CH45" s="226"/>
      <c r="CI45" s="216"/>
      <c r="CJ45" s="91" t="str">
        <f>IF(CI45=0,"--",(Table645[[#This Row],[Column86]]*$CI$4*(IF(W45&lt;0.5001,1,IF(W45&lt;2.0001,2,3)))+CI45/$CI$3)/60/24)</f>
        <v>--</v>
      </c>
      <c r="CK45" s="92">
        <f>IF(Table645[[#This Row],[Column88]]="--",0,Table645[[#This Row],[Column4]]*Table645[[#This Row],[Column88]])</f>
        <v>0</v>
      </c>
      <c r="CL45" s="217"/>
      <c r="CM45" s="91" t="str">
        <f>IF(Table645[[#This Row],[Column87]]=0,"--",CJ45*$CL$3)</f>
        <v>--</v>
      </c>
      <c r="CN45" s="92">
        <f>IF(Table645[[#This Row],[Column91]]="--",0,Table645[[#This Row],[Column4]]*Table645[[#This Row],[Column91]])</f>
        <v>0</v>
      </c>
      <c r="CO45" s="217"/>
      <c r="CP45" s="91" t="str">
        <f>IF(Table645[[#This Row],[Column10]]+Table645[[#This Row],[Column87]]=0, "--", IF($D45="", 1, $D45) * IF($J45="", 1, $J45) * $CO$3 * $CO$4 * IF(Table645[[#This Row],[Column95]]="", 1, Table645[[#This Row],[Column95]]) / (24 * 60))</f>
        <v>--</v>
      </c>
      <c r="CQ45" s="164"/>
      <c r="CR45" s="92">
        <f>IF(Table645[[#This Row],[Column94]]="--",0,Table645[[#This Row],[Column4]]*Table645[[#This Row],[Column94]])</f>
        <v>0</v>
      </c>
      <c r="CS45" s="218" t="str">
        <f>IF(Table645[[#This Row],[Column87]]="","",Table645[[#This Row],[Column87]])</f>
        <v/>
      </c>
      <c r="CT45" s="91" t="str">
        <f>IF(Table645[[#This Row],[Column97]]="","--",Table645[[#This Row],[Column97]]/$CS$3/60/24)</f>
        <v>--</v>
      </c>
      <c r="CU45" s="92">
        <f>IF(Table645[[#This Row],[Column98]]="--",0,Table645[[#This Row],[Column4]]*Table645[[#This Row],[Column98]])</f>
        <v>0</v>
      </c>
      <c r="CV45" s="93"/>
      <c r="CW45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45" s="91" t="str">
        <f>IF(OR(Table645[[#This Row],[Column74]]&gt;0,Table645[[#This Row],[Column87]]&gt;0),(Table645[[#This Row],[Column73]]+Table645[[#This Row],[Column86]]+1)*$CW$3/60/24,"--")</f>
        <v>--</v>
      </c>
      <c r="CY45" s="92">
        <f>IF(Table645[[#This Row],[Column102]]="--",0,Table645[[#This Row],[Column4]]*Table645[[#This Row],[Column102]])</f>
        <v>0</v>
      </c>
      <c r="CZ45" s="158" t="str">
        <f t="shared" si="40"/>
        <v>--</v>
      </c>
      <c r="DA45" s="153"/>
      <c r="DB45" s="160">
        <f>IF(Table645[[#This Row],[Column104]]="--",0,Table645[[#This Row],[Column4]]*Table645[[#This Row],[Column104]])</f>
        <v>0</v>
      </c>
      <c r="DC45" s="219"/>
      <c r="DD45" s="220" t="str">
        <f>IF(DC45=0,"--",1/$DC$3*1000/(60*60*24)*Table645[[#This Row],[Column107]])</f>
        <v>--</v>
      </c>
      <c r="DE45" s="160">
        <f>IF(Table645[[#This Row],[Column108]]="--",0,Table645[[#This Row],[Column4]]*Table645[[#This Row],[Column108]])</f>
        <v>0</v>
      </c>
      <c r="DF45" s="101" t="s">
        <v>70</v>
      </c>
      <c r="DG45" s="91" t="str">
        <f t="shared" si="41"/>
        <v>--</v>
      </c>
      <c r="DH45" s="89">
        <f>IF(Table645[[#This Row],[Column111]]="--",0,Table645[[#This Row],[Column4]]*Table645[[#This Row],[Column111]])</f>
        <v>0</v>
      </c>
      <c r="DI45" s="96"/>
      <c r="DJ45" s="96"/>
      <c r="DK45" s="96"/>
      <c r="DL45" s="96"/>
      <c r="DM45" s="96"/>
      <c r="DN45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45" s="89">
        <f>IF(Table645[[#This Row],[Column118]]="--",0,Table645[[#This Row],[Column4]]*Table645[[#This Row],[Column118]])</f>
        <v>0</v>
      </c>
      <c r="DP45" s="96"/>
      <c r="DQ45" s="96"/>
      <c r="DR45" s="91" t="str">
        <f t="shared" si="42"/>
        <v>--</v>
      </c>
      <c r="DS45" s="89">
        <f>IF(Table645[[#This Row],[Column122]]="--",0,Table645[[#This Row],[Column4]]*Table645[[#This Row],[Column122]])</f>
        <v>0</v>
      </c>
      <c r="DT45" t="str">
        <f>IF(Table645[[#This Row],[Column125]]=0,"--",Table645[[#This Row],[Column125]]*Table645[[#This Row],[Column126]]*Table645[[#This Row],[Column127]]/1000000000)</f>
        <v>--</v>
      </c>
      <c r="DU45" s="53"/>
      <c r="DV45" s="53"/>
      <c r="DW45" s="53"/>
      <c r="DX45" s="91" t="str">
        <f t="shared" si="43"/>
        <v>--</v>
      </c>
      <c r="DY45" s="89">
        <f>IF(Table645[[#This Row],[Column128]]="--",0,Table645[[#This Row],[Column4]]*Table645[[#This Row],[Column128]])</f>
        <v>0</v>
      </c>
      <c r="EA45" s="89">
        <f>IF(Table645[[#This Row],[Column128]]="--",0,Table645[[#This Row],[Column4]]*Table645[[#This Row],[Column128]])</f>
        <v>0</v>
      </c>
      <c r="EC45" s="89">
        <f>IF(Table645[[#This Row],[Column128]]="--",0,Table645[[#This Row],[Column4]]*Table645[[#This Row],[Column128]])</f>
        <v>0</v>
      </c>
      <c r="EE45" s="89">
        <f>IF(Table645[[#This Row],[Column128]]="--",0,Table645[[#This Row],[Column4]]*Table645[[#This Row],[Column128]])</f>
        <v>0</v>
      </c>
      <c r="EG45" s="89">
        <f>IF(Table645[[#This Row],[Column128]]="--",0,Table645[[#This Row],[Column4]]*Table645[[#This Row],[Column128]])</f>
        <v>0</v>
      </c>
      <c r="EI45" s="89">
        <f>IF(Table645[[#This Row],[Column128]]="--",0,Table645[[#This Row],[Column4]]*Table645[[#This Row],[Column128]])</f>
        <v>0</v>
      </c>
    </row>
    <row r="46" spans="1:139" x14ac:dyDescent="0.25">
      <c r="A46" s="140"/>
      <c r="B46" s="79"/>
      <c r="C46" s="140"/>
      <c r="D46" s="167"/>
      <c r="E46" s="52"/>
      <c r="F46" s="81"/>
      <c r="G46" s="81"/>
      <c r="H46" s="102" t="str">
        <f t="shared" si="34"/>
        <v>--</v>
      </c>
      <c r="I46" s="100">
        <f>IF(Table645[[#This Row],[Column8]]="--",0,Table645[[#This Row],[Column4]]*Table645[[#This Row],[Column8]])</f>
        <v>0</v>
      </c>
      <c r="J46" s="169"/>
      <c r="K46" s="85">
        <f>Table645[[#This Row],[Column4]]*Table645[[#This Row],[Column10]]</f>
        <v>0</v>
      </c>
      <c r="L46" s="170" t="str">
        <f t="shared" si="35"/>
        <v>--</v>
      </c>
      <c r="M46" s="214">
        <f>IF(Table645[[#This Row],[Column10]]=0,0,Table645[[#This Row],[Column4]]*Table645[[#This Row],[Column12]])</f>
        <v>0</v>
      </c>
      <c r="N46" s="87" t="str">
        <f t="shared" si="36"/>
        <v>--</v>
      </c>
      <c r="O46" s="138"/>
      <c r="AZ46" s="89">
        <f>IF(Table645[[#This Row],[Column14]]="--",0,Table645[[#This Row],[Column4]]*Table645[[#This Row],[Column14]])</f>
        <v>0</v>
      </c>
      <c r="BA46" s="90"/>
      <c r="BB46" s="91" t="str">
        <f>IF(BA46=0,"--",BA46*$BA$3*IF(Table645[[#This Row],[Column5]]&lt;4.1,1,2)/60/24)</f>
        <v>--</v>
      </c>
      <c r="BC46" s="92">
        <f>IF(Table645[[#This Row],[Column54]]="--",0,Table645[[#This Row],[Column4]]*Table645[[#This Row],[Column54]])</f>
        <v>0</v>
      </c>
      <c r="BD46" s="119"/>
      <c r="BE46" s="119"/>
      <c r="BF46" s="119"/>
      <c r="BG46" s="91" t="str">
        <f>IF(BD46+Table645[[#This Row],[Column58]]=0,"--",(BD46*$BF$3*Table645[[#This Row],[Column57]]+Table645[[#This Row],[Column58]]*$BF$4)/60/24)</f>
        <v>--</v>
      </c>
      <c r="BH46" s="92">
        <f>IF(Table645[[#This Row],[Column59]]="--",0,Table645[[#This Row],[Column4]]*Table645[[#This Row],[Column59]])</f>
        <v>0</v>
      </c>
      <c r="BI46" s="119"/>
      <c r="BJ46" s="91" t="str">
        <f t="shared" si="15"/>
        <v>--</v>
      </c>
      <c r="BK46" s="92">
        <f>IF(Table645[[#This Row],[Column62]]="--",0,Table645[[#This Row],[Column4]]*Table645[[#This Row],[Column62]])</f>
        <v>0</v>
      </c>
      <c r="BL46" s="93"/>
      <c r="BM46" s="91" t="str">
        <f t="shared" si="37"/>
        <v>--</v>
      </c>
      <c r="BN46" s="89">
        <f>IF(Table645[[#This Row],[Column65]]="--",0,Table645[[#This Row],[Column4]]*Table645[[#This Row],[Column65]])</f>
        <v>0</v>
      </c>
      <c r="BO46" s="163"/>
      <c r="BP46" s="164" t="str">
        <f t="shared" si="38"/>
        <v>--</v>
      </c>
      <c r="BQ46" s="160">
        <f>IF(Table645[[#This Row],[Column68]]="--",0,Table645[[#This Row],[Column4]]*Table645[[#This Row],[Column68]])</f>
        <v>0</v>
      </c>
      <c r="BR46" s="94"/>
      <c r="BS46" s="91" t="str">
        <f t="shared" si="39"/>
        <v>--</v>
      </c>
      <c r="BT46" s="92">
        <f>IF(Table645[[#This Row],[Column71]]="--",0,Table645[[#This Row],[Column4]]*Table645[[#This Row],[Column71]])</f>
        <v>0</v>
      </c>
      <c r="BU46" s="44"/>
      <c r="BV46" s="90"/>
      <c r="BW46" s="91" t="str">
        <f>IF(BV46=0,"--",(Table645[[#This Row],[Column73]]*$BV$4*(IF(J46&lt;0.5001,1,IF(J46&lt;2.0001,2,3)))+BV46/$BV$3)/60/24)</f>
        <v>--</v>
      </c>
      <c r="BX46" s="92">
        <f>IF(Table645[[#This Row],[Column75]]="--",0,Table645[[#This Row],[Column4]]*Table645[[#This Row],[Column75]])</f>
        <v>0</v>
      </c>
      <c r="BY46" s="95" t="s">
        <v>70</v>
      </c>
      <c r="BZ46" s="91" t="str">
        <f>IF(Table645[[#This Row],[Column74]]=0,"--",BW46*$BY$3)</f>
        <v>--</v>
      </c>
      <c r="CA46" s="89">
        <f>IF(Table645[[#This Row],[Column78]]="--",0,Table645[[#This Row],[Column4]]*Table645[[#This Row],[Column78]])</f>
        <v>0</v>
      </c>
      <c r="CB46" s="95" t="s">
        <v>70</v>
      </c>
      <c r="CC46" s="91" t="str">
        <f>IF(Table645[[#This Row],[Column10]]+Table645[[#This Row],[Column74]]=0,"--",J46*$CB$4*$CB$5/(24*60)+IF(Table645[[#This Row],[Column74]]=0,0,$CB$3*Table645[[#This Row],[Column75]]))</f>
        <v>--</v>
      </c>
      <c r="CD46" s="92">
        <f>IF(Table645[[#This Row],[Column81]]="--",0,Table645[[#This Row],[Column4]]*Table645[[#This Row],[Column81]])</f>
        <v>0</v>
      </c>
      <c r="CE46" s="215"/>
      <c r="CF46" s="91" t="str">
        <f t="shared" si="19"/>
        <v>--</v>
      </c>
      <c r="CG46" s="92">
        <f>IF(Table645[[#This Row],[Column84]]="--",0,Table645[[#This Row],[Column4]]*Table645[[#This Row],[Column84]])</f>
        <v>0</v>
      </c>
      <c r="CH46" s="226"/>
      <c r="CI46" s="216"/>
      <c r="CJ46" s="91" t="str">
        <f>IF(CI46=0,"--",(Table645[[#This Row],[Column86]]*$CI$4*(IF(W46&lt;0.5001,1,IF(W46&lt;2.0001,2,3)))+CI46/$CI$3)/60/24)</f>
        <v>--</v>
      </c>
      <c r="CK46" s="92">
        <f>IF(Table645[[#This Row],[Column88]]="--",0,Table645[[#This Row],[Column4]]*Table645[[#This Row],[Column88]])</f>
        <v>0</v>
      </c>
      <c r="CL46" s="217"/>
      <c r="CM46" s="91" t="str">
        <f>IF(Table645[[#This Row],[Column87]]=0,"--",CJ46*$CL$3)</f>
        <v>--</v>
      </c>
      <c r="CN46" s="92">
        <f>IF(Table645[[#This Row],[Column91]]="--",0,Table645[[#This Row],[Column4]]*Table645[[#This Row],[Column91]])</f>
        <v>0</v>
      </c>
      <c r="CO46" s="217"/>
      <c r="CP46" s="91" t="str">
        <f>IF(Table645[[#This Row],[Column10]]+Table645[[#This Row],[Column87]]=0, "--", IF($D46="", 1, $D46) * IF($J46="", 1, $J46) * $CO$3 * $CO$4 * IF(Table645[[#This Row],[Column95]]="", 1, Table645[[#This Row],[Column95]]) / (24 * 60))</f>
        <v>--</v>
      </c>
      <c r="CQ46" s="164"/>
      <c r="CR46" s="92">
        <f>IF(Table645[[#This Row],[Column94]]="--",0,Table645[[#This Row],[Column4]]*Table645[[#This Row],[Column94]])</f>
        <v>0</v>
      </c>
      <c r="CS46" s="218" t="str">
        <f>IF(Table645[[#This Row],[Column87]]="","",Table645[[#This Row],[Column87]])</f>
        <v/>
      </c>
      <c r="CT46" s="91" t="str">
        <f>IF(Table645[[#This Row],[Column97]]="","--",Table645[[#This Row],[Column97]]/$CS$3/60/24)</f>
        <v>--</v>
      </c>
      <c r="CU46" s="92">
        <f>IF(Table645[[#This Row],[Column98]]="--",0,Table645[[#This Row],[Column4]]*Table645[[#This Row],[Column98]])</f>
        <v>0</v>
      </c>
      <c r="CV46" s="93"/>
      <c r="CW46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46" s="91" t="str">
        <f>IF(OR(Table645[[#This Row],[Column74]]&gt;0,Table645[[#This Row],[Column87]]&gt;0),(Table645[[#This Row],[Column73]]+Table645[[#This Row],[Column86]]+1)*$CW$3/60/24,"--")</f>
        <v>--</v>
      </c>
      <c r="CY46" s="92">
        <f>IF(Table645[[#This Row],[Column102]]="--",0,Table645[[#This Row],[Column4]]*Table645[[#This Row],[Column102]])</f>
        <v>0</v>
      </c>
      <c r="CZ46" s="158" t="str">
        <f t="shared" si="40"/>
        <v>--</v>
      </c>
      <c r="DA46" s="153"/>
      <c r="DB46" s="160">
        <f>IF(Table645[[#This Row],[Column104]]="--",0,Table645[[#This Row],[Column4]]*Table645[[#This Row],[Column104]])</f>
        <v>0</v>
      </c>
      <c r="DC46" s="219"/>
      <c r="DD46" s="220" t="str">
        <f>IF(DC46=0,"--",1/$DC$3*1000/(60*60*24)*Table645[[#This Row],[Column107]])</f>
        <v>--</v>
      </c>
      <c r="DE46" s="160">
        <f>IF(Table645[[#This Row],[Column108]]="--",0,Table645[[#This Row],[Column4]]*Table645[[#This Row],[Column108]])</f>
        <v>0</v>
      </c>
      <c r="DF46" s="101" t="s">
        <v>70</v>
      </c>
      <c r="DG46" s="91" t="str">
        <f t="shared" si="41"/>
        <v>--</v>
      </c>
      <c r="DH46" s="89">
        <f>IF(Table645[[#This Row],[Column111]]="--",0,Table645[[#This Row],[Column4]]*Table645[[#This Row],[Column111]])</f>
        <v>0</v>
      </c>
      <c r="DI46" s="96"/>
      <c r="DJ46" s="96"/>
      <c r="DK46" s="96"/>
      <c r="DL46" s="96"/>
      <c r="DM46" s="96"/>
      <c r="DN46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46" s="89">
        <f>IF(Table645[[#This Row],[Column118]]="--",0,Table645[[#This Row],[Column4]]*Table645[[#This Row],[Column118]])</f>
        <v>0</v>
      </c>
      <c r="DP46" s="96"/>
      <c r="DQ46" s="96"/>
      <c r="DR46" s="91" t="str">
        <f t="shared" si="42"/>
        <v>--</v>
      </c>
      <c r="DS46" s="89">
        <f>IF(Table645[[#This Row],[Column122]]="--",0,Table645[[#This Row],[Column4]]*Table645[[#This Row],[Column122]])</f>
        <v>0</v>
      </c>
      <c r="DT46" t="str">
        <f>IF(Table645[[#This Row],[Column125]]=0,"--",Table645[[#This Row],[Column125]]*Table645[[#This Row],[Column126]]*Table645[[#This Row],[Column127]]/1000000000)</f>
        <v>--</v>
      </c>
      <c r="DU46" s="53"/>
      <c r="DV46" s="53"/>
      <c r="DW46" s="53"/>
      <c r="DX46" s="91" t="str">
        <f t="shared" si="43"/>
        <v>--</v>
      </c>
      <c r="DY46" s="89">
        <f>IF(Table645[[#This Row],[Column128]]="--",0,Table645[[#This Row],[Column4]]*Table645[[#This Row],[Column128]])</f>
        <v>0</v>
      </c>
      <c r="EA46" s="89">
        <f>IF(Table645[[#This Row],[Column128]]="--",0,Table645[[#This Row],[Column4]]*Table645[[#This Row],[Column128]])</f>
        <v>0</v>
      </c>
      <c r="EC46" s="89">
        <f>IF(Table645[[#This Row],[Column128]]="--",0,Table645[[#This Row],[Column4]]*Table645[[#This Row],[Column128]])</f>
        <v>0</v>
      </c>
      <c r="EE46" s="89">
        <f>IF(Table645[[#This Row],[Column128]]="--",0,Table645[[#This Row],[Column4]]*Table645[[#This Row],[Column128]])</f>
        <v>0</v>
      </c>
      <c r="EG46" s="89">
        <f>IF(Table645[[#This Row],[Column128]]="--",0,Table645[[#This Row],[Column4]]*Table645[[#This Row],[Column128]])</f>
        <v>0</v>
      </c>
      <c r="EI46" s="89">
        <f>IF(Table645[[#This Row],[Column128]]="--",0,Table645[[#This Row],[Column4]]*Table645[[#This Row],[Column128]])</f>
        <v>0</v>
      </c>
    </row>
    <row r="47" spans="1:139" x14ac:dyDescent="0.25">
      <c r="A47" s="140"/>
      <c r="B47" s="79"/>
      <c r="C47" s="140"/>
      <c r="D47" s="167"/>
      <c r="E47" s="52"/>
      <c r="F47" s="81"/>
      <c r="G47" s="81"/>
      <c r="H47" s="102" t="str">
        <f t="shared" ref="H47:H232" si="44">IF(E47&gt;0,E47*F47*G47/1000000*8*(1+$H$4),"--")</f>
        <v>--</v>
      </c>
      <c r="I47" s="100">
        <f>IF(Table645[[#This Row],[Column8]]="--",0,Table645[[#This Row],[Column4]]*Table645[[#This Row],[Column8]])</f>
        <v>0</v>
      </c>
      <c r="J47" s="169"/>
      <c r="K47" s="85">
        <f>Table645[[#This Row],[Column4]]*Table645[[#This Row],[Column10]]</f>
        <v>0</v>
      </c>
      <c r="L47" s="170" t="str">
        <f t="shared" ref="L47:L232" si="45">IF(J47=0,"--",J47/$J$3)</f>
        <v>--</v>
      </c>
      <c r="M47" s="214">
        <f>IF(Table645[[#This Row],[Column10]]=0,0,Table645[[#This Row],[Column4]]*Table645[[#This Row],[Column12]])</f>
        <v>0</v>
      </c>
      <c r="N47" s="87" t="str">
        <f t="shared" ref="N47:N232" si="46">IF(SUM(Q47:AX47)=0,"--",(Q47/$Q$4+T47/$T$4+W47/$W$4+Z47/$Z$4+AC47/$AC$4+AF47/$AF$4+AI47/$AI$4+AL47/$AL$4+AO47/$AO$4+AR47/$AR$4+AU47/$AU$4+AX47/$AX$4)/60/24)</f>
        <v>--</v>
      </c>
      <c r="O47" s="138"/>
      <c r="AZ47" s="89">
        <f>IF(Table645[[#This Row],[Column14]]="--",0,Table645[[#This Row],[Column4]]*Table645[[#This Row],[Column14]])</f>
        <v>0</v>
      </c>
      <c r="BA47" s="90"/>
      <c r="BB47" s="91" t="str">
        <f>IF(BA47=0,"--",BA47*$BA$3*IF(Table645[[#This Row],[Column5]]&lt;4.1,1,2)/60/24)</f>
        <v>--</v>
      </c>
      <c r="BC47" s="92">
        <f>IF(Table645[[#This Row],[Column54]]="--",0,Table645[[#This Row],[Column4]]*Table645[[#This Row],[Column54]])</f>
        <v>0</v>
      </c>
      <c r="BD47" s="119"/>
      <c r="BE47" s="119"/>
      <c r="BF47" s="119"/>
      <c r="BG47" s="91" t="str">
        <f>IF(BD47+Table645[[#This Row],[Column58]]=0,"--",(BD47*$BF$3*Table645[[#This Row],[Column57]]+Table645[[#This Row],[Column58]]*$BF$4)/60/24)</f>
        <v>--</v>
      </c>
      <c r="BH47" s="92">
        <f>IF(Table645[[#This Row],[Column59]]="--",0,Table645[[#This Row],[Column4]]*Table645[[#This Row],[Column59]])</f>
        <v>0</v>
      </c>
      <c r="BI47" s="119"/>
      <c r="BJ47" s="91" t="str">
        <f t="shared" si="15"/>
        <v>--</v>
      </c>
      <c r="BK47" s="92">
        <f>IF(Table645[[#This Row],[Column62]]="--",0,Table645[[#This Row],[Column4]]*Table645[[#This Row],[Column62]])</f>
        <v>0</v>
      </c>
      <c r="BL47" s="93"/>
      <c r="BM47" s="91" t="str">
        <f t="shared" ref="BM47:BM232" si="47">IF(BL47=0,"--",BL47*$BL$3/60/60/24)</f>
        <v>--</v>
      </c>
      <c r="BN47" s="89">
        <f>IF(Table645[[#This Row],[Column65]]="--",0,Table645[[#This Row],[Column4]]*Table645[[#This Row],[Column65]])</f>
        <v>0</v>
      </c>
      <c r="BO47" s="163"/>
      <c r="BP47" s="164" t="str">
        <f t="shared" ref="BP47:BP232" si="48">IF(BO47=0,"--",BO47*$BO$3/60/60/24)</f>
        <v>--</v>
      </c>
      <c r="BQ47" s="160">
        <f>IF(Table645[[#This Row],[Column68]]="--",0,Table645[[#This Row],[Column4]]*Table645[[#This Row],[Column68]])</f>
        <v>0</v>
      </c>
      <c r="BR47" s="94"/>
      <c r="BS47" s="91" t="str">
        <f t="shared" ref="BS47:BS232" si="49">IF(BR47=0,"--",BR47*$BR$3/60/60/24)</f>
        <v>--</v>
      </c>
      <c r="BT47" s="92">
        <f>IF(Table645[[#This Row],[Column71]]="--",0,Table645[[#This Row],[Column4]]*Table645[[#This Row],[Column71]])</f>
        <v>0</v>
      </c>
      <c r="BU47" s="44"/>
      <c r="BV47" s="90"/>
      <c r="BW47" s="91" t="str">
        <f>IF(BV47=0,"--",(Table645[[#This Row],[Column73]]*$BV$4*(IF(J47&lt;0.5001,1,IF(J47&lt;2.0001,2,3)))+BV47/$BV$3)/60/24)</f>
        <v>--</v>
      </c>
      <c r="BX47" s="92">
        <f>IF(Table645[[#This Row],[Column75]]="--",0,Table645[[#This Row],[Column4]]*Table645[[#This Row],[Column75]])</f>
        <v>0</v>
      </c>
      <c r="BY47" s="95" t="s">
        <v>70</v>
      </c>
      <c r="BZ47" s="91" t="str">
        <f>IF(Table645[[#This Row],[Column74]]=0,"--",BW47*$BY$3)</f>
        <v>--</v>
      </c>
      <c r="CA47" s="89">
        <f>IF(Table645[[#This Row],[Column78]]="--",0,Table645[[#This Row],[Column4]]*Table645[[#This Row],[Column78]])</f>
        <v>0</v>
      </c>
      <c r="CB47" s="95" t="s">
        <v>70</v>
      </c>
      <c r="CC47" s="91" t="str">
        <f>IF(Table645[[#This Row],[Column10]]+Table645[[#This Row],[Column74]]=0,"--",J47*$CB$4*$CB$5/(24*60)+IF(Table645[[#This Row],[Column74]]=0,0,$CB$3*Table645[[#This Row],[Column75]]))</f>
        <v>--</v>
      </c>
      <c r="CD47" s="92">
        <f>IF(Table645[[#This Row],[Column81]]="--",0,Table645[[#This Row],[Column4]]*Table645[[#This Row],[Column81]])</f>
        <v>0</v>
      </c>
      <c r="CE47" s="215"/>
      <c r="CF47" s="91" t="str">
        <f t="shared" si="19"/>
        <v>--</v>
      </c>
      <c r="CG47" s="92">
        <f>IF(Table645[[#This Row],[Column84]]="--",0,Table645[[#This Row],[Column4]]*Table645[[#This Row],[Column84]])</f>
        <v>0</v>
      </c>
      <c r="CH47" s="226"/>
      <c r="CI47" s="216"/>
      <c r="CJ47" s="91" t="str">
        <f>IF(CI47=0,"--",(Table645[[#This Row],[Column86]]*$CI$4*(IF(W47&lt;0.5001,1,IF(W47&lt;2.0001,2,3)))+CI47/$CI$3)/60/24)</f>
        <v>--</v>
      </c>
      <c r="CK47" s="92">
        <f>IF(Table645[[#This Row],[Column88]]="--",0,Table645[[#This Row],[Column4]]*Table645[[#This Row],[Column88]])</f>
        <v>0</v>
      </c>
      <c r="CL47" s="217"/>
      <c r="CM47" s="91" t="str">
        <f>IF(Table645[[#This Row],[Column87]]=0,"--",CJ47*$CL$3)</f>
        <v>--</v>
      </c>
      <c r="CN47" s="92">
        <f>IF(Table645[[#This Row],[Column91]]="--",0,Table645[[#This Row],[Column4]]*Table645[[#This Row],[Column91]])</f>
        <v>0</v>
      </c>
      <c r="CO47" s="217"/>
      <c r="CP47" s="91" t="str">
        <f>IF(Table645[[#This Row],[Column10]]+Table645[[#This Row],[Column87]]=0, "--", IF($D47="", 1, $D47) * IF($J47="", 1, $J47) * $CO$3 * $CO$4 * IF(Table645[[#This Row],[Column95]]="", 1, Table645[[#This Row],[Column95]]) / (24 * 60))</f>
        <v>--</v>
      </c>
      <c r="CQ47" s="164"/>
      <c r="CR47" s="92">
        <f>IF(Table645[[#This Row],[Column94]]="--",0,Table645[[#This Row],[Column4]]*Table645[[#This Row],[Column94]])</f>
        <v>0</v>
      </c>
      <c r="CS47" s="218" t="str">
        <f>IF(Table645[[#This Row],[Column87]]="","",Table645[[#This Row],[Column87]])</f>
        <v/>
      </c>
      <c r="CT47" s="91" t="str">
        <f>IF(Table645[[#This Row],[Column97]]="","--",Table645[[#This Row],[Column97]]/$CS$3/60/24)</f>
        <v>--</v>
      </c>
      <c r="CU47" s="92">
        <f>IF(Table645[[#This Row],[Column98]]="--",0,Table645[[#This Row],[Column4]]*Table645[[#This Row],[Column98]])</f>
        <v>0</v>
      </c>
      <c r="CV47" s="93"/>
      <c r="CW47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47" s="91" t="str">
        <f>IF(OR(Table645[[#This Row],[Column74]]&gt;0,Table645[[#This Row],[Column87]]&gt;0),(Table645[[#This Row],[Column73]]+Table645[[#This Row],[Column86]]+1)*$CW$3/60/24,"--")</f>
        <v>--</v>
      </c>
      <c r="CY47" s="92">
        <f>IF(Table645[[#This Row],[Column102]]="--",0,Table645[[#This Row],[Column4]]*Table645[[#This Row],[Column102]])</f>
        <v>0</v>
      </c>
      <c r="CZ47" s="158" t="str">
        <f t="shared" ref="CZ47:CZ232" si="50">IF(J47=0,"--",J47/$CZ$3/(24)*DA47)</f>
        <v>--</v>
      </c>
      <c r="DA47" s="153"/>
      <c r="DB47" s="160">
        <f>IF(Table645[[#This Row],[Column104]]="--",0,Table645[[#This Row],[Column4]]*Table645[[#This Row],[Column104]])</f>
        <v>0</v>
      </c>
      <c r="DC47" s="219"/>
      <c r="DD47" s="220" t="str">
        <f>IF(DC47=0,"--",1/$DC$3*1000/(60*60*24)*Table645[[#This Row],[Column107]])</f>
        <v>--</v>
      </c>
      <c r="DE47" s="160">
        <f>IF(Table645[[#This Row],[Column108]]="--",0,Table645[[#This Row],[Column4]]*Table645[[#This Row],[Column108]])</f>
        <v>0</v>
      </c>
      <c r="DF47" s="101" t="s">
        <v>70</v>
      </c>
      <c r="DG47" s="91" t="str">
        <f t="shared" ref="DG47:DG232" si="51">IF(DA47=0,"--",(J47*$DF$3)/60/24)</f>
        <v>--</v>
      </c>
      <c r="DH47" s="89">
        <f>IF(Table645[[#This Row],[Column111]]="--",0,Table645[[#This Row],[Column4]]*Table645[[#This Row],[Column111]])</f>
        <v>0</v>
      </c>
      <c r="DI47" s="96"/>
      <c r="DJ47" s="96"/>
      <c r="DK47" s="96"/>
      <c r="DL47" s="96"/>
      <c r="DM47" s="96"/>
      <c r="DN47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47" s="89">
        <f>IF(Table645[[#This Row],[Column118]]="--",0,Table645[[#This Row],[Column4]]*Table645[[#This Row],[Column118]])</f>
        <v>0</v>
      </c>
      <c r="DP47" s="96"/>
      <c r="DQ47" s="96"/>
      <c r="DR47" s="91" t="str">
        <f t="shared" ref="DR47:DR232" si="52">IF(DP47+DQ47&gt;0,(DP47*$DQ$3+DQ47*$DQ$4)/60/24,IF(DN47="--","--",(DP47*$DQ$3+DQ47*$DQ$4)/60/24))</f>
        <v>--</v>
      </c>
      <c r="DS47" s="89">
        <f>IF(Table645[[#This Row],[Column122]]="--",0,Table645[[#This Row],[Column4]]*Table645[[#This Row],[Column122]])</f>
        <v>0</v>
      </c>
      <c r="DT47" t="str">
        <f>IF(Table645[[#This Row],[Column125]]=0,"--",Table645[[#This Row],[Column125]]*Table645[[#This Row],[Column126]]*Table645[[#This Row],[Column127]]/1000000000)</f>
        <v>--</v>
      </c>
      <c r="DU47" s="53"/>
      <c r="DV47" s="53"/>
      <c r="DW47" s="53"/>
      <c r="DX47" s="91" t="str">
        <f t="shared" ref="DX47:DX232" si="53">IF(DT47="--","--",(1+DT47*$DT$3)/60/24)</f>
        <v>--</v>
      </c>
      <c r="DY47" s="89">
        <f>IF(Table645[[#This Row],[Column128]]="--",0,Table645[[#This Row],[Column4]]*Table645[[#This Row],[Column128]])</f>
        <v>0</v>
      </c>
      <c r="EA47" s="89">
        <f>IF(Table645[[#This Row],[Column128]]="--",0,Table645[[#This Row],[Column4]]*Table645[[#This Row],[Column128]])</f>
        <v>0</v>
      </c>
      <c r="EC47" s="89">
        <f>IF(Table645[[#This Row],[Column128]]="--",0,Table645[[#This Row],[Column4]]*Table645[[#This Row],[Column128]])</f>
        <v>0</v>
      </c>
      <c r="EE47" s="89">
        <f>IF(Table645[[#This Row],[Column128]]="--",0,Table645[[#This Row],[Column4]]*Table645[[#This Row],[Column128]])</f>
        <v>0</v>
      </c>
      <c r="EG47" s="89">
        <f>IF(Table645[[#This Row],[Column128]]="--",0,Table645[[#This Row],[Column4]]*Table645[[#This Row],[Column128]])</f>
        <v>0</v>
      </c>
      <c r="EI47" s="89">
        <f>IF(Table645[[#This Row],[Column128]]="--",0,Table645[[#This Row],[Column4]]*Table645[[#This Row],[Column128]])</f>
        <v>0</v>
      </c>
    </row>
    <row r="48" spans="1:139" x14ac:dyDescent="0.25">
      <c r="A48" s="140"/>
      <c r="B48" s="79"/>
      <c r="C48" s="140"/>
      <c r="D48" s="167"/>
      <c r="E48" s="52"/>
      <c r="F48" s="81"/>
      <c r="G48" s="81"/>
      <c r="H48" s="102" t="str">
        <f t="shared" si="44"/>
        <v>--</v>
      </c>
      <c r="I48" s="100">
        <f>IF(Table645[[#This Row],[Column8]]="--",0,Table645[[#This Row],[Column4]]*Table645[[#This Row],[Column8]])</f>
        <v>0</v>
      </c>
      <c r="J48" s="169"/>
      <c r="K48" s="85">
        <f>Table645[[#This Row],[Column4]]*Table645[[#This Row],[Column10]]</f>
        <v>0</v>
      </c>
      <c r="L48" s="170" t="str">
        <f t="shared" si="45"/>
        <v>--</v>
      </c>
      <c r="M48" s="214">
        <f>IF(Table645[[#This Row],[Column10]]=0,0,Table645[[#This Row],[Column4]]*Table645[[#This Row],[Column12]])</f>
        <v>0</v>
      </c>
      <c r="N48" s="87" t="str">
        <f t="shared" si="46"/>
        <v>--</v>
      </c>
      <c r="O48" s="138"/>
      <c r="AZ48" s="89">
        <f>IF(Table645[[#This Row],[Column14]]="--",0,Table645[[#This Row],[Column4]]*Table645[[#This Row],[Column14]])</f>
        <v>0</v>
      </c>
      <c r="BA48" s="90"/>
      <c r="BB48" s="91" t="str">
        <f>IF(BA48=0,"--",BA48*$BA$3*IF(Table645[[#This Row],[Column5]]&lt;4.1,1,2)/60/24)</f>
        <v>--</v>
      </c>
      <c r="BC48" s="92">
        <f>IF(Table645[[#This Row],[Column54]]="--",0,Table645[[#This Row],[Column4]]*Table645[[#This Row],[Column54]])</f>
        <v>0</v>
      </c>
      <c r="BD48" s="119"/>
      <c r="BE48" s="119"/>
      <c r="BF48" s="119"/>
      <c r="BG48" s="91" t="str">
        <f>IF(BD48+Table645[[#This Row],[Column58]]=0,"--",(BD48*$BF$3*Table645[[#This Row],[Column57]]+Table645[[#This Row],[Column58]]*$BF$4)/60/24)</f>
        <v>--</v>
      </c>
      <c r="BH48" s="92">
        <f>IF(Table645[[#This Row],[Column59]]="--",0,Table645[[#This Row],[Column4]]*Table645[[#This Row],[Column59]])</f>
        <v>0</v>
      </c>
      <c r="BI48" s="119"/>
      <c r="BJ48" s="91" t="str">
        <f t="shared" si="15"/>
        <v>--</v>
      </c>
      <c r="BK48" s="92">
        <f>IF(Table645[[#This Row],[Column62]]="--",0,Table645[[#This Row],[Column4]]*Table645[[#This Row],[Column62]])</f>
        <v>0</v>
      </c>
      <c r="BL48" s="93"/>
      <c r="BM48" s="91" t="str">
        <f t="shared" si="47"/>
        <v>--</v>
      </c>
      <c r="BN48" s="89">
        <f>IF(Table645[[#This Row],[Column65]]="--",0,Table645[[#This Row],[Column4]]*Table645[[#This Row],[Column65]])</f>
        <v>0</v>
      </c>
      <c r="BO48" s="163"/>
      <c r="BP48" s="164" t="str">
        <f t="shared" si="48"/>
        <v>--</v>
      </c>
      <c r="BQ48" s="160">
        <f>IF(Table645[[#This Row],[Column68]]="--",0,Table645[[#This Row],[Column4]]*Table645[[#This Row],[Column68]])</f>
        <v>0</v>
      </c>
      <c r="BR48" s="94"/>
      <c r="BS48" s="91" t="str">
        <f t="shared" si="49"/>
        <v>--</v>
      </c>
      <c r="BT48" s="92">
        <f>IF(Table645[[#This Row],[Column71]]="--",0,Table645[[#This Row],[Column4]]*Table645[[#This Row],[Column71]])</f>
        <v>0</v>
      </c>
      <c r="BU48" s="44"/>
      <c r="BV48" s="90"/>
      <c r="BW48" s="91" t="str">
        <f>IF(BV48=0,"--",(Table645[[#This Row],[Column73]]*$BV$4*(IF(J48&lt;0.5001,1,IF(J48&lt;2.0001,2,3)))+BV48/$BV$3)/60/24)</f>
        <v>--</v>
      </c>
      <c r="BX48" s="92">
        <f>IF(Table645[[#This Row],[Column75]]="--",0,Table645[[#This Row],[Column4]]*Table645[[#This Row],[Column75]])</f>
        <v>0</v>
      </c>
      <c r="BY48" s="95" t="s">
        <v>70</v>
      </c>
      <c r="BZ48" s="91" t="str">
        <f>IF(Table645[[#This Row],[Column74]]=0,"--",BW48*$BY$3)</f>
        <v>--</v>
      </c>
      <c r="CA48" s="89">
        <f>IF(Table645[[#This Row],[Column78]]="--",0,Table645[[#This Row],[Column4]]*Table645[[#This Row],[Column78]])</f>
        <v>0</v>
      </c>
      <c r="CB48" s="95" t="s">
        <v>70</v>
      </c>
      <c r="CC48" s="91" t="str">
        <f>IF(Table645[[#This Row],[Column10]]+Table645[[#This Row],[Column74]]=0,"--",J48*$CB$4*$CB$5/(24*60)+IF(Table645[[#This Row],[Column74]]=0,0,$CB$3*Table645[[#This Row],[Column75]]))</f>
        <v>--</v>
      </c>
      <c r="CD48" s="92">
        <f>IF(Table645[[#This Row],[Column81]]="--",0,Table645[[#This Row],[Column4]]*Table645[[#This Row],[Column81]])</f>
        <v>0</v>
      </c>
      <c r="CE48" s="215"/>
      <c r="CF48" s="91" t="str">
        <f t="shared" si="19"/>
        <v>--</v>
      </c>
      <c r="CG48" s="92">
        <f>IF(Table645[[#This Row],[Column84]]="--",0,Table645[[#This Row],[Column4]]*Table645[[#This Row],[Column84]])</f>
        <v>0</v>
      </c>
      <c r="CH48" s="226"/>
      <c r="CI48" s="216"/>
      <c r="CJ48" s="91" t="str">
        <f>IF(CI48=0,"--",(Table645[[#This Row],[Column86]]*$CI$4*(IF(W48&lt;0.5001,1,IF(W48&lt;2.0001,2,3)))+CI48/$CI$3)/60/24)</f>
        <v>--</v>
      </c>
      <c r="CK48" s="92">
        <f>IF(Table645[[#This Row],[Column88]]="--",0,Table645[[#This Row],[Column4]]*Table645[[#This Row],[Column88]])</f>
        <v>0</v>
      </c>
      <c r="CL48" s="217"/>
      <c r="CM48" s="91" t="str">
        <f>IF(Table645[[#This Row],[Column87]]=0,"--",CJ48*$CL$3)</f>
        <v>--</v>
      </c>
      <c r="CN48" s="92">
        <f>IF(Table645[[#This Row],[Column91]]="--",0,Table645[[#This Row],[Column4]]*Table645[[#This Row],[Column91]])</f>
        <v>0</v>
      </c>
      <c r="CO48" s="217"/>
      <c r="CP48" s="91" t="str">
        <f>IF(Table645[[#This Row],[Column10]]+Table645[[#This Row],[Column87]]=0, "--", IF($D48="", 1, $D48) * IF($J48="", 1, $J48) * $CO$3 * $CO$4 * IF(Table645[[#This Row],[Column95]]="", 1, Table645[[#This Row],[Column95]]) / (24 * 60))</f>
        <v>--</v>
      </c>
      <c r="CQ48" s="164"/>
      <c r="CR48" s="92">
        <f>IF(Table645[[#This Row],[Column94]]="--",0,Table645[[#This Row],[Column4]]*Table645[[#This Row],[Column94]])</f>
        <v>0</v>
      </c>
      <c r="CS48" s="218" t="str">
        <f>IF(Table645[[#This Row],[Column87]]="","",Table645[[#This Row],[Column87]])</f>
        <v/>
      </c>
      <c r="CT48" s="91" t="str">
        <f>IF(Table645[[#This Row],[Column97]]="","--",Table645[[#This Row],[Column97]]/$CS$3/60/24)</f>
        <v>--</v>
      </c>
      <c r="CU48" s="92">
        <f>IF(Table645[[#This Row],[Column98]]="--",0,Table645[[#This Row],[Column4]]*Table645[[#This Row],[Column98]])</f>
        <v>0</v>
      </c>
      <c r="CV48" s="93"/>
      <c r="CW48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48" s="91" t="str">
        <f>IF(OR(Table645[[#This Row],[Column74]]&gt;0,Table645[[#This Row],[Column87]]&gt;0),(Table645[[#This Row],[Column73]]+Table645[[#This Row],[Column86]]+1)*$CW$3/60/24,"--")</f>
        <v>--</v>
      </c>
      <c r="CY48" s="92">
        <f>IF(Table645[[#This Row],[Column102]]="--",0,Table645[[#This Row],[Column4]]*Table645[[#This Row],[Column102]])</f>
        <v>0</v>
      </c>
      <c r="CZ48" s="158" t="str">
        <f t="shared" si="50"/>
        <v>--</v>
      </c>
      <c r="DA48" s="153"/>
      <c r="DB48" s="160">
        <f>IF(Table645[[#This Row],[Column104]]="--",0,Table645[[#This Row],[Column4]]*Table645[[#This Row],[Column104]])</f>
        <v>0</v>
      </c>
      <c r="DC48" s="219"/>
      <c r="DD48" s="220" t="str">
        <f>IF(DC48=0,"--",1/$DC$3*1000/(60*60*24)*Table645[[#This Row],[Column107]])</f>
        <v>--</v>
      </c>
      <c r="DE48" s="160">
        <f>IF(Table645[[#This Row],[Column108]]="--",0,Table645[[#This Row],[Column4]]*Table645[[#This Row],[Column108]])</f>
        <v>0</v>
      </c>
      <c r="DF48" s="101" t="s">
        <v>70</v>
      </c>
      <c r="DG48" s="91" t="str">
        <f t="shared" si="51"/>
        <v>--</v>
      </c>
      <c r="DH48" s="89">
        <f>IF(Table645[[#This Row],[Column111]]="--",0,Table645[[#This Row],[Column4]]*Table645[[#This Row],[Column111]])</f>
        <v>0</v>
      </c>
      <c r="DI48" s="96"/>
      <c r="DJ48" s="96"/>
      <c r="DK48" s="96"/>
      <c r="DL48" s="96"/>
      <c r="DM48" s="96"/>
      <c r="DN48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48" s="89">
        <f>IF(Table645[[#This Row],[Column118]]="--",0,Table645[[#This Row],[Column4]]*Table645[[#This Row],[Column118]])</f>
        <v>0</v>
      </c>
      <c r="DP48" s="96"/>
      <c r="DQ48" s="96"/>
      <c r="DR48" s="91" t="str">
        <f t="shared" si="52"/>
        <v>--</v>
      </c>
      <c r="DS48" s="89">
        <f>IF(Table645[[#This Row],[Column122]]="--",0,Table645[[#This Row],[Column4]]*Table645[[#This Row],[Column122]])</f>
        <v>0</v>
      </c>
      <c r="DT48" t="str">
        <f>IF(Table645[[#This Row],[Column125]]=0,"--",Table645[[#This Row],[Column125]]*Table645[[#This Row],[Column126]]*Table645[[#This Row],[Column127]]/1000000000)</f>
        <v>--</v>
      </c>
      <c r="DU48" s="53"/>
      <c r="DV48" s="53"/>
      <c r="DW48" s="53"/>
      <c r="DX48" s="91" t="str">
        <f t="shared" si="53"/>
        <v>--</v>
      </c>
      <c r="DY48" s="89">
        <f>IF(Table645[[#This Row],[Column128]]="--",0,Table645[[#This Row],[Column4]]*Table645[[#This Row],[Column128]])</f>
        <v>0</v>
      </c>
      <c r="EA48" s="89">
        <f>IF(Table645[[#This Row],[Column128]]="--",0,Table645[[#This Row],[Column4]]*Table645[[#This Row],[Column128]])</f>
        <v>0</v>
      </c>
      <c r="EC48" s="89">
        <f>IF(Table645[[#This Row],[Column128]]="--",0,Table645[[#This Row],[Column4]]*Table645[[#This Row],[Column128]])</f>
        <v>0</v>
      </c>
      <c r="EE48" s="89">
        <f>IF(Table645[[#This Row],[Column128]]="--",0,Table645[[#This Row],[Column4]]*Table645[[#This Row],[Column128]])</f>
        <v>0</v>
      </c>
      <c r="EG48" s="89">
        <f>IF(Table645[[#This Row],[Column128]]="--",0,Table645[[#This Row],[Column4]]*Table645[[#This Row],[Column128]])</f>
        <v>0</v>
      </c>
      <c r="EI48" s="89">
        <f>IF(Table645[[#This Row],[Column128]]="--",0,Table645[[#This Row],[Column4]]*Table645[[#This Row],[Column128]])</f>
        <v>0</v>
      </c>
    </row>
    <row r="49" spans="1:139" x14ac:dyDescent="0.25">
      <c r="A49" s="140"/>
      <c r="B49" s="79"/>
      <c r="C49" s="140"/>
      <c r="D49" s="167"/>
      <c r="E49" s="52"/>
      <c r="F49" s="81"/>
      <c r="G49" s="81"/>
      <c r="H49" s="102" t="str">
        <f t="shared" si="44"/>
        <v>--</v>
      </c>
      <c r="I49" s="100">
        <f>IF(Table645[[#This Row],[Column8]]="--",0,Table645[[#This Row],[Column4]]*Table645[[#This Row],[Column8]])</f>
        <v>0</v>
      </c>
      <c r="J49" s="169"/>
      <c r="K49" s="85">
        <f>Table645[[#This Row],[Column4]]*Table645[[#This Row],[Column10]]</f>
        <v>0</v>
      </c>
      <c r="L49" s="170" t="str">
        <f t="shared" si="45"/>
        <v>--</v>
      </c>
      <c r="M49" s="214">
        <f>IF(Table645[[#This Row],[Column10]]=0,0,Table645[[#This Row],[Column4]]*Table645[[#This Row],[Column12]])</f>
        <v>0</v>
      </c>
      <c r="N49" s="87" t="str">
        <f t="shared" si="46"/>
        <v>--</v>
      </c>
      <c r="O49" s="138"/>
      <c r="AZ49" s="89">
        <f>IF(Table645[[#This Row],[Column14]]="--",0,Table645[[#This Row],[Column4]]*Table645[[#This Row],[Column14]])</f>
        <v>0</v>
      </c>
      <c r="BA49" s="90"/>
      <c r="BB49" s="91" t="str">
        <f>IF(BA49=0,"--",BA49*$BA$3*IF(Table645[[#This Row],[Column5]]&lt;4.1,1,2)/60/24)</f>
        <v>--</v>
      </c>
      <c r="BC49" s="92">
        <f>IF(Table645[[#This Row],[Column54]]="--",0,Table645[[#This Row],[Column4]]*Table645[[#This Row],[Column54]])</f>
        <v>0</v>
      </c>
      <c r="BD49" s="119"/>
      <c r="BE49" s="119"/>
      <c r="BF49" s="119"/>
      <c r="BG49" s="91" t="str">
        <f>IF(BD49+Table645[[#This Row],[Column58]]=0,"--",(BD49*$BF$3*Table645[[#This Row],[Column57]]+Table645[[#This Row],[Column58]]*$BF$4)/60/24)</f>
        <v>--</v>
      </c>
      <c r="BH49" s="92">
        <f>IF(Table645[[#This Row],[Column59]]="--",0,Table645[[#This Row],[Column4]]*Table645[[#This Row],[Column59]])</f>
        <v>0</v>
      </c>
      <c r="BI49" s="119"/>
      <c r="BJ49" s="91" t="str">
        <f t="shared" si="15"/>
        <v>--</v>
      </c>
      <c r="BK49" s="92">
        <f>IF(Table645[[#This Row],[Column62]]="--",0,Table645[[#This Row],[Column4]]*Table645[[#This Row],[Column62]])</f>
        <v>0</v>
      </c>
      <c r="BL49" s="93"/>
      <c r="BM49" s="91" t="str">
        <f t="shared" si="47"/>
        <v>--</v>
      </c>
      <c r="BN49" s="89">
        <f>IF(Table645[[#This Row],[Column65]]="--",0,Table645[[#This Row],[Column4]]*Table645[[#This Row],[Column65]])</f>
        <v>0</v>
      </c>
      <c r="BO49" s="163"/>
      <c r="BP49" s="164" t="str">
        <f t="shared" si="48"/>
        <v>--</v>
      </c>
      <c r="BQ49" s="160">
        <f>IF(Table645[[#This Row],[Column68]]="--",0,Table645[[#This Row],[Column4]]*Table645[[#This Row],[Column68]])</f>
        <v>0</v>
      </c>
      <c r="BR49" s="94"/>
      <c r="BS49" s="91" t="str">
        <f t="shared" si="49"/>
        <v>--</v>
      </c>
      <c r="BT49" s="92">
        <f>IF(Table645[[#This Row],[Column71]]="--",0,Table645[[#This Row],[Column4]]*Table645[[#This Row],[Column71]])</f>
        <v>0</v>
      </c>
      <c r="BU49" s="44"/>
      <c r="BV49" s="90"/>
      <c r="BW49" s="91" t="str">
        <f>IF(BV49=0,"--",(Table645[[#This Row],[Column73]]*$BV$4*(IF(J49&lt;0.5001,1,IF(J49&lt;2.0001,2,3)))+BV49/$BV$3)/60/24)</f>
        <v>--</v>
      </c>
      <c r="BX49" s="92">
        <f>IF(Table645[[#This Row],[Column75]]="--",0,Table645[[#This Row],[Column4]]*Table645[[#This Row],[Column75]])</f>
        <v>0</v>
      </c>
      <c r="BY49" s="95" t="s">
        <v>70</v>
      </c>
      <c r="BZ49" s="91" t="str">
        <f>IF(Table645[[#This Row],[Column74]]=0,"--",BW49*$BY$3)</f>
        <v>--</v>
      </c>
      <c r="CA49" s="89">
        <f>IF(Table645[[#This Row],[Column78]]="--",0,Table645[[#This Row],[Column4]]*Table645[[#This Row],[Column78]])</f>
        <v>0</v>
      </c>
      <c r="CB49" s="95" t="s">
        <v>70</v>
      </c>
      <c r="CC49" s="91" t="str">
        <f>IF(Table645[[#This Row],[Column10]]+Table645[[#This Row],[Column74]]=0,"--",J49*$CB$4*$CB$5/(24*60)+IF(Table645[[#This Row],[Column74]]=0,0,$CB$3*Table645[[#This Row],[Column75]]))</f>
        <v>--</v>
      </c>
      <c r="CD49" s="92">
        <f>IF(Table645[[#This Row],[Column81]]="--",0,Table645[[#This Row],[Column4]]*Table645[[#This Row],[Column81]])</f>
        <v>0</v>
      </c>
      <c r="CE49" s="215"/>
      <c r="CF49" s="91" t="str">
        <f t="shared" si="19"/>
        <v>--</v>
      </c>
      <c r="CG49" s="92">
        <f>IF(Table645[[#This Row],[Column84]]="--",0,Table645[[#This Row],[Column4]]*Table645[[#This Row],[Column84]])</f>
        <v>0</v>
      </c>
      <c r="CH49" s="226"/>
      <c r="CI49" s="216"/>
      <c r="CJ49" s="91" t="str">
        <f>IF(CI49=0,"--",(Table645[[#This Row],[Column86]]*$CI$4*(IF(W49&lt;0.5001,1,IF(W49&lt;2.0001,2,3)))+CI49/$CI$3)/60/24)</f>
        <v>--</v>
      </c>
      <c r="CK49" s="92">
        <f>IF(Table645[[#This Row],[Column88]]="--",0,Table645[[#This Row],[Column4]]*Table645[[#This Row],[Column88]])</f>
        <v>0</v>
      </c>
      <c r="CL49" s="217"/>
      <c r="CM49" s="91" t="str">
        <f>IF(Table645[[#This Row],[Column87]]=0,"--",CJ49*$CL$3)</f>
        <v>--</v>
      </c>
      <c r="CN49" s="92">
        <f>IF(Table645[[#This Row],[Column91]]="--",0,Table645[[#This Row],[Column4]]*Table645[[#This Row],[Column91]])</f>
        <v>0</v>
      </c>
      <c r="CO49" s="217"/>
      <c r="CP49" s="91" t="str">
        <f>IF(Table645[[#This Row],[Column10]]+Table645[[#This Row],[Column87]]=0, "--", IF($D49="", 1, $D49) * IF($J49="", 1, $J49) * $CO$3 * $CO$4 * IF(Table645[[#This Row],[Column95]]="", 1, Table645[[#This Row],[Column95]]) / (24 * 60))</f>
        <v>--</v>
      </c>
      <c r="CQ49" s="164"/>
      <c r="CR49" s="92">
        <f>IF(Table645[[#This Row],[Column94]]="--",0,Table645[[#This Row],[Column4]]*Table645[[#This Row],[Column94]])</f>
        <v>0</v>
      </c>
      <c r="CS49" s="218" t="str">
        <f>IF(Table645[[#This Row],[Column87]]="","",Table645[[#This Row],[Column87]])</f>
        <v/>
      </c>
      <c r="CT49" s="91" t="str">
        <f>IF(Table645[[#This Row],[Column97]]="","--",Table645[[#This Row],[Column97]]/$CS$3/60/24)</f>
        <v>--</v>
      </c>
      <c r="CU49" s="92">
        <f>IF(Table645[[#This Row],[Column98]]="--",0,Table645[[#This Row],[Column4]]*Table645[[#This Row],[Column98]])</f>
        <v>0</v>
      </c>
      <c r="CV49" s="93"/>
      <c r="CW49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49" s="91" t="str">
        <f>IF(OR(Table645[[#This Row],[Column74]]&gt;0,Table645[[#This Row],[Column87]]&gt;0),(Table645[[#This Row],[Column73]]+Table645[[#This Row],[Column86]]+1)*$CW$3/60/24,"--")</f>
        <v>--</v>
      </c>
      <c r="CY49" s="92">
        <f>IF(Table645[[#This Row],[Column102]]="--",0,Table645[[#This Row],[Column4]]*Table645[[#This Row],[Column102]])</f>
        <v>0</v>
      </c>
      <c r="CZ49" s="158" t="str">
        <f t="shared" si="50"/>
        <v>--</v>
      </c>
      <c r="DA49" s="153"/>
      <c r="DB49" s="160">
        <f>IF(Table645[[#This Row],[Column104]]="--",0,Table645[[#This Row],[Column4]]*Table645[[#This Row],[Column104]])</f>
        <v>0</v>
      </c>
      <c r="DC49" s="219"/>
      <c r="DD49" s="220" t="str">
        <f>IF(DC49=0,"--",1/$DC$3*1000/(60*60*24)*Table645[[#This Row],[Column107]])</f>
        <v>--</v>
      </c>
      <c r="DE49" s="160">
        <f>IF(Table645[[#This Row],[Column108]]="--",0,Table645[[#This Row],[Column4]]*Table645[[#This Row],[Column108]])</f>
        <v>0</v>
      </c>
      <c r="DF49" s="101" t="s">
        <v>70</v>
      </c>
      <c r="DG49" s="91" t="str">
        <f t="shared" si="51"/>
        <v>--</v>
      </c>
      <c r="DH49" s="89">
        <f>IF(Table645[[#This Row],[Column111]]="--",0,Table645[[#This Row],[Column4]]*Table645[[#This Row],[Column111]])</f>
        <v>0</v>
      </c>
      <c r="DI49" s="96"/>
      <c r="DJ49" s="96"/>
      <c r="DK49" s="96"/>
      <c r="DL49" s="96"/>
      <c r="DM49" s="96"/>
      <c r="DN49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49" s="89">
        <f>IF(Table645[[#This Row],[Column118]]="--",0,Table645[[#This Row],[Column4]]*Table645[[#This Row],[Column118]])</f>
        <v>0</v>
      </c>
      <c r="DP49" s="96"/>
      <c r="DQ49" s="96"/>
      <c r="DR49" s="91" t="str">
        <f t="shared" si="52"/>
        <v>--</v>
      </c>
      <c r="DS49" s="89">
        <f>IF(Table645[[#This Row],[Column122]]="--",0,Table645[[#This Row],[Column4]]*Table645[[#This Row],[Column122]])</f>
        <v>0</v>
      </c>
      <c r="DT49" t="str">
        <f>IF(Table645[[#This Row],[Column125]]=0,"--",Table645[[#This Row],[Column125]]*Table645[[#This Row],[Column126]]*Table645[[#This Row],[Column127]]/1000000000)</f>
        <v>--</v>
      </c>
      <c r="DU49" s="53"/>
      <c r="DV49" s="53"/>
      <c r="DW49" s="53"/>
      <c r="DX49" s="91" t="str">
        <f t="shared" si="53"/>
        <v>--</v>
      </c>
      <c r="DY49" s="89">
        <f>IF(Table645[[#This Row],[Column128]]="--",0,Table645[[#This Row],[Column4]]*Table645[[#This Row],[Column128]])</f>
        <v>0</v>
      </c>
      <c r="EA49" s="89">
        <f>IF(Table645[[#This Row],[Column128]]="--",0,Table645[[#This Row],[Column4]]*Table645[[#This Row],[Column128]])</f>
        <v>0</v>
      </c>
      <c r="EC49" s="89">
        <f>IF(Table645[[#This Row],[Column128]]="--",0,Table645[[#This Row],[Column4]]*Table645[[#This Row],[Column128]])</f>
        <v>0</v>
      </c>
      <c r="EE49" s="89">
        <f>IF(Table645[[#This Row],[Column128]]="--",0,Table645[[#This Row],[Column4]]*Table645[[#This Row],[Column128]])</f>
        <v>0</v>
      </c>
      <c r="EG49" s="89">
        <f>IF(Table645[[#This Row],[Column128]]="--",0,Table645[[#This Row],[Column4]]*Table645[[#This Row],[Column128]])</f>
        <v>0</v>
      </c>
      <c r="EI49" s="89">
        <f>IF(Table645[[#This Row],[Column128]]="--",0,Table645[[#This Row],[Column4]]*Table645[[#This Row],[Column128]])</f>
        <v>0</v>
      </c>
    </row>
    <row r="50" spans="1:139" x14ac:dyDescent="0.25">
      <c r="A50" s="140"/>
      <c r="B50" s="79"/>
      <c r="C50" s="140"/>
      <c r="D50" s="167"/>
      <c r="E50" s="52"/>
      <c r="F50" s="81"/>
      <c r="G50" s="81"/>
      <c r="H50" s="102" t="str">
        <f t="shared" si="44"/>
        <v>--</v>
      </c>
      <c r="I50" s="100">
        <f>IF(Table645[[#This Row],[Column8]]="--",0,Table645[[#This Row],[Column4]]*Table645[[#This Row],[Column8]])</f>
        <v>0</v>
      </c>
      <c r="J50" s="169"/>
      <c r="K50" s="85">
        <f>Table645[[#This Row],[Column4]]*Table645[[#This Row],[Column10]]</f>
        <v>0</v>
      </c>
      <c r="L50" s="170" t="str">
        <f t="shared" si="45"/>
        <v>--</v>
      </c>
      <c r="M50" s="214">
        <f>IF(Table645[[#This Row],[Column10]]=0,0,Table645[[#This Row],[Column4]]*Table645[[#This Row],[Column12]])</f>
        <v>0</v>
      </c>
      <c r="N50" s="87" t="str">
        <f t="shared" si="46"/>
        <v>--</v>
      </c>
      <c r="O50" s="138"/>
      <c r="AZ50" s="89">
        <f>IF(Table645[[#This Row],[Column14]]="--",0,Table645[[#This Row],[Column4]]*Table645[[#This Row],[Column14]])</f>
        <v>0</v>
      </c>
      <c r="BA50" s="90"/>
      <c r="BB50" s="91" t="str">
        <f>IF(BA50=0,"--",BA50*$BA$3*IF(Table645[[#This Row],[Column5]]&lt;4.1,1,2)/60/24)</f>
        <v>--</v>
      </c>
      <c r="BC50" s="92">
        <f>IF(Table645[[#This Row],[Column54]]="--",0,Table645[[#This Row],[Column4]]*Table645[[#This Row],[Column54]])</f>
        <v>0</v>
      </c>
      <c r="BD50" s="119"/>
      <c r="BE50" s="119"/>
      <c r="BF50" s="119"/>
      <c r="BG50" s="91" t="str">
        <f>IF(BD50+Table645[[#This Row],[Column58]]=0,"--",(BD50*$BF$3*Table645[[#This Row],[Column57]]+Table645[[#This Row],[Column58]]*$BF$4)/60/24)</f>
        <v>--</v>
      </c>
      <c r="BH50" s="92">
        <f>IF(Table645[[#This Row],[Column59]]="--",0,Table645[[#This Row],[Column4]]*Table645[[#This Row],[Column59]])</f>
        <v>0</v>
      </c>
      <c r="BI50" s="119"/>
      <c r="BJ50" s="91" t="str">
        <f t="shared" si="15"/>
        <v>--</v>
      </c>
      <c r="BK50" s="92">
        <f>IF(Table645[[#This Row],[Column62]]="--",0,Table645[[#This Row],[Column4]]*Table645[[#This Row],[Column62]])</f>
        <v>0</v>
      </c>
      <c r="BL50" s="93"/>
      <c r="BM50" s="91" t="str">
        <f t="shared" si="47"/>
        <v>--</v>
      </c>
      <c r="BN50" s="89">
        <f>IF(Table645[[#This Row],[Column65]]="--",0,Table645[[#This Row],[Column4]]*Table645[[#This Row],[Column65]])</f>
        <v>0</v>
      </c>
      <c r="BO50" s="163"/>
      <c r="BP50" s="164" t="str">
        <f t="shared" si="48"/>
        <v>--</v>
      </c>
      <c r="BQ50" s="160">
        <f>IF(Table645[[#This Row],[Column68]]="--",0,Table645[[#This Row],[Column4]]*Table645[[#This Row],[Column68]])</f>
        <v>0</v>
      </c>
      <c r="BR50" s="94"/>
      <c r="BS50" s="91" t="str">
        <f t="shared" si="49"/>
        <v>--</v>
      </c>
      <c r="BT50" s="92">
        <f>IF(Table645[[#This Row],[Column71]]="--",0,Table645[[#This Row],[Column4]]*Table645[[#This Row],[Column71]])</f>
        <v>0</v>
      </c>
      <c r="BU50" s="44"/>
      <c r="BV50" s="90"/>
      <c r="BW50" s="91" t="str">
        <f>IF(BV50=0,"--",(Table645[[#This Row],[Column73]]*$BV$4*(IF(J50&lt;0.5001,1,IF(J50&lt;2.0001,2,3)))+BV50/$BV$3)/60/24)</f>
        <v>--</v>
      </c>
      <c r="BX50" s="92">
        <f>IF(Table645[[#This Row],[Column75]]="--",0,Table645[[#This Row],[Column4]]*Table645[[#This Row],[Column75]])</f>
        <v>0</v>
      </c>
      <c r="BY50" s="95" t="s">
        <v>70</v>
      </c>
      <c r="BZ50" s="91" t="str">
        <f>IF(Table645[[#This Row],[Column74]]=0,"--",BW50*$BY$3)</f>
        <v>--</v>
      </c>
      <c r="CA50" s="89">
        <f>IF(Table645[[#This Row],[Column78]]="--",0,Table645[[#This Row],[Column4]]*Table645[[#This Row],[Column78]])</f>
        <v>0</v>
      </c>
      <c r="CB50" s="95" t="s">
        <v>70</v>
      </c>
      <c r="CC50" s="91" t="str">
        <f>IF(Table645[[#This Row],[Column10]]+Table645[[#This Row],[Column74]]=0,"--",J50*$CB$4*$CB$5/(24*60)+IF(Table645[[#This Row],[Column74]]=0,0,$CB$3*Table645[[#This Row],[Column75]]))</f>
        <v>--</v>
      </c>
      <c r="CD50" s="92">
        <f>IF(Table645[[#This Row],[Column81]]="--",0,Table645[[#This Row],[Column4]]*Table645[[#This Row],[Column81]])</f>
        <v>0</v>
      </c>
      <c r="CE50" s="215"/>
      <c r="CF50" s="91" t="str">
        <f t="shared" si="19"/>
        <v>--</v>
      </c>
      <c r="CG50" s="92">
        <f>IF(Table645[[#This Row],[Column84]]="--",0,Table645[[#This Row],[Column4]]*Table645[[#This Row],[Column84]])</f>
        <v>0</v>
      </c>
      <c r="CH50" s="226"/>
      <c r="CI50" s="216"/>
      <c r="CJ50" s="91" t="str">
        <f>IF(CI50=0,"--",(Table645[[#This Row],[Column86]]*$CI$4*(IF(W50&lt;0.5001,1,IF(W50&lt;2.0001,2,3)))+CI50/$CI$3)/60/24)</f>
        <v>--</v>
      </c>
      <c r="CK50" s="92">
        <f>IF(Table645[[#This Row],[Column88]]="--",0,Table645[[#This Row],[Column4]]*Table645[[#This Row],[Column88]])</f>
        <v>0</v>
      </c>
      <c r="CL50" s="217"/>
      <c r="CM50" s="91" t="str">
        <f>IF(Table645[[#This Row],[Column87]]=0,"--",CJ50*$CL$3)</f>
        <v>--</v>
      </c>
      <c r="CN50" s="92">
        <f>IF(Table645[[#This Row],[Column91]]="--",0,Table645[[#This Row],[Column4]]*Table645[[#This Row],[Column91]])</f>
        <v>0</v>
      </c>
      <c r="CO50" s="217"/>
      <c r="CP50" s="91" t="str">
        <f>IF(Table645[[#This Row],[Column10]]+Table645[[#This Row],[Column87]]=0, "--", IF($D50="", 1, $D50) * IF($J50="", 1, $J50) * $CO$3 * $CO$4 * IF(Table645[[#This Row],[Column95]]="", 1, Table645[[#This Row],[Column95]]) / (24 * 60))</f>
        <v>--</v>
      </c>
      <c r="CQ50" s="164"/>
      <c r="CR50" s="92">
        <f>IF(Table645[[#This Row],[Column94]]="--",0,Table645[[#This Row],[Column4]]*Table645[[#This Row],[Column94]])</f>
        <v>0</v>
      </c>
      <c r="CS50" s="218" t="str">
        <f>IF(Table645[[#This Row],[Column87]]="","",Table645[[#This Row],[Column87]])</f>
        <v/>
      </c>
      <c r="CT50" s="91" t="str">
        <f>IF(Table645[[#This Row],[Column97]]="","--",Table645[[#This Row],[Column97]]/$CS$3/60/24)</f>
        <v>--</v>
      </c>
      <c r="CU50" s="92">
        <f>IF(Table645[[#This Row],[Column98]]="--",0,Table645[[#This Row],[Column4]]*Table645[[#This Row],[Column98]])</f>
        <v>0</v>
      </c>
      <c r="CV50" s="93"/>
      <c r="CW50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50" s="91" t="str">
        <f>IF(OR(Table645[[#This Row],[Column74]]&gt;0,Table645[[#This Row],[Column87]]&gt;0),(Table645[[#This Row],[Column73]]+Table645[[#This Row],[Column86]]+1)*$CW$3/60/24,"--")</f>
        <v>--</v>
      </c>
      <c r="CY50" s="92">
        <f>IF(Table645[[#This Row],[Column102]]="--",0,Table645[[#This Row],[Column4]]*Table645[[#This Row],[Column102]])</f>
        <v>0</v>
      </c>
      <c r="CZ50" s="158" t="str">
        <f t="shared" si="50"/>
        <v>--</v>
      </c>
      <c r="DA50" s="153"/>
      <c r="DB50" s="160">
        <f>IF(Table645[[#This Row],[Column104]]="--",0,Table645[[#This Row],[Column4]]*Table645[[#This Row],[Column104]])</f>
        <v>0</v>
      </c>
      <c r="DC50" s="219"/>
      <c r="DD50" s="220" t="str">
        <f>IF(DC50=0,"--",1/$DC$3*1000/(60*60*24)*Table645[[#This Row],[Column107]])</f>
        <v>--</v>
      </c>
      <c r="DE50" s="160">
        <f>IF(Table645[[#This Row],[Column108]]="--",0,Table645[[#This Row],[Column4]]*Table645[[#This Row],[Column108]])</f>
        <v>0</v>
      </c>
      <c r="DF50" s="101" t="s">
        <v>70</v>
      </c>
      <c r="DG50" s="91" t="str">
        <f t="shared" si="51"/>
        <v>--</v>
      </c>
      <c r="DH50" s="89">
        <f>IF(Table645[[#This Row],[Column111]]="--",0,Table645[[#This Row],[Column4]]*Table645[[#This Row],[Column111]])</f>
        <v>0</v>
      </c>
      <c r="DI50" s="96"/>
      <c r="DJ50" s="96"/>
      <c r="DK50" s="96"/>
      <c r="DL50" s="96"/>
      <c r="DM50" s="96"/>
      <c r="DN50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50" s="89">
        <f>IF(Table645[[#This Row],[Column118]]="--",0,Table645[[#This Row],[Column4]]*Table645[[#This Row],[Column118]])</f>
        <v>0</v>
      </c>
      <c r="DP50" s="96"/>
      <c r="DQ50" s="96"/>
      <c r="DR50" s="91" t="str">
        <f t="shared" si="52"/>
        <v>--</v>
      </c>
      <c r="DS50" s="89">
        <f>IF(Table645[[#This Row],[Column122]]="--",0,Table645[[#This Row],[Column4]]*Table645[[#This Row],[Column122]])</f>
        <v>0</v>
      </c>
      <c r="DT50" t="str">
        <f>IF(Table645[[#This Row],[Column125]]=0,"--",Table645[[#This Row],[Column125]]*Table645[[#This Row],[Column126]]*Table645[[#This Row],[Column127]]/1000000000)</f>
        <v>--</v>
      </c>
      <c r="DU50" s="53"/>
      <c r="DV50" s="53"/>
      <c r="DW50" s="53"/>
      <c r="DX50" s="91" t="str">
        <f t="shared" si="53"/>
        <v>--</v>
      </c>
      <c r="DY50" s="89">
        <f>IF(Table645[[#This Row],[Column128]]="--",0,Table645[[#This Row],[Column4]]*Table645[[#This Row],[Column128]])</f>
        <v>0</v>
      </c>
      <c r="EA50" s="89">
        <f>IF(Table645[[#This Row],[Column128]]="--",0,Table645[[#This Row],[Column4]]*Table645[[#This Row],[Column128]])</f>
        <v>0</v>
      </c>
      <c r="EC50" s="89">
        <f>IF(Table645[[#This Row],[Column128]]="--",0,Table645[[#This Row],[Column4]]*Table645[[#This Row],[Column128]])</f>
        <v>0</v>
      </c>
      <c r="EE50" s="89">
        <f>IF(Table645[[#This Row],[Column128]]="--",0,Table645[[#This Row],[Column4]]*Table645[[#This Row],[Column128]])</f>
        <v>0</v>
      </c>
      <c r="EG50" s="89">
        <f>IF(Table645[[#This Row],[Column128]]="--",0,Table645[[#This Row],[Column4]]*Table645[[#This Row],[Column128]])</f>
        <v>0</v>
      </c>
      <c r="EI50" s="89">
        <f>IF(Table645[[#This Row],[Column128]]="--",0,Table645[[#This Row],[Column4]]*Table645[[#This Row],[Column128]])</f>
        <v>0</v>
      </c>
    </row>
    <row r="51" spans="1:139" x14ac:dyDescent="0.25">
      <c r="A51" s="140"/>
      <c r="B51" s="79"/>
      <c r="C51" s="140"/>
      <c r="D51" s="167"/>
      <c r="E51" s="52"/>
      <c r="F51" s="81"/>
      <c r="G51" s="81"/>
      <c r="H51" s="102" t="str">
        <f t="shared" si="44"/>
        <v>--</v>
      </c>
      <c r="I51" s="100">
        <f>IF(Table645[[#This Row],[Column8]]="--",0,Table645[[#This Row],[Column4]]*Table645[[#This Row],[Column8]])</f>
        <v>0</v>
      </c>
      <c r="J51" s="169"/>
      <c r="K51" s="85">
        <f>Table645[[#This Row],[Column4]]*Table645[[#This Row],[Column10]]</f>
        <v>0</v>
      </c>
      <c r="L51" s="170" t="str">
        <f t="shared" si="45"/>
        <v>--</v>
      </c>
      <c r="M51" s="214">
        <f>IF(Table645[[#This Row],[Column10]]=0,0,Table645[[#This Row],[Column4]]*Table645[[#This Row],[Column12]])</f>
        <v>0</v>
      </c>
      <c r="N51" s="87" t="str">
        <f t="shared" si="46"/>
        <v>--</v>
      </c>
      <c r="O51" s="138"/>
      <c r="AZ51" s="89">
        <f>IF(Table645[[#This Row],[Column14]]="--",0,Table645[[#This Row],[Column4]]*Table645[[#This Row],[Column14]])</f>
        <v>0</v>
      </c>
      <c r="BA51" s="90"/>
      <c r="BB51" s="91" t="str">
        <f>IF(BA51=0,"--",BA51*$BA$3*IF(Table645[[#This Row],[Column5]]&lt;4.1,1,2)/60/24)</f>
        <v>--</v>
      </c>
      <c r="BC51" s="92">
        <f>IF(Table645[[#This Row],[Column54]]="--",0,Table645[[#This Row],[Column4]]*Table645[[#This Row],[Column54]])</f>
        <v>0</v>
      </c>
      <c r="BD51" s="119"/>
      <c r="BE51" s="119"/>
      <c r="BF51" s="119"/>
      <c r="BG51" s="91" t="str">
        <f>IF(BD51+Table645[[#This Row],[Column58]]=0,"--",(BD51*$BF$3*Table645[[#This Row],[Column57]]+Table645[[#This Row],[Column58]]*$BF$4)/60/24)</f>
        <v>--</v>
      </c>
      <c r="BH51" s="92">
        <f>IF(Table645[[#This Row],[Column59]]="--",0,Table645[[#This Row],[Column4]]*Table645[[#This Row],[Column59]])</f>
        <v>0</v>
      </c>
      <c r="BI51" s="119"/>
      <c r="BJ51" s="91" t="str">
        <f t="shared" si="15"/>
        <v>--</v>
      </c>
      <c r="BK51" s="92">
        <f>IF(Table645[[#This Row],[Column62]]="--",0,Table645[[#This Row],[Column4]]*Table645[[#This Row],[Column62]])</f>
        <v>0</v>
      </c>
      <c r="BL51" s="93"/>
      <c r="BM51" s="91" t="str">
        <f t="shared" si="47"/>
        <v>--</v>
      </c>
      <c r="BN51" s="89">
        <f>IF(Table645[[#This Row],[Column65]]="--",0,Table645[[#This Row],[Column4]]*Table645[[#This Row],[Column65]])</f>
        <v>0</v>
      </c>
      <c r="BO51" s="163"/>
      <c r="BP51" s="164" t="str">
        <f t="shared" si="48"/>
        <v>--</v>
      </c>
      <c r="BQ51" s="160">
        <f>IF(Table645[[#This Row],[Column68]]="--",0,Table645[[#This Row],[Column4]]*Table645[[#This Row],[Column68]])</f>
        <v>0</v>
      </c>
      <c r="BR51" s="94"/>
      <c r="BS51" s="91" t="str">
        <f t="shared" si="49"/>
        <v>--</v>
      </c>
      <c r="BT51" s="92">
        <f>IF(Table645[[#This Row],[Column71]]="--",0,Table645[[#This Row],[Column4]]*Table645[[#This Row],[Column71]])</f>
        <v>0</v>
      </c>
      <c r="BU51" s="44"/>
      <c r="BV51" s="90"/>
      <c r="BW51" s="91" t="str">
        <f>IF(BV51=0,"--",(Table645[[#This Row],[Column73]]*$BV$4*(IF(J51&lt;0.5001,1,IF(J51&lt;2.0001,2,3)))+BV51/$BV$3)/60/24)</f>
        <v>--</v>
      </c>
      <c r="BX51" s="92">
        <f>IF(Table645[[#This Row],[Column75]]="--",0,Table645[[#This Row],[Column4]]*Table645[[#This Row],[Column75]])</f>
        <v>0</v>
      </c>
      <c r="BY51" s="95" t="s">
        <v>70</v>
      </c>
      <c r="BZ51" s="91" t="str">
        <f>IF(Table645[[#This Row],[Column74]]=0,"--",BW51*$BY$3)</f>
        <v>--</v>
      </c>
      <c r="CA51" s="89">
        <f>IF(Table645[[#This Row],[Column78]]="--",0,Table645[[#This Row],[Column4]]*Table645[[#This Row],[Column78]])</f>
        <v>0</v>
      </c>
      <c r="CB51" s="95" t="s">
        <v>70</v>
      </c>
      <c r="CC51" s="91" t="str">
        <f>IF(Table645[[#This Row],[Column10]]+Table645[[#This Row],[Column74]]=0,"--",J51*$CB$4*$CB$5/(24*60)+IF(Table645[[#This Row],[Column74]]=0,0,$CB$3*Table645[[#This Row],[Column75]]))</f>
        <v>--</v>
      </c>
      <c r="CD51" s="92">
        <f>IF(Table645[[#This Row],[Column81]]="--",0,Table645[[#This Row],[Column4]]*Table645[[#This Row],[Column81]])</f>
        <v>0</v>
      </c>
      <c r="CE51" s="215"/>
      <c r="CF51" s="91" t="str">
        <f t="shared" si="19"/>
        <v>--</v>
      </c>
      <c r="CG51" s="92">
        <f>IF(Table645[[#This Row],[Column84]]="--",0,Table645[[#This Row],[Column4]]*Table645[[#This Row],[Column84]])</f>
        <v>0</v>
      </c>
      <c r="CH51" s="226"/>
      <c r="CI51" s="216"/>
      <c r="CJ51" s="91" t="str">
        <f>IF(CI51=0,"--",(Table645[[#This Row],[Column86]]*$CI$4*(IF(W51&lt;0.5001,1,IF(W51&lt;2.0001,2,3)))+CI51/$CI$3)/60/24)</f>
        <v>--</v>
      </c>
      <c r="CK51" s="92">
        <f>IF(Table645[[#This Row],[Column88]]="--",0,Table645[[#This Row],[Column4]]*Table645[[#This Row],[Column88]])</f>
        <v>0</v>
      </c>
      <c r="CL51" s="217"/>
      <c r="CM51" s="91" t="str">
        <f>IF(Table645[[#This Row],[Column87]]=0,"--",CJ51*$CL$3)</f>
        <v>--</v>
      </c>
      <c r="CN51" s="92">
        <f>IF(Table645[[#This Row],[Column91]]="--",0,Table645[[#This Row],[Column4]]*Table645[[#This Row],[Column91]])</f>
        <v>0</v>
      </c>
      <c r="CO51" s="217"/>
      <c r="CP51" s="91" t="str">
        <f>IF(Table645[[#This Row],[Column10]]+Table645[[#This Row],[Column87]]=0, "--", IF($D51="", 1, $D51) * IF($J51="", 1, $J51) * $CO$3 * $CO$4 * IF(Table645[[#This Row],[Column95]]="", 1, Table645[[#This Row],[Column95]]) / (24 * 60))</f>
        <v>--</v>
      </c>
      <c r="CQ51" s="164"/>
      <c r="CR51" s="92">
        <f>IF(Table645[[#This Row],[Column94]]="--",0,Table645[[#This Row],[Column4]]*Table645[[#This Row],[Column94]])</f>
        <v>0</v>
      </c>
      <c r="CS51" s="218" t="str">
        <f>IF(Table645[[#This Row],[Column87]]="","",Table645[[#This Row],[Column87]])</f>
        <v/>
      </c>
      <c r="CT51" s="91" t="str">
        <f>IF(Table645[[#This Row],[Column97]]="","--",Table645[[#This Row],[Column97]]/$CS$3/60/24)</f>
        <v>--</v>
      </c>
      <c r="CU51" s="92">
        <f>IF(Table645[[#This Row],[Column98]]="--",0,Table645[[#This Row],[Column4]]*Table645[[#This Row],[Column98]])</f>
        <v>0</v>
      </c>
      <c r="CV51" s="93"/>
      <c r="CW51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51" s="91" t="str">
        <f>IF(OR(Table645[[#This Row],[Column74]]&gt;0,Table645[[#This Row],[Column87]]&gt;0),(Table645[[#This Row],[Column73]]+Table645[[#This Row],[Column86]]+1)*$CW$3/60/24,"--")</f>
        <v>--</v>
      </c>
      <c r="CY51" s="92">
        <f>IF(Table645[[#This Row],[Column102]]="--",0,Table645[[#This Row],[Column4]]*Table645[[#This Row],[Column102]])</f>
        <v>0</v>
      </c>
      <c r="CZ51" s="158" t="str">
        <f t="shared" si="50"/>
        <v>--</v>
      </c>
      <c r="DA51" s="153"/>
      <c r="DB51" s="160">
        <f>IF(Table645[[#This Row],[Column104]]="--",0,Table645[[#This Row],[Column4]]*Table645[[#This Row],[Column104]])</f>
        <v>0</v>
      </c>
      <c r="DC51" s="219"/>
      <c r="DD51" s="220" t="str">
        <f>IF(DC51=0,"--",1/$DC$3*1000/(60*60*24)*Table645[[#This Row],[Column107]])</f>
        <v>--</v>
      </c>
      <c r="DE51" s="160">
        <f>IF(Table645[[#This Row],[Column108]]="--",0,Table645[[#This Row],[Column4]]*Table645[[#This Row],[Column108]])</f>
        <v>0</v>
      </c>
      <c r="DF51" s="101" t="s">
        <v>70</v>
      </c>
      <c r="DG51" s="91" t="str">
        <f t="shared" si="51"/>
        <v>--</v>
      </c>
      <c r="DH51" s="89">
        <f>IF(Table645[[#This Row],[Column111]]="--",0,Table645[[#This Row],[Column4]]*Table645[[#This Row],[Column111]])</f>
        <v>0</v>
      </c>
      <c r="DI51" s="96"/>
      <c r="DJ51" s="96"/>
      <c r="DK51" s="96"/>
      <c r="DL51" s="96"/>
      <c r="DM51" s="96"/>
      <c r="DN51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51" s="89">
        <f>IF(Table645[[#This Row],[Column118]]="--",0,Table645[[#This Row],[Column4]]*Table645[[#This Row],[Column118]])</f>
        <v>0</v>
      </c>
      <c r="DP51" s="96"/>
      <c r="DQ51" s="96"/>
      <c r="DR51" s="91" t="str">
        <f t="shared" si="52"/>
        <v>--</v>
      </c>
      <c r="DS51" s="89">
        <f>IF(Table645[[#This Row],[Column122]]="--",0,Table645[[#This Row],[Column4]]*Table645[[#This Row],[Column122]])</f>
        <v>0</v>
      </c>
      <c r="DT51" t="str">
        <f>IF(Table645[[#This Row],[Column125]]=0,"--",Table645[[#This Row],[Column125]]*Table645[[#This Row],[Column126]]*Table645[[#This Row],[Column127]]/1000000000)</f>
        <v>--</v>
      </c>
      <c r="DU51" s="53"/>
      <c r="DV51" s="53"/>
      <c r="DW51" s="53"/>
      <c r="DX51" s="91" t="str">
        <f t="shared" si="53"/>
        <v>--</v>
      </c>
      <c r="DY51" s="89">
        <f>IF(Table645[[#This Row],[Column128]]="--",0,Table645[[#This Row],[Column4]]*Table645[[#This Row],[Column128]])</f>
        <v>0</v>
      </c>
      <c r="EA51" s="89">
        <f>IF(Table645[[#This Row],[Column128]]="--",0,Table645[[#This Row],[Column4]]*Table645[[#This Row],[Column128]])</f>
        <v>0</v>
      </c>
      <c r="EC51" s="89">
        <f>IF(Table645[[#This Row],[Column128]]="--",0,Table645[[#This Row],[Column4]]*Table645[[#This Row],[Column128]])</f>
        <v>0</v>
      </c>
      <c r="EE51" s="89">
        <f>IF(Table645[[#This Row],[Column128]]="--",0,Table645[[#This Row],[Column4]]*Table645[[#This Row],[Column128]])</f>
        <v>0</v>
      </c>
      <c r="EG51" s="89">
        <f>IF(Table645[[#This Row],[Column128]]="--",0,Table645[[#This Row],[Column4]]*Table645[[#This Row],[Column128]])</f>
        <v>0</v>
      </c>
      <c r="EI51" s="89">
        <f>IF(Table645[[#This Row],[Column128]]="--",0,Table645[[#This Row],[Column4]]*Table645[[#This Row],[Column128]])</f>
        <v>0</v>
      </c>
    </row>
    <row r="52" spans="1:139" x14ac:dyDescent="0.25">
      <c r="A52" s="140"/>
      <c r="B52" s="79"/>
      <c r="C52" s="140"/>
      <c r="D52" s="167"/>
      <c r="E52" s="52"/>
      <c r="F52" s="81"/>
      <c r="G52" s="81"/>
      <c r="H52" s="102" t="str">
        <f t="shared" si="44"/>
        <v>--</v>
      </c>
      <c r="I52" s="100">
        <f>IF(Table645[[#This Row],[Column8]]="--",0,Table645[[#This Row],[Column4]]*Table645[[#This Row],[Column8]])</f>
        <v>0</v>
      </c>
      <c r="J52" s="169"/>
      <c r="K52" s="85">
        <f>Table645[[#This Row],[Column4]]*Table645[[#This Row],[Column10]]</f>
        <v>0</v>
      </c>
      <c r="L52" s="170" t="str">
        <f t="shared" si="45"/>
        <v>--</v>
      </c>
      <c r="M52" s="214">
        <f>IF(Table645[[#This Row],[Column10]]=0,0,Table645[[#This Row],[Column4]]*Table645[[#This Row],[Column12]])</f>
        <v>0</v>
      </c>
      <c r="N52" s="87" t="str">
        <f t="shared" si="46"/>
        <v>--</v>
      </c>
      <c r="O52" s="138"/>
      <c r="AZ52" s="89">
        <f>IF(Table645[[#This Row],[Column14]]="--",0,Table645[[#This Row],[Column4]]*Table645[[#This Row],[Column14]])</f>
        <v>0</v>
      </c>
      <c r="BA52" s="90"/>
      <c r="BB52" s="91" t="str">
        <f>IF(BA52=0,"--",BA52*$BA$3*IF(Table645[[#This Row],[Column5]]&lt;4.1,1,2)/60/24)</f>
        <v>--</v>
      </c>
      <c r="BC52" s="92">
        <f>IF(Table645[[#This Row],[Column54]]="--",0,Table645[[#This Row],[Column4]]*Table645[[#This Row],[Column54]])</f>
        <v>0</v>
      </c>
      <c r="BD52" s="119"/>
      <c r="BE52" s="119"/>
      <c r="BF52" s="119"/>
      <c r="BG52" s="91" t="str">
        <f>IF(BD52+Table645[[#This Row],[Column58]]=0,"--",(BD52*$BF$3*Table645[[#This Row],[Column57]]+Table645[[#This Row],[Column58]]*$BF$4)/60/24)</f>
        <v>--</v>
      </c>
      <c r="BH52" s="92">
        <f>IF(Table645[[#This Row],[Column59]]="--",0,Table645[[#This Row],[Column4]]*Table645[[#This Row],[Column59]])</f>
        <v>0</v>
      </c>
      <c r="BI52" s="119"/>
      <c r="BJ52" s="91" t="str">
        <f t="shared" si="15"/>
        <v>--</v>
      </c>
      <c r="BK52" s="92">
        <f>IF(Table645[[#This Row],[Column62]]="--",0,Table645[[#This Row],[Column4]]*Table645[[#This Row],[Column62]])</f>
        <v>0</v>
      </c>
      <c r="BL52" s="93"/>
      <c r="BM52" s="91" t="str">
        <f t="shared" si="47"/>
        <v>--</v>
      </c>
      <c r="BN52" s="89">
        <f>IF(Table645[[#This Row],[Column65]]="--",0,Table645[[#This Row],[Column4]]*Table645[[#This Row],[Column65]])</f>
        <v>0</v>
      </c>
      <c r="BO52" s="163"/>
      <c r="BP52" s="164" t="str">
        <f t="shared" si="48"/>
        <v>--</v>
      </c>
      <c r="BQ52" s="160">
        <f>IF(Table645[[#This Row],[Column68]]="--",0,Table645[[#This Row],[Column4]]*Table645[[#This Row],[Column68]])</f>
        <v>0</v>
      </c>
      <c r="BR52" s="94"/>
      <c r="BS52" s="91" t="str">
        <f t="shared" si="49"/>
        <v>--</v>
      </c>
      <c r="BT52" s="92">
        <f>IF(Table645[[#This Row],[Column71]]="--",0,Table645[[#This Row],[Column4]]*Table645[[#This Row],[Column71]])</f>
        <v>0</v>
      </c>
      <c r="BU52" s="44"/>
      <c r="BV52" s="90"/>
      <c r="BW52" s="91" t="str">
        <f>IF(BV52=0,"--",(Table645[[#This Row],[Column73]]*$BV$4*(IF(J52&lt;0.5001,1,IF(J52&lt;2.0001,2,3)))+BV52/$BV$3)/60/24)</f>
        <v>--</v>
      </c>
      <c r="BX52" s="92">
        <f>IF(Table645[[#This Row],[Column75]]="--",0,Table645[[#This Row],[Column4]]*Table645[[#This Row],[Column75]])</f>
        <v>0</v>
      </c>
      <c r="BY52" s="95" t="s">
        <v>70</v>
      </c>
      <c r="BZ52" s="91" t="str">
        <f>IF(Table645[[#This Row],[Column74]]=0,"--",BW52*$BY$3)</f>
        <v>--</v>
      </c>
      <c r="CA52" s="89">
        <f>IF(Table645[[#This Row],[Column78]]="--",0,Table645[[#This Row],[Column4]]*Table645[[#This Row],[Column78]])</f>
        <v>0</v>
      </c>
      <c r="CB52" s="95" t="s">
        <v>70</v>
      </c>
      <c r="CC52" s="91" t="str">
        <f>IF(Table645[[#This Row],[Column10]]+Table645[[#This Row],[Column74]]=0,"--",J52*$CB$4*$CB$5/(24*60)+IF(Table645[[#This Row],[Column74]]=0,0,$CB$3*Table645[[#This Row],[Column75]]))</f>
        <v>--</v>
      </c>
      <c r="CD52" s="92">
        <f>IF(Table645[[#This Row],[Column81]]="--",0,Table645[[#This Row],[Column4]]*Table645[[#This Row],[Column81]])</f>
        <v>0</v>
      </c>
      <c r="CE52" s="215"/>
      <c r="CF52" s="91" t="str">
        <f t="shared" si="19"/>
        <v>--</v>
      </c>
      <c r="CG52" s="92">
        <f>IF(Table645[[#This Row],[Column84]]="--",0,Table645[[#This Row],[Column4]]*Table645[[#This Row],[Column84]])</f>
        <v>0</v>
      </c>
      <c r="CH52" s="226"/>
      <c r="CI52" s="216"/>
      <c r="CJ52" s="91" t="str">
        <f>IF(CI52=0,"--",(Table645[[#This Row],[Column86]]*$CI$4*(IF(W52&lt;0.5001,1,IF(W52&lt;2.0001,2,3)))+CI52/$CI$3)/60/24)</f>
        <v>--</v>
      </c>
      <c r="CK52" s="92">
        <f>IF(Table645[[#This Row],[Column88]]="--",0,Table645[[#This Row],[Column4]]*Table645[[#This Row],[Column88]])</f>
        <v>0</v>
      </c>
      <c r="CL52" s="217"/>
      <c r="CM52" s="91" t="str">
        <f>IF(Table645[[#This Row],[Column87]]=0,"--",CJ52*$CL$3)</f>
        <v>--</v>
      </c>
      <c r="CN52" s="92">
        <f>IF(Table645[[#This Row],[Column91]]="--",0,Table645[[#This Row],[Column4]]*Table645[[#This Row],[Column91]])</f>
        <v>0</v>
      </c>
      <c r="CO52" s="217"/>
      <c r="CP52" s="91" t="str">
        <f>IF(Table645[[#This Row],[Column10]]+Table645[[#This Row],[Column87]]=0, "--", IF($D52="", 1, $D52) * IF($J52="", 1, $J52) * $CO$3 * $CO$4 * IF(Table645[[#This Row],[Column95]]="", 1, Table645[[#This Row],[Column95]]) / (24 * 60))</f>
        <v>--</v>
      </c>
      <c r="CQ52" s="164"/>
      <c r="CR52" s="92">
        <f>IF(Table645[[#This Row],[Column94]]="--",0,Table645[[#This Row],[Column4]]*Table645[[#This Row],[Column94]])</f>
        <v>0</v>
      </c>
      <c r="CS52" s="218" t="str">
        <f>IF(Table645[[#This Row],[Column87]]="","",Table645[[#This Row],[Column87]])</f>
        <v/>
      </c>
      <c r="CT52" s="91" t="str">
        <f>IF(Table645[[#This Row],[Column97]]="","--",Table645[[#This Row],[Column97]]/$CS$3/60/24)</f>
        <v>--</v>
      </c>
      <c r="CU52" s="92">
        <f>IF(Table645[[#This Row],[Column98]]="--",0,Table645[[#This Row],[Column4]]*Table645[[#This Row],[Column98]])</f>
        <v>0</v>
      </c>
      <c r="CV52" s="93"/>
      <c r="CW52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52" s="91" t="str">
        <f>IF(OR(Table645[[#This Row],[Column74]]&gt;0,Table645[[#This Row],[Column87]]&gt;0),(Table645[[#This Row],[Column73]]+Table645[[#This Row],[Column86]]+1)*$CW$3/60/24,"--")</f>
        <v>--</v>
      </c>
      <c r="CY52" s="92">
        <f>IF(Table645[[#This Row],[Column102]]="--",0,Table645[[#This Row],[Column4]]*Table645[[#This Row],[Column102]])</f>
        <v>0</v>
      </c>
      <c r="CZ52" s="158" t="str">
        <f t="shared" si="50"/>
        <v>--</v>
      </c>
      <c r="DA52" s="153"/>
      <c r="DB52" s="160">
        <f>IF(Table645[[#This Row],[Column104]]="--",0,Table645[[#This Row],[Column4]]*Table645[[#This Row],[Column104]])</f>
        <v>0</v>
      </c>
      <c r="DC52" s="219"/>
      <c r="DD52" s="220" t="str">
        <f>IF(DC52=0,"--",1/$DC$3*1000/(60*60*24)*Table645[[#This Row],[Column107]])</f>
        <v>--</v>
      </c>
      <c r="DE52" s="160">
        <f>IF(Table645[[#This Row],[Column108]]="--",0,Table645[[#This Row],[Column4]]*Table645[[#This Row],[Column108]])</f>
        <v>0</v>
      </c>
      <c r="DF52" s="101" t="s">
        <v>70</v>
      </c>
      <c r="DG52" s="91" t="str">
        <f t="shared" si="51"/>
        <v>--</v>
      </c>
      <c r="DH52" s="89">
        <f>IF(Table645[[#This Row],[Column111]]="--",0,Table645[[#This Row],[Column4]]*Table645[[#This Row],[Column111]])</f>
        <v>0</v>
      </c>
      <c r="DI52" s="96"/>
      <c r="DJ52" s="96"/>
      <c r="DK52" s="96"/>
      <c r="DL52" s="96"/>
      <c r="DM52" s="96"/>
      <c r="DN52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52" s="89">
        <f>IF(Table645[[#This Row],[Column118]]="--",0,Table645[[#This Row],[Column4]]*Table645[[#This Row],[Column118]])</f>
        <v>0</v>
      </c>
      <c r="DP52" s="96"/>
      <c r="DQ52" s="96"/>
      <c r="DR52" s="91" t="str">
        <f t="shared" si="52"/>
        <v>--</v>
      </c>
      <c r="DS52" s="89">
        <f>IF(Table645[[#This Row],[Column122]]="--",0,Table645[[#This Row],[Column4]]*Table645[[#This Row],[Column122]])</f>
        <v>0</v>
      </c>
      <c r="DT52" t="str">
        <f>IF(Table645[[#This Row],[Column125]]=0,"--",Table645[[#This Row],[Column125]]*Table645[[#This Row],[Column126]]*Table645[[#This Row],[Column127]]/1000000000)</f>
        <v>--</v>
      </c>
      <c r="DU52" s="53"/>
      <c r="DV52" s="53"/>
      <c r="DW52" s="53"/>
      <c r="DX52" s="91" t="str">
        <f t="shared" si="53"/>
        <v>--</v>
      </c>
      <c r="DY52" s="89">
        <f>IF(Table645[[#This Row],[Column128]]="--",0,Table645[[#This Row],[Column4]]*Table645[[#This Row],[Column128]])</f>
        <v>0</v>
      </c>
      <c r="EA52" s="89">
        <f>IF(Table645[[#This Row],[Column128]]="--",0,Table645[[#This Row],[Column4]]*Table645[[#This Row],[Column128]])</f>
        <v>0</v>
      </c>
      <c r="EC52" s="89">
        <f>IF(Table645[[#This Row],[Column128]]="--",0,Table645[[#This Row],[Column4]]*Table645[[#This Row],[Column128]])</f>
        <v>0</v>
      </c>
      <c r="EE52" s="89">
        <f>IF(Table645[[#This Row],[Column128]]="--",0,Table645[[#This Row],[Column4]]*Table645[[#This Row],[Column128]])</f>
        <v>0</v>
      </c>
      <c r="EG52" s="89">
        <f>IF(Table645[[#This Row],[Column128]]="--",0,Table645[[#This Row],[Column4]]*Table645[[#This Row],[Column128]])</f>
        <v>0</v>
      </c>
      <c r="EI52" s="89">
        <f>IF(Table645[[#This Row],[Column128]]="--",0,Table645[[#This Row],[Column4]]*Table645[[#This Row],[Column128]])</f>
        <v>0</v>
      </c>
    </row>
    <row r="53" spans="1:139" x14ac:dyDescent="0.25">
      <c r="A53" s="140"/>
      <c r="B53" s="79"/>
      <c r="C53" s="140"/>
      <c r="D53" s="167"/>
      <c r="E53" s="52"/>
      <c r="F53" s="81"/>
      <c r="G53" s="81"/>
      <c r="H53" s="102" t="str">
        <f t="shared" si="44"/>
        <v>--</v>
      </c>
      <c r="I53" s="100">
        <f>IF(Table645[[#This Row],[Column8]]="--",0,Table645[[#This Row],[Column4]]*Table645[[#This Row],[Column8]])</f>
        <v>0</v>
      </c>
      <c r="J53" s="169"/>
      <c r="K53" s="85">
        <f>Table645[[#This Row],[Column4]]*Table645[[#This Row],[Column10]]</f>
        <v>0</v>
      </c>
      <c r="L53" s="170" t="str">
        <f t="shared" si="45"/>
        <v>--</v>
      </c>
      <c r="M53" s="214">
        <f>IF(Table645[[#This Row],[Column10]]=0,0,Table645[[#This Row],[Column4]]*Table645[[#This Row],[Column12]])</f>
        <v>0</v>
      </c>
      <c r="N53" s="87" t="str">
        <f t="shared" si="46"/>
        <v>--</v>
      </c>
      <c r="O53" s="138"/>
      <c r="AZ53" s="89">
        <f>IF(Table645[[#This Row],[Column14]]="--",0,Table645[[#This Row],[Column4]]*Table645[[#This Row],[Column14]])</f>
        <v>0</v>
      </c>
      <c r="BA53" s="90"/>
      <c r="BB53" s="91" t="str">
        <f>IF(BA53=0,"--",BA53*$BA$3*IF(Table645[[#This Row],[Column5]]&lt;4.1,1,2)/60/24)</f>
        <v>--</v>
      </c>
      <c r="BC53" s="92">
        <f>IF(Table645[[#This Row],[Column54]]="--",0,Table645[[#This Row],[Column4]]*Table645[[#This Row],[Column54]])</f>
        <v>0</v>
      </c>
      <c r="BD53" s="119"/>
      <c r="BE53" s="119"/>
      <c r="BF53" s="119"/>
      <c r="BG53" s="91" t="str">
        <f>IF(BD53+Table645[[#This Row],[Column58]]=0,"--",(BD53*$BF$3*Table645[[#This Row],[Column57]]+Table645[[#This Row],[Column58]]*$BF$4)/60/24)</f>
        <v>--</v>
      </c>
      <c r="BH53" s="92">
        <f>IF(Table645[[#This Row],[Column59]]="--",0,Table645[[#This Row],[Column4]]*Table645[[#This Row],[Column59]])</f>
        <v>0</v>
      </c>
      <c r="BI53" s="119"/>
      <c r="BJ53" s="91" t="str">
        <f t="shared" si="15"/>
        <v>--</v>
      </c>
      <c r="BK53" s="92">
        <f>IF(Table645[[#This Row],[Column62]]="--",0,Table645[[#This Row],[Column4]]*Table645[[#This Row],[Column62]])</f>
        <v>0</v>
      </c>
      <c r="BL53" s="93"/>
      <c r="BM53" s="91" t="str">
        <f t="shared" si="47"/>
        <v>--</v>
      </c>
      <c r="BN53" s="89">
        <f>IF(Table645[[#This Row],[Column65]]="--",0,Table645[[#This Row],[Column4]]*Table645[[#This Row],[Column65]])</f>
        <v>0</v>
      </c>
      <c r="BO53" s="163"/>
      <c r="BP53" s="164" t="str">
        <f t="shared" si="48"/>
        <v>--</v>
      </c>
      <c r="BQ53" s="160">
        <f>IF(Table645[[#This Row],[Column68]]="--",0,Table645[[#This Row],[Column4]]*Table645[[#This Row],[Column68]])</f>
        <v>0</v>
      </c>
      <c r="BR53" s="94"/>
      <c r="BS53" s="91" t="str">
        <f t="shared" si="49"/>
        <v>--</v>
      </c>
      <c r="BT53" s="92">
        <f>IF(Table645[[#This Row],[Column71]]="--",0,Table645[[#This Row],[Column4]]*Table645[[#This Row],[Column71]])</f>
        <v>0</v>
      </c>
      <c r="BU53" s="44"/>
      <c r="BV53" s="90"/>
      <c r="BW53" s="91" t="str">
        <f>IF(BV53=0,"--",(Table645[[#This Row],[Column73]]*$BV$4*(IF(J53&lt;0.5001,1,IF(J53&lt;2.0001,2,3)))+BV53/$BV$3)/60/24)</f>
        <v>--</v>
      </c>
      <c r="BX53" s="92">
        <f>IF(Table645[[#This Row],[Column75]]="--",0,Table645[[#This Row],[Column4]]*Table645[[#This Row],[Column75]])</f>
        <v>0</v>
      </c>
      <c r="BY53" s="95" t="s">
        <v>70</v>
      </c>
      <c r="BZ53" s="91" t="str">
        <f>IF(Table645[[#This Row],[Column74]]=0,"--",BW53*$BY$3)</f>
        <v>--</v>
      </c>
      <c r="CA53" s="89">
        <f>IF(Table645[[#This Row],[Column78]]="--",0,Table645[[#This Row],[Column4]]*Table645[[#This Row],[Column78]])</f>
        <v>0</v>
      </c>
      <c r="CB53" s="95" t="s">
        <v>70</v>
      </c>
      <c r="CC53" s="91" t="str">
        <f>IF(Table645[[#This Row],[Column10]]+Table645[[#This Row],[Column74]]=0,"--",J53*$CB$4*$CB$5/(24*60)+IF(Table645[[#This Row],[Column74]]=0,0,$CB$3*Table645[[#This Row],[Column75]]))</f>
        <v>--</v>
      </c>
      <c r="CD53" s="92">
        <f>IF(Table645[[#This Row],[Column81]]="--",0,Table645[[#This Row],[Column4]]*Table645[[#This Row],[Column81]])</f>
        <v>0</v>
      </c>
      <c r="CE53" s="215"/>
      <c r="CF53" s="91" t="str">
        <f t="shared" si="19"/>
        <v>--</v>
      </c>
      <c r="CG53" s="92">
        <f>IF(Table645[[#This Row],[Column84]]="--",0,Table645[[#This Row],[Column4]]*Table645[[#This Row],[Column84]])</f>
        <v>0</v>
      </c>
      <c r="CH53" s="226"/>
      <c r="CI53" s="216"/>
      <c r="CJ53" s="91" t="str">
        <f>IF(CI53=0,"--",(Table645[[#This Row],[Column86]]*$CI$4*(IF(W53&lt;0.5001,1,IF(W53&lt;2.0001,2,3)))+CI53/$CI$3)/60/24)</f>
        <v>--</v>
      </c>
      <c r="CK53" s="92">
        <f>IF(Table645[[#This Row],[Column88]]="--",0,Table645[[#This Row],[Column4]]*Table645[[#This Row],[Column88]])</f>
        <v>0</v>
      </c>
      <c r="CL53" s="217"/>
      <c r="CM53" s="91" t="str">
        <f>IF(Table645[[#This Row],[Column87]]=0,"--",CJ53*$CL$3)</f>
        <v>--</v>
      </c>
      <c r="CN53" s="92">
        <f>IF(Table645[[#This Row],[Column91]]="--",0,Table645[[#This Row],[Column4]]*Table645[[#This Row],[Column91]])</f>
        <v>0</v>
      </c>
      <c r="CO53" s="217"/>
      <c r="CP53" s="91" t="str">
        <f>IF(Table645[[#This Row],[Column10]]+Table645[[#This Row],[Column87]]=0, "--", IF($D53="", 1, $D53) * IF($J53="", 1, $J53) * $CO$3 * $CO$4 * IF(Table645[[#This Row],[Column95]]="", 1, Table645[[#This Row],[Column95]]) / (24 * 60))</f>
        <v>--</v>
      </c>
      <c r="CQ53" s="164"/>
      <c r="CR53" s="92">
        <f>IF(Table645[[#This Row],[Column94]]="--",0,Table645[[#This Row],[Column4]]*Table645[[#This Row],[Column94]])</f>
        <v>0</v>
      </c>
      <c r="CS53" s="218" t="str">
        <f>IF(Table645[[#This Row],[Column87]]="","",Table645[[#This Row],[Column87]])</f>
        <v/>
      </c>
      <c r="CT53" s="91" t="str">
        <f>IF(Table645[[#This Row],[Column97]]="","--",Table645[[#This Row],[Column97]]/$CS$3/60/24)</f>
        <v>--</v>
      </c>
      <c r="CU53" s="92">
        <f>IF(Table645[[#This Row],[Column98]]="--",0,Table645[[#This Row],[Column4]]*Table645[[#This Row],[Column98]])</f>
        <v>0</v>
      </c>
      <c r="CV53" s="93"/>
      <c r="CW53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53" s="91" t="str">
        <f>IF(OR(Table645[[#This Row],[Column74]]&gt;0,Table645[[#This Row],[Column87]]&gt;0),(Table645[[#This Row],[Column73]]+Table645[[#This Row],[Column86]]+1)*$CW$3/60/24,"--")</f>
        <v>--</v>
      </c>
      <c r="CY53" s="92">
        <f>IF(Table645[[#This Row],[Column102]]="--",0,Table645[[#This Row],[Column4]]*Table645[[#This Row],[Column102]])</f>
        <v>0</v>
      </c>
      <c r="CZ53" s="158" t="str">
        <f t="shared" si="50"/>
        <v>--</v>
      </c>
      <c r="DA53" s="153"/>
      <c r="DB53" s="160">
        <f>IF(Table645[[#This Row],[Column104]]="--",0,Table645[[#This Row],[Column4]]*Table645[[#This Row],[Column104]])</f>
        <v>0</v>
      </c>
      <c r="DC53" s="219"/>
      <c r="DD53" s="220" t="str">
        <f>IF(DC53=0,"--",1/$DC$3*1000/(60*60*24)*Table645[[#This Row],[Column107]])</f>
        <v>--</v>
      </c>
      <c r="DE53" s="160">
        <f>IF(Table645[[#This Row],[Column108]]="--",0,Table645[[#This Row],[Column4]]*Table645[[#This Row],[Column108]])</f>
        <v>0</v>
      </c>
      <c r="DF53" s="101" t="s">
        <v>70</v>
      </c>
      <c r="DG53" s="91" t="str">
        <f t="shared" si="51"/>
        <v>--</v>
      </c>
      <c r="DH53" s="89">
        <f>IF(Table645[[#This Row],[Column111]]="--",0,Table645[[#This Row],[Column4]]*Table645[[#This Row],[Column111]])</f>
        <v>0</v>
      </c>
      <c r="DI53" s="96"/>
      <c r="DJ53" s="96"/>
      <c r="DK53" s="96"/>
      <c r="DL53" s="96"/>
      <c r="DM53" s="96"/>
      <c r="DN53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53" s="89">
        <f>IF(Table645[[#This Row],[Column118]]="--",0,Table645[[#This Row],[Column4]]*Table645[[#This Row],[Column118]])</f>
        <v>0</v>
      </c>
      <c r="DP53" s="96"/>
      <c r="DQ53" s="96"/>
      <c r="DR53" s="91" t="str">
        <f t="shared" si="52"/>
        <v>--</v>
      </c>
      <c r="DS53" s="89">
        <f>IF(Table645[[#This Row],[Column122]]="--",0,Table645[[#This Row],[Column4]]*Table645[[#This Row],[Column122]])</f>
        <v>0</v>
      </c>
      <c r="DT53" t="str">
        <f>IF(Table645[[#This Row],[Column125]]=0,"--",Table645[[#This Row],[Column125]]*Table645[[#This Row],[Column126]]*Table645[[#This Row],[Column127]]/1000000000)</f>
        <v>--</v>
      </c>
      <c r="DU53" s="53"/>
      <c r="DV53" s="53"/>
      <c r="DW53" s="53"/>
      <c r="DX53" s="91" t="str">
        <f t="shared" si="53"/>
        <v>--</v>
      </c>
      <c r="DY53" s="89">
        <f>IF(Table645[[#This Row],[Column128]]="--",0,Table645[[#This Row],[Column4]]*Table645[[#This Row],[Column128]])</f>
        <v>0</v>
      </c>
      <c r="EA53" s="89">
        <f>IF(Table645[[#This Row],[Column128]]="--",0,Table645[[#This Row],[Column4]]*Table645[[#This Row],[Column128]])</f>
        <v>0</v>
      </c>
      <c r="EC53" s="89">
        <f>IF(Table645[[#This Row],[Column128]]="--",0,Table645[[#This Row],[Column4]]*Table645[[#This Row],[Column128]])</f>
        <v>0</v>
      </c>
      <c r="EE53" s="89">
        <f>IF(Table645[[#This Row],[Column128]]="--",0,Table645[[#This Row],[Column4]]*Table645[[#This Row],[Column128]])</f>
        <v>0</v>
      </c>
      <c r="EG53" s="89">
        <f>IF(Table645[[#This Row],[Column128]]="--",0,Table645[[#This Row],[Column4]]*Table645[[#This Row],[Column128]])</f>
        <v>0</v>
      </c>
      <c r="EI53" s="89">
        <f>IF(Table645[[#This Row],[Column128]]="--",0,Table645[[#This Row],[Column4]]*Table645[[#This Row],[Column128]])</f>
        <v>0</v>
      </c>
    </row>
    <row r="54" spans="1:139" x14ac:dyDescent="0.25">
      <c r="A54" s="140"/>
      <c r="B54" s="79"/>
      <c r="C54" s="140"/>
      <c r="D54" s="167"/>
      <c r="E54" s="52"/>
      <c r="F54" s="81"/>
      <c r="G54" s="81"/>
      <c r="H54" s="102" t="str">
        <f t="shared" si="44"/>
        <v>--</v>
      </c>
      <c r="I54" s="100">
        <f>IF(Table645[[#This Row],[Column8]]="--",0,Table645[[#This Row],[Column4]]*Table645[[#This Row],[Column8]])</f>
        <v>0</v>
      </c>
      <c r="J54" s="169"/>
      <c r="K54" s="85">
        <f>Table645[[#This Row],[Column4]]*Table645[[#This Row],[Column10]]</f>
        <v>0</v>
      </c>
      <c r="L54" s="170" t="str">
        <f t="shared" si="45"/>
        <v>--</v>
      </c>
      <c r="M54" s="214">
        <f>IF(Table645[[#This Row],[Column10]]=0,0,Table645[[#This Row],[Column4]]*Table645[[#This Row],[Column12]])</f>
        <v>0</v>
      </c>
      <c r="N54" s="87" t="str">
        <f t="shared" si="46"/>
        <v>--</v>
      </c>
      <c r="O54" s="138"/>
      <c r="AZ54" s="89">
        <f>IF(Table645[[#This Row],[Column14]]="--",0,Table645[[#This Row],[Column4]]*Table645[[#This Row],[Column14]])</f>
        <v>0</v>
      </c>
      <c r="BA54" s="90"/>
      <c r="BB54" s="91" t="str">
        <f>IF(BA54=0,"--",BA54*$BA$3*IF(Table645[[#This Row],[Column5]]&lt;4.1,1,2)/60/24)</f>
        <v>--</v>
      </c>
      <c r="BC54" s="92">
        <f>IF(Table645[[#This Row],[Column54]]="--",0,Table645[[#This Row],[Column4]]*Table645[[#This Row],[Column54]])</f>
        <v>0</v>
      </c>
      <c r="BD54" s="119"/>
      <c r="BE54" s="119"/>
      <c r="BF54" s="119"/>
      <c r="BG54" s="91" t="str">
        <f>IF(BD54+Table645[[#This Row],[Column58]]=0,"--",(BD54*$BF$3*Table645[[#This Row],[Column57]]+Table645[[#This Row],[Column58]]*$BF$4)/60/24)</f>
        <v>--</v>
      </c>
      <c r="BH54" s="92">
        <f>IF(Table645[[#This Row],[Column59]]="--",0,Table645[[#This Row],[Column4]]*Table645[[#This Row],[Column59]])</f>
        <v>0</v>
      </c>
      <c r="BI54" s="119"/>
      <c r="BJ54" s="91" t="str">
        <f t="shared" si="15"/>
        <v>--</v>
      </c>
      <c r="BK54" s="92">
        <f>IF(Table645[[#This Row],[Column62]]="--",0,Table645[[#This Row],[Column4]]*Table645[[#This Row],[Column62]])</f>
        <v>0</v>
      </c>
      <c r="BL54" s="93"/>
      <c r="BM54" s="91" t="str">
        <f t="shared" si="47"/>
        <v>--</v>
      </c>
      <c r="BN54" s="89">
        <f>IF(Table645[[#This Row],[Column65]]="--",0,Table645[[#This Row],[Column4]]*Table645[[#This Row],[Column65]])</f>
        <v>0</v>
      </c>
      <c r="BO54" s="163"/>
      <c r="BP54" s="164" t="str">
        <f t="shared" si="48"/>
        <v>--</v>
      </c>
      <c r="BQ54" s="160">
        <f>IF(Table645[[#This Row],[Column68]]="--",0,Table645[[#This Row],[Column4]]*Table645[[#This Row],[Column68]])</f>
        <v>0</v>
      </c>
      <c r="BR54" s="94"/>
      <c r="BS54" s="91" t="str">
        <f t="shared" si="49"/>
        <v>--</v>
      </c>
      <c r="BT54" s="92">
        <f>IF(Table645[[#This Row],[Column71]]="--",0,Table645[[#This Row],[Column4]]*Table645[[#This Row],[Column71]])</f>
        <v>0</v>
      </c>
      <c r="BU54" s="44"/>
      <c r="BV54" s="90"/>
      <c r="BW54" s="91" t="str">
        <f>IF(BV54=0,"--",(Table645[[#This Row],[Column73]]*$BV$4*(IF(J54&lt;0.5001,1,IF(J54&lt;2.0001,2,3)))+BV54/$BV$3)/60/24)</f>
        <v>--</v>
      </c>
      <c r="BX54" s="92">
        <f>IF(Table645[[#This Row],[Column75]]="--",0,Table645[[#This Row],[Column4]]*Table645[[#This Row],[Column75]])</f>
        <v>0</v>
      </c>
      <c r="BY54" s="95" t="s">
        <v>70</v>
      </c>
      <c r="BZ54" s="91" t="str">
        <f>IF(Table645[[#This Row],[Column74]]=0,"--",BW54*$BY$3)</f>
        <v>--</v>
      </c>
      <c r="CA54" s="89">
        <f>IF(Table645[[#This Row],[Column78]]="--",0,Table645[[#This Row],[Column4]]*Table645[[#This Row],[Column78]])</f>
        <v>0</v>
      </c>
      <c r="CB54" s="95" t="s">
        <v>70</v>
      </c>
      <c r="CC54" s="91" t="str">
        <f>IF(Table645[[#This Row],[Column10]]+Table645[[#This Row],[Column74]]=0,"--",J54*$CB$4*$CB$5/(24*60)+IF(Table645[[#This Row],[Column74]]=0,0,$CB$3*Table645[[#This Row],[Column75]]))</f>
        <v>--</v>
      </c>
      <c r="CD54" s="92">
        <f>IF(Table645[[#This Row],[Column81]]="--",0,Table645[[#This Row],[Column4]]*Table645[[#This Row],[Column81]])</f>
        <v>0</v>
      </c>
      <c r="CE54" s="215"/>
      <c r="CF54" s="91" t="str">
        <f t="shared" si="19"/>
        <v>--</v>
      </c>
      <c r="CG54" s="92">
        <f>IF(Table645[[#This Row],[Column84]]="--",0,Table645[[#This Row],[Column4]]*Table645[[#This Row],[Column84]])</f>
        <v>0</v>
      </c>
      <c r="CH54" s="226"/>
      <c r="CI54" s="216"/>
      <c r="CJ54" s="91" t="str">
        <f>IF(CI54=0,"--",(Table645[[#This Row],[Column86]]*$CI$4*(IF(W54&lt;0.5001,1,IF(W54&lt;2.0001,2,3)))+CI54/$CI$3)/60/24)</f>
        <v>--</v>
      </c>
      <c r="CK54" s="92">
        <f>IF(Table645[[#This Row],[Column88]]="--",0,Table645[[#This Row],[Column4]]*Table645[[#This Row],[Column88]])</f>
        <v>0</v>
      </c>
      <c r="CL54" s="217"/>
      <c r="CM54" s="91" t="str">
        <f>IF(Table645[[#This Row],[Column87]]=0,"--",CJ54*$CL$3)</f>
        <v>--</v>
      </c>
      <c r="CN54" s="92">
        <f>IF(Table645[[#This Row],[Column91]]="--",0,Table645[[#This Row],[Column4]]*Table645[[#This Row],[Column91]])</f>
        <v>0</v>
      </c>
      <c r="CO54" s="217"/>
      <c r="CP54" s="91" t="str">
        <f>IF(Table645[[#This Row],[Column10]]+Table645[[#This Row],[Column87]]=0, "--", IF($D54="", 1, $D54) * IF($J54="", 1, $J54) * $CO$3 * $CO$4 * IF(Table645[[#This Row],[Column95]]="", 1, Table645[[#This Row],[Column95]]) / (24 * 60))</f>
        <v>--</v>
      </c>
      <c r="CQ54" s="164"/>
      <c r="CR54" s="92">
        <f>IF(Table645[[#This Row],[Column94]]="--",0,Table645[[#This Row],[Column4]]*Table645[[#This Row],[Column94]])</f>
        <v>0</v>
      </c>
      <c r="CS54" s="218" t="str">
        <f>IF(Table645[[#This Row],[Column87]]="","",Table645[[#This Row],[Column87]])</f>
        <v/>
      </c>
      <c r="CT54" s="91" t="str">
        <f>IF(Table645[[#This Row],[Column97]]="","--",Table645[[#This Row],[Column97]]/$CS$3/60/24)</f>
        <v>--</v>
      </c>
      <c r="CU54" s="92">
        <f>IF(Table645[[#This Row],[Column98]]="--",0,Table645[[#This Row],[Column4]]*Table645[[#This Row],[Column98]])</f>
        <v>0</v>
      </c>
      <c r="CV54" s="93"/>
      <c r="CW54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54" s="91" t="str">
        <f>IF(OR(Table645[[#This Row],[Column74]]&gt;0,Table645[[#This Row],[Column87]]&gt;0),(Table645[[#This Row],[Column73]]+Table645[[#This Row],[Column86]]+1)*$CW$3/60/24,"--")</f>
        <v>--</v>
      </c>
      <c r="CY54" s="92">
        <f>IF(Table645[[#This Row],[Column102]]="--",0,Table645[[#This Row],[Column4]]*Table645[[#This Row],[Column102]])</f>
        <v>0</v>
      </c>
      <c r="CZ54" s="158" t="str">
        <f t="shared" si="50"/>
        <v>--</v>
      </c>
      <c r="DA54" s="153"/>
      <c r="DB54" s="160">
        <f>IF(Table645[[#This Row],[Column104]]="--",0,Table645[[#This Row],[Column4]]*Table645[[#This Row],[Column104]])</f>
        <v>0</v>
      </c>
      <c r="DC54" s="219"/>
      <c r="DD54" s="220" t="str">
        <f>IF(DC54=0,"--",1/$DC$3*1000/(60*60*24)*Table645[[#This Row],[Column107]])</f>
        <v>--</v>
      </c>
      <c r="DE54" s="160">
        <f>IF(Table645[[#This Row],[Column108]]="--",0,Table645[[#This Row],[Column4]]*Table645[[#This Row],[Column108]])</f>
        <v>0</v>
      </c>
      <c r="DF54" s="101" t="s">
        <v>70</v>
      </c>
      <c r="DG54" s="91" t="str">
        <f t="shared" si="51"/>
        <v>--</v>
      </c>
      <c r="DH54" s="89">
        <f>IF(Table645[[#This Row],[Column111]]="--",0,Table645[[#This Row],[Column4]]*Table645[[#This Row],[Column111]])</f>
        <v>0</v>
      </c>
      <c r="DI54" s="96"/>
      <c r="DJ54" s="96"/>
      <c r="DK54" s="96"/>
      <c r="DL54" s="96"/>
      <c r="DM54" s="96"/>
      <c r="DN54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54" s="89">
        <f>IF(Table645[[#This Row],[Column118]]="--",0,Table645[[#This Row],[Column4]]*Table645[[#This Row],[Column118]])</f>
        <v>0</v>
      </c>
      <c r="DP54" s="96"/>
      <c r="DQ54" s="96"/>
      <c r="DR54" s="91" t="str">
        <f t="shared" si="52"/>
        <v>--</v>
      </c>
      <c r="DS54" s="89">
        <f>IF(Table645[[#This Row],[Column122]]="--",0,Table645[[#This Row],[Column4]]*Table645[[#This Row],[Column122]])</f>
        <v>0</v>
      </c>
      <c r="DT54" t="str">
        <f>IF(Table645[[#This Row],[Column125]]=0,"--",Table645[[#This Row],[Column125]]*Table645[[#This Row],[Column126]]*Table645[[#This Row],[Column127]]/1000000000)</f>
        <v>--</v>
      </c>
      <c r="DU54" s="53"/>
      <c r="DV54" s="53"/>
      <c r="DW54" s="53"/>
      <c r="DX54" s="91" t="str">
        <f t="shared" si="53"/>
        <v>--</v>
      </c>
      <c r="DY54" s="89">
        <f>IF(Table645[[#This Row],[Column128]]="--",0,Table645[[#This Row],[Column4]]*Table645[[#This Row],[Column128]])</f>
        <v>0</v>
      </c>
      <c r="EA54" s="89">
        <f>IF(Table645[[#This Row],[Column128]]="--",0,Table645[[#This Row],[Column4]]*Table645[[#This Row],[Column128]])</f>
        <v>0</v>
      </c>
      <c r="EC54" s="89">
        <f>IF(Table645[[#This Row],[Column128]]="--",0,Table645[[#This Row],[Column4]]*Table645[[#This Row],[Column128]])</f>
        <v>0</v>
      </c>
      <c r="EE54" s="89">
        <f>IF(Table645[[#This Row],[Column128]]="--",0,Table645[[#This Row],[Column4]]*Table645[[#This Row],[Column128]])</f>
        <v>0</v>
      </c>
      <c r="EG54" s="89">
        <f>IF(Table645[[#This Row],[Column128]]="--",0,Table645[[#This Row],[Column4]]*Table645[[#This Row],[Column128]])</f>
        <v>0</v>
      </c>
      <c r="EI54" s="89">
        <f>IF(Table645[[#This Row],[Column128]]="--",0,Table645[[#This Row],[Column4]]*Table645[[#This Row],[Column128]])</f>
        <v>0</v>
      </c>
    </row>
    <row r="55" spans="1:139" x14ac:dyDescent="0.25">
      <c r="A55" s="140"/>
      <c r="B55" s="79"/>
      <c r="C55" s="140"/>
      <c r="D55" s="167"/>
      <c r="E55" s="52"/>
      <c r="F55" s="81"/>
      <c r="G55" s="81"/>
      <c r="H55" s="102" t="str">
        <f t="shared" si="44"/>
        <v>--</v>
      </c>
      <c r="I55" s="100">
        <f>IF(Table645[[#This Row],[Column8]]="--",0,Table645[[#This Row],[Column4]]*Table645[[#This Row],[Column8]])</f>
        <v>0</v>
      </c>
      <c r="J55" s="169"/>
      <c r="K55" s="85">
        <f>Table645[[#This Row],[Column4]]*Table645[[#This Row],[Column10]]</f>
        <v>0</v>
      </c>
      <c r="L55" s="170" t="str">
        <f t="shared" si="45"/>
        <v>--</v>
      </c>
      <c r="M55" s="214">
        <f>IF(Table645[[#This Row],[Column10]]=0,0,Table645[[#This Row],[Column4]]*Table645[[#This Row],[Column12]])</f>
        <v>0</v>
      </c>
      <c r="N55" s="87" t="str">
        <f t="shared" si="46"/>
        <v>--</v>
      </c>
      <c r="O55" s="138"/>
      <c r="AZ55" s="89">
        <f>IF(Table645[[#This Row],[Column14]]="--",0,Table645[[#This Row],[Column4]]*Table645[[#This Row],[Column14]])</f>
        <v>0</v>
      </c>
      <c r="BA55" s="90"/>
      <c r="BB55" s="91" t="str">
        <f>IF(BA55=0,"--",BA55*$BA$3*IF(Table645[[#This Row],[Column5]]&lt;4.1,1,2)/60/24)</f>
        <v>--</v>
      </c>
      <c r="BC55" s="92">
        <f>IF(Table645[[#This Row],[Column54]]="--",0,Table645[[#This Row],[Column4]]*Table645[[#This Row],[Column54]])</f>
        <v>0</v>
      </c>
      <c r="BD55" s="119"/>
      <c r="BE55" s="119"/>
      <c r="BF55" s="119"/>
      <c r="BG55" s="91" t="str">
        <f>IF(BD55+Table645[[#This Row],[Column58]]=0,"--",(BD55*$BF$3*Table645[[#This Row],[Column57]]+Table645[[#This Row],[Column58]]*$BF$4)/60/24)</f>
        <v>--</v>
      </c>
      <c r="BH55" s="92">
        <f>IF(Table645[[#This Row],[Column59]]="--",0,Table645[[#This Row],[Column4]]*Table645[[#This Row],[Column59]])</f>
        <v>0</v>
      </c>
      <c r="BI55" s="119"/>
      <c r="BJ55" s="91" t="str">
        <f t="shared" si="15"/>
        <v>--</v>
      </c>
      <c r="BK55" s="92">
        <f>IF(Table645[[#This Row],[Column62]]="--",0,Table645[[#This Row],[Column4]]*Table645[[#This Row],[Column62]])</f>
        <v>0</v>
      </c>
      <c r="BL55" s="93"/>
      <c r="BM55" s="91" t="str">
        <f t="shared" si="47"/>
        <v>--</v>
      </c>
      <c r="BN55" s="89">
        <f>IF(Table645[[#This Row],[Column65]]="--",0,Table645[[#This Row],[Column4]]*Table645[[#This Row],[Column65]])</f>
        <v>0</v>
      </c>
      <c r="BO55" s="163"/>
      <c r="BP55" s="164" t="str">
        <f t="shared" si="48"/>
        <v>--</v>
      </c>
      <c r="BQ55" s="160">
        <f>IF(Table645[[#This Row],[Column68]]="--",0,Table645[[#This Row],[Column4]]*Table645[[#This Row],[Column68]])</f>
        <v>0</v>
      </c>
      <c r="BR55" s="94"/>
      <c r="BS55" s="91" t="str">
        <f t="shared" si="49"/>
        <v>--</v>
      </c>
      <c r="BT55" s="92">
        <f>IF(Table645[[#This Row],[Column71]]="--",0,Table645[[#This Row],[Column4]]*Table645[[#This Row],[Column71]])</f>
        <v>0</v>
      </c>
      <c r="BU55" s="44"/>
      <c r="BV55" s="90"/>
      <c r="BW55" s="91" t="str">
        <f>IF(BV55=0,"--",(Table645[[#This Row],[Column73]]*$BV$4*(IF(J55&lt;0.5001,1,IF(J55&lt;2.0001,2,3)))+BV55/$BV$3)/60/24)</f>
        <v>--</v>
      </c>
      <c r="BX55" s="92">
        <f>IF(Table645[[#This Row],[Column75]]="--",0,Table645[[#This Row],[Column4]]*Table645[[#This Row],[Column75]])</f>
        <v>0</v>
      </c>
      <c r="BY55" s="95" t="s">
        <v>70</v>
      </c>
      <c r="BZ55" s="91" t="str">
        <f>IF(Table645[[#This Row],[Column74]]=0,"--",BW55*$BY$3)</f>
        <v>--</v>
      </c>
      <c r="CA55" s="89">
        <f>IF(Table645[[#This Row],[Column78]]="--",0,Table645[[#This Row],[Column4]]*Table645[[#This Row],[Column78]])</f>
        <v>0</v>
      </c>
      <c r="CB55" s="95" t="s">
        <v>70</v>
      </c>
      <c r="CC55" s="91" t="str">
        <f>IF(Table645[[#This Row],[Column10]]+Table645[[#This Row],[Column74]]=0,"--",J55*$CB$4*$CB$5/(24*60)+IF(Table645[[#This Row],[Column74]]=0,0,$CB$3*Table645[[#This Row],[Column75]]))</f>
        <v>--</v>
      </c>
      <c r="CD55" s="92">
        <f>IF(Table645[[#This Row],[Column81]]="--",0,Table645[[#This Row],[Column4]]*Table645[[#This Row],[Column81]])</f>
        <v>0</v>
      </c>
      <c r="CE55" s="215"/>
      <c r="CF55" s="91" t="str">
        <f t="shared" si="19"/>
        <v>--</v>
      </c>
      <c r="CG55" s="92">
        <f>IF(Table645[[#This Row],[Column84]]="--",0,Table645[[#This Row],[Column4]]*Table645[[#This Row],[Column84]])</f>
        <v>0</v>
      </c>
      <c r="CH55" s="226"/>
      <c r="CI55" s="216"/>
      <c r="CJ55" s="91" t="str">
        <f>IF(CI55=0,"--",(Table645[[#This Row],[Column86]]*$CI$4*(IF(W55&lt;0.5001,1,IF(W55&lt;2.0001,2,3)))+CI55/$CI$3)/60/24)</f>
        <v>--</v>
      </c>
      <c r="CK55" s="92">
        <f>IF(Table645[[#This Row],[Column88]]="--",0,Table645[[#This Row],[Column4]]*Table645[[#This Row],[Column88]])</f>
        <v>0</v>
      </c>
      <c r="CL55" s="217"/>
      <c r="CM55" s="91" t="str">
        <f>IF(Table645[[#This Row],[Column87]]=0,"--",CJ55*$CL$3)</f>
        <v>--</v>
      </c>
      <c r="CN55" s="92">
        <f>IF(Table645[[#This Row],[Column91]]="--",0,Table645[[#This Row],[Column4]]*Table645[[#This Row],[Column91]])</f>
        <v>0</v>
      </c>
      <c r="CO55" s="217"/>
      <c r="CP55" s="91" t="str">
        <f>IF(Table645[[#This Row],[Column10]]+Table645[[#This Row],[Column87]]=0, "--", IF($D55="", 1, $D55) * IF($J55="", 1, $J55) * $CO$3 * $CO$4 * IF(Table645[[#This Row],[Column95]]="", 1, Table645[[#This Row],[Column95]]) / (24 * 60))</f>
        <v>--</v>
      </c>
      <c r="CQ55" s="164"/>
      <c r="CR55" s="92">
        <f>IF(Table645[[#This Row],[Column94]]="--",0,Table645[[#This Row],[Column4]]*Table645[[#This Row],[Column94]])</f>
        <v>0</v>
      </c>
      <c r="CS55" s="218" t="str">
        <f>IF(Table645[[#This Row],[Column87]]="","",Table645[[#This Row],[Column87]])</f>
        <v/>
      </c>
      <c r="CT55" s="91" t="str">
        <f>IF(Table645[[#This Row],[Column97]]="","--",Table645[[#This Row],[Column97]]/$CS$3/60/24)</f>
        <v>--</v>
      </c>
      <c r="CU55" s="92">
        <f>IF(Table645[[#This Row],[Column98]]="--",0,Table645[[#This Row],[Column4]]*Table645[[#This Row],[Column98]])</f>
        <v>0</v>
      </c>
      <c r="CV55" s="93"/>
      <c r="CW55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55" s="91" t="str">
        <f>IF(OR(Table645[[#This Row],[Column74]]&gt;0,Table645[[#This Row],[Column87]]&gt;0),(Table645[[#This Row],[Column73]]+Table645[[#This Row],[Column86]]+1)*$CW$3/60/24,"--")</f>
        <v>--</v>
      </c>
      <c r="CY55" s="92">
        <f>IF(Table645[[#This Row],[Column102]]="--",0,Table645[[#This Row],[Column4]]*Table645[[#This Row],[Column102]])</f>
        <v>0</v>
      </c>
      <c r="CZ55" s="158" t="str">
        <f t="shared" si="50"/>
        <v>--</v>
      </c>
      <c r="DA55" s="153"/>
      <c r="DB55" s="160">
        <f>IF(Table645[[#This Row],[Column104]]="--",0,Table645[[#This Row],[Column4]]*Table645[[#This Row],[Column104]])</f>
        <v>0</v>
      </c>
      <c r="DC55" s="219"/>
      <c r="DD55" s="220" t="str">
        <f>IF(DC55=0,"--",1/$DC$3*1000/(60*60*24)*Table645[[#This Row],[Column107]])</f>
        <v>--</v>
      </c>
      <c r="DE55" s="160">
        <f>IF(Table645[[#This Row],[Column108]]="--",0,Table645[[#This Row],[Column4]]*Table645[[#This Row],[Column108]])</f>
        <v>0</v>
      </c>
      <c r="DF55" s="101" t="s">
        <v>70</v>
      </c>
      <c r="DG55" s="91" t="str">
        <f t="shared" si="51"/>
        <v>--</v>
      </c>
      <c r="DH55" s="89">
        <f>IF(Table645[[#This Row],[Column111]]="--",0,Table645[[#This Row],[Column4]]*Table645[[#This Row],[Column111]])</f>
        <v>0</v>
      </c>
      <c r="DI55" s="96"/>
      <c r="DJ55" s="96"/>
      <c r="DK55" s="96"/>
      <c r="DL55" s="96"/>
      <c r="DM55" s="96"/>
      <c r="DN55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55" s="89">
        <f>IF(Table645[[#This Row],[Column118]]="--",0,Table645[[#This Row],[Column4]]*Table645[[#This Row],[Column118]])</f>
        <v>0</v>
      </c>
      <c r="DP55" s="96"/>
      <c r="DQ55" s="96"/>
      <c r="DR55" s="91" t="str">
        <f t="shared" si="52"/>
        <v>--</v>
      </c>
      <c r="DS55" s="89">
        <f>IF(Table645[[#This Row],[Column122]]="--",0,Table645[[#This Row],[Column4]]*Table645[[#This Row],[Column122]])</f>
        <v>0</v>
      </c>
      <c r="DT55" t="str">
        <f>IF(Table645[[#This Row],[Column125]]=0,"--",Table645[[#This Row],[Column125]]*Table645[[#This Row],[Column126]]*Table645[[#This Row],[Column127]]/1000000000)</f>
        <v>--</v>
      </c>
      <c r="DU55" s="53"/>
      <c r="DV55" s="53"/>
      <c r="DW55" s="53"/>
      <c r="DX55" s="91" t="str">
        <f t="shared" si="53"/>
        <v>--</v>
      </c>
      <c r="DY55" s="89">
        <f>IF(Table645[[#This Row],[Column128]]="--",0,Table645[[#This Row],[Column4]]*Table645[[#This Row],[Column128]])</f>
        <v>0</v>
      </c>
      <c r="EA55" s="89">
        <f>IF(Table645[[#This Row],[Column128]]="--",0,Table645[[#This Row],[Column4]]*Table645[[#This Row],[Column128]])</f>
        <v>0</v>
      </c>
      <c r="EC55" s="89">
        <f>IF(Table645[[#This Row],[Column128]]="--",0,Table645[[#This Row],[Column4]]*Table645[[#This Row],[Column128]])</f>
        <v>0</v>
      </c>
      <c r="EE55" s="89">
        <f>IF(Table645[[#This Row],[Column128]]="--",0,Table645[[#This Row],[Column4]]*Table645[[#This Row],[Column128]])</f>
        <v>0</v>
      </c>
      <c r="EG55" s="89">
        <f>IF(Table645[[#This Row],[Column128]]="--",0,Table645[[#This Row],[Column4]]*Table645[[#This Row],[Column128]])</f>
        <v>0</v>
      </c>
      <c r="EI55" s="89">
        <f>IF(Table645[[#This Row],[Column128]]="--",0,Table645[[#This Row],[Column4]]*Table645[[#This Row],[Column128]])</f>
        <v>0</v>
      </c>
    </row>
    <row r="56" spans="1:139" x14ac:dyDescent="0.25">
      <c r="A56" s="140"/>
      <c r="B56" s="79"/>
      <c r="C56" s="140"/>
      <c r="D56" s="167"/>
      <c r="E56" s="52"/>
      <c r="F56" s="81"/>
      <c r="G56" s="81"/>
      <c r="H56" s="102" t="str">
        <f t="shared" si="44"/>
        <v>--</v>
      </c>
      <c r="I56" s="100">
        <f>IF(Table645[[#This Row],[Column8]]="--",0,Table645[[#This Row],[Column4]]*Table645[[#This Row],[Column8]])</f>
        <v>0</v>
      </c>
      <c r="J56" s="169"/>
      <c r="K56" s="85">
        <f>Table645[[#This Row],[Column4]]*Table645[[#This Row],[Column10]]</f>
        <v>0</v>
      </c>
      <c r="L56" s="170" t="str">
        <f t="shared" si="45"/>
        <v>--</v>
      </c>
      <c r="M56" s="214">
        <f>IF(Table645[[#This Row],[Column10]]=0,0,Table645[[#This Row],[Column4]]*Table645[[#This Row],[Column12]])</f>
        <v>0</v>
      </c>
      <c r="N56" s="87" t="str">
        <f t="shared" si="46"/>
        <v>--</v>
      </c>
      <c r="O56" s="138"/>
      <c r="AZ56" s="89">
        <f>IF(Table645[[#This Row],[Column14]]="--",0,Table645[[#This Row],[Column4]]*Table645[[#This Row],[Column14]])</f>
        <v>0</v>
      </c>
      <c r="BA56" s="90"/>
      <c r="BB56" s="91" t="str">
        <f>IF(BA56=0,"--",BA56*$BA$3*IF(Table645[[#This Row],[Column5]]&lt;4.1,1,2)/60/24)</f>
        <v>--</v>
      </c>
      <c r="BC56" s="92">
        <f>IF(Table645[[#This Row],[Column54]]="--",0,Table645[[#This Row],[Column4]]*Table645[[#This Row],[Column54]])</f>
        <v>0</v>
      </c>
      <c r="BD56" s="119"/>
      <c r="BE56" s="119"/>
      <c r="BF56" s="119"/>
      <c r="BG56" s="91" t="str">
        <f>IF(BD56+Table645[[#This Row],[Column58]]=0,"--",(BD56*$BF$3*Table645[[#This Row],[Column57]]+Table645[[#This Row],[Column58]]*$BF$4)/60/24)</f>
        <v>--</v>
      </c>
      <c r="BH56" s="92">
        <f>IF(Table645[[#This Row],[Column59]]="--",0,Table645[[#This Row],[Column4]]*Table645[[#This Row],[Column59]])</f>
        <v>0</v>
      </c>
      <c r="BI56" s="119"/>
      <c r="BJ56" s="91" t="str">
        <f t="shared" si="15"/>
        <v>--</v>
      </c>
      <c r="BK56" s="92">
        <f>IF(Table645[[#This Row],[Column62]]="--",0,Table645[[#This Row],[Column4]]*Table645[[#This Row],[Column62]])</f>
        <v>0</v>
      </c>
      <c r="BL56" s="93"/>
      <c r="BM56" s="91" t="str">
        <f t="shared" si="47"/>
        <v>--</v>
      </c>
      <c r="BN56" s="89">
        <f>IF(Table645[[#This Row],[Column65]]="--",0,Table645[[#This Row],[Column4]]*Table645[[#This Row],[Column65]])</f>
        <v>0</v>
      </c>
      <c r="BO56" s="163"/>
      <c r="BP56" s="164" t="str">
        <f t="shared" si="48"/>
        <v>--</v>
      </c>
      <c r="BQ56" s="160">
        <f>IF(Table645[[#This Row],[Column68]]="--",0,Table645[[#This Row],[Column4]]*Table645[[#This Row],[Column68]])</f>
        <v>0</v>
      </c>
      <c r="BR56" s="94"/>
      <c r="BS56" s="91" t="str">
        <f t="shared" si="49"/>
        <v>--</v>
      </c>
      <c r="BT56" s="92">
        <f>IF(Table645[[#This Row],[Column71]]="--",0,Table645[[#This Row],[Column4]]*Table645[[#This Row],[Column71]])</f>
        <v>0</v>
      </c>
      <c r="BU56" s="44"/>
      <c r="BV56" s="90"/>
      <c r="BW56" s="91" t="str">
        <f>IF(BV56=0,"--",(Table645[[#This Row],[Column73]]*$BV$4*(IF(J56&lt;0.5001,1,IF(J56&lt;2.0001,2,3)))+BV56/$BV$3)/60/24)</f>
        <v>--</v>
      </c>
      <c r="BX56" s="92">
        <f>IF(Table645[[#This Row],[Column75]]="--",0,Table645[[#This Row],[Column4]]*Table645[[#This Row],[Column75]])</f>
        <v>0</v>
      </c>
      <c r="BY56" s="95" t="s">
        <v>70</v>
      </c>
      <c r="BZ56" s="91" t="str">
        <f>IF(Table645[[#This Row],[Column74]]=0,"--",BW56*$BY$3)</f>
        <v>--</v>
      </c>
      <c r="CA56" s="89">
        <f>IF(Table645[[#This Row],[Column78]]="--",0,Table645[[#This Row],[Column4]]*Table645[[#This Row],[Column78]])</f>
        <v>0</v>
      </c>
      <c r="CB56" s="95" t="s">
        <v>70</v>
      </c>
      <c r="CC56" s="91" t="str">
        <f>IF(Table645[[#This Row],[Column10]]+Table645[[#This Row],[Column74]]=0,"--",J56*$CB$4*$CB$5/(24*60)+IF(Table645[[#This Row],[Column74]]=0,0,$CB$3*Table645[[#This Row],[Column75]]))</f>
        <v>--</v>
      </c>
      <c r="CD56" s="92">
        <f>IF(Table645[[#This Row],[Column81]]="--",0,Table645[[#This Row],[Column4]]*Table645[[#This Row],[Column81]])</f>
        <v>0</v>
      </c>
      <c r="CE56" s="215"/>
      <c r="CF56" s="91" t="str">
        <f t="shared" si="19"/>
        <v>--</v>
      </c>
      <c r="CG56" s="92">
        <f>IF(Table645[[#This Row],[Column84]]="--",0,Table645[[#This Row],[Column4]]*Table645[[#This Row],[Column84]])</f>
        <v>0</v>
      </c>
      <c r="CH56" s="226"/>
      <c r="CI56" s="216"/>
      <c r="CJ56" s="91" t="str">
        <f>IF(CI56=0,"--",(Table645[[#This Row],[Column86]]*$CI$4*(IF(W56&lt;0.5001,1,IF(W56&lt;2.0001,2,3)))+CI56/$CI$3)/60/24)</f>
        <v>--</v>
      </c>
      <c r="CK56" s="92">
        <f>IF(Table645[[#This Row],[Column88]]="--",0,Table645[[#This Row],[Column4]]*Table645[[#This Row],[Column88]])</f>
        <v>0</v>
      </c>
      <c r="CL56" s="217"/>
      <c r="CM56" s="91" t="str">
        <f>IF(Table645[[#This Row],[Column87]]=0,"--",CJ56*$CL$3)</f>
        <v>--</v>
      </c>
      <c r="CN56" s="92">
        <f>IF(Table645[[#This Row],[Column91]]="--",0,Table645[[#This Row],[Column4]]*Table645[[#This Row],[Column91]])</f>
        <v>0</v>
      </c>
      <c r="CO56" s="217"/>
      <c r="CP56" s="91" t="str">
        <f>IF(Table645[[#This Row],[Column10]]+Table645[[#This Row],[Column87]]=0, "--", IF($D56="", 1, $D56) * IF($J56="", 1, $J56) * $CO$3 * $CO$4 * IF(Table645[[#This Row],[Column95]]="", 1, Table645[[#This Row],[Column95]]) / (24 * 60))</f>
        <v>--</v>
      </c>
      <c r="CQ56" s="164"/>
      <c r="CR56" s="92">
        <f>IF(Table645[[#This Row],[Column94]]="--",0,Table645[[#This Row],[Column4]]*Table645[[#This Row],[Column94]])</f>
        <v>0</v>
      </c>
      <c r="CS56" s="218" t="str">
        <f>IF(Table645[[#This Row],[Column87]]="","",Table645[[#This Row],[Column87]])</f>
        <v/>
      </c>
      <c r="CT56" s="91" t="str">
        <f>IF(Table645[[#This Row],[Column97]]="","--",Table645[[#This Row],[Column97]]/$CS$3/60/24)</f>
        <v>--</v>
      </c>
      <c r="CU56" s="92">
        <f>IF(Table645[[#This Row],[Column98]]="--",0,Table645[[#This Row],[Column4]]*Table645[[#This Row],[Column98]])</f>
        <v>0</v>
      </c>
      <c r="CV56" s="93"/>
      <c r="CW56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56" s="91" t="str">
        <f>IF(OR(Table645[[#This Row],[Column74]]&gt;0,Table645[[#This Row],[Column87]]&gt;0),(Table645[[#This Row],[Column73]]+Table645[[#This Row],[Column86]]+1)*$CW$3/60/24,"--")</f>
        <v>--</v>
      </c>
      <c r="CY56" s="92">
        <f>IF(Table645[[#This Row],[Column102]]="--",0,Table645[[#This Row],[Column4]]*Table645[[#This Row],[Column102]])</f>
        <v>0</v>
      </c>
      <c r="CZ56" s="158" t="str">
        <f t="shared" si="50"/>
        <v>--</v>
      </c>
      <c r="DA56" s="153"/>
      <c r="DB56" s="160">
        <f>IF(Table645[[#This Row],[Column104]]="--",0,Table645[[#This Row],[Column4]]*Table645[[#This Row],[Column104]])</f>
        <v>0</v>
      </c>
      <c r="DC56" s="219"/>
      <c r="DD56" s="220" t="str">
        <f>IF(DC56=0,"--",1/$DC$3*1000/(60*60*24)*Table645[[#This Row],[Column107]])</f>
        <v>--</v>
      </c>
      <c r="DE56" s="160">
        <f>IF(Table645[[#This Row],[Column108]]="--",0,Table645[[#This Row],[Column4]]*Table645[[#This Row],[Column108]])</f>
        <v>0</v>
      </c>
      <c r="DF56" s="101" t="s">
        <v>70</v>
      </c>
      <c r="DG56" s="91" t="str">
        <f t="shared" si="51"/>
        <v>--</v>
      </c>
      <c r="DH56" s="89">
        <f>IF(Table645[[#This Row],[Column111]]="--",0,Table645[[#This Row],[Column4]]*Table645[[#This Row],[Column111]])</f>
        <v>0</v>
      </c>
      <c r="DI56" s="96"/>
      <c r="DJ56" s="96"/>
      <c r="DK56" s="96"/>
      <c r="DL56" s="96"/>
      <c r="DM56" s="96"/>
      <c r="DN56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56" s="89">
        <f>IF(Table645[[#This Row],[Column118]]="--",0,Table645[[#This Row],[Column4]]*Table645[[#This Row],[Column118]])</f>
        <v>0</v>
      </c>
      <c r="DP56" s="96"/>
      <c r="DQ56" s="96"/>
      <c r="DR56" s="91" t="str">
        <f t="shared" si="52"/>
        <v>--</v>
      </c>
      <c r="DS56" s="89">
        <f>IF(Table645[[#This Row],[Column122]]="--",0,Table645[[#This Row],[Column4]]*Table645[[#This Row],[Column122]])</f>
        <v>0</v>
      </c>
      <c r="DT56" t="str">
        <f>IF(Table645[[#This Row],[Column125]]=0,"--",Table645[[#This Row],[Column125]]*Table645[[#This Row],[Column126]]*Table645[[#This Row],[Column127]]/1000000000)</f>
        <v>--</v>
      </c>
      <c r="DU56" s="53"/>
      <c r="DV56" s="53"/>
      <c r="DW56" s="53"/>
      <c r="DX56" s="91" t="str">
        <f t="shared" si="53"/>
        <v>--</v>
      </c>
      <c r="DY56" s="89">
        <f>IF(Table645[[#This Row],[Column128]]="--",0,Table645[[#This Row],[Column4]]*Table645[[#This Row],[Column128]])</f>
        <v>0</v>
      </c>
      <c r="EA56" s="89">
        <f>IF(Table645[[#This Row],[Column128]]="--",0,Table645[[#This Row],[Column4]]*Table645[[#This Row],[Column128]])</f>
        <v>0</v>
      </c>
      <c r="EC56" s="89">
        <f>IF(Table645[[#This Row],[Column128]]="--",0,Table645[[#This Row],[Column4]]*Table645[[#This Row],[Column128]])</f>
        <v>0</v>
      </c>
      <c r="EE56" s="89">
        <f>IF(Table645[[#This Row],[Column128]]="--",0,Table645[[#This Row],[Column4]]*Table645[[#This Row],[Column128]])</f>
        <v>0</v>
      </c>
      <c r="EG56" s="89">
        <f>IF(Table645[[#This Row],[Column128]]="--",0,Table645[[#This Row],[Column4]]*Table645[[#This Row],[Column128]])</f>
        <v>0</v>
      </c>
      <c r="EI56" s="89">
        <f>IF(Table645[[#This Row],[Column128]]="--",0,Table645[[#This Row],[Column4]]*Table645[[#This Row],[Column128]])</f>
        <v>0</v>
      </c>
    </row>
    <row r="57" spans="1:139" x14ac:dyDescent="0.25">
      <c r="A57" s="140"/>
      <c r="B57" s="79"/>
      <c r="C57" s="140"/>
      <c r="D57" s="167"/>
      <c r="E57" s="52"/>
      <c r="F57" s="81"/>
      <c r="G57" s="81"/>
      <c r="H57" s="102" t="str">
        <f t="shared" si="44"/>
        <v>--</v>
      </c>
      <c r="I57" s="100">
        <f>IF(Table645[[#This Row],[Column8]]="--",0,Table645[[#This Row],[Column4]]*Table645[[#This Row],[Column8]])</f>
        <v>0</v>
      </c>
      <c r="J57" s="169"/>
      <c r="K57" s="85">
        <f>Table645[[#This Row],[Column4]]*Table645[[#This Row],[Column10]]</f>
        <v>0</v>
      </c>
      <c r="L57" s="170" t="str">
        <f t="shared" si="45"/>
        <v>--</v>
      </c>
      <c r="M57" s="214">
        <f>IF(Table645[[#This Row],[Column10]]=0,0,Table645[[#This Row],[Column4]]*Table645[[#This Row],[Column12]])</f>
        <v>0</v>
      </c>
      <c r="N57" s="87" t="str">
        <f t="shared" si="46"/>
        <v>--</v>
      </c>
      <c r="O57" s="138"/>
      <c r="AZ57" s="89">
        <f>IF(Table645[[#This Row],[Column14]]="--",0,Table645[[#This Row],[Column4]]*Table645[[#This Row],[Column14]])</f>
        <v>0</v>
      </c>
      <c r="BA57" s="90"/>
      <c r="BB57" s="91" t="str">
        <f>IF(BA57=0,"--",BA57*$BA$3*IF(Table645[[#This Row],[Column5]]&lt;4.1,1,2)/60/24)</f>
        <v>--</v>
      </c>
      <c r="BC57" s="92">
        <f>IF(Table645[[#This Row],[Column54]]="--",0,Table645[[#This Row],[Column4]]*Table645[[#This Row],[Column54]])</f>
        <v>0</v>
      </c>
      <c r="BD57" s="119"/>
      <c r="BE57" s="119"/>
      <c r="BF57" s="119"/>
      <c r="BG57" s="91" t="str">
        <f>IF(BD57+Table645[[#This Row],[Column58]]=0,"--",(BD57*$BF$3*Table645[[#This Row],[Column57]]+Table645[[#This Row],[Column58]]*$BF$4)/60/24)</f>
        <v>--</v>
      </c>
      <c r="BH57" s="92">
        <f>IF(Table645[[#This Row],[Column59]]="--",0,Table645[[#This Row],[Column4]]*Table645[[#This Row],[Column59]])</f>
        <v>0</v>
      </c>
      <c r="BI57" s="119"/>
      <c r="BJ57" s="91" t="str">
        <f t="shared" si="15"/>
        <v>--</v>
      </c>
      <c r="BK57" s="92">
        <f>IF(Table645[[#This Row],[Column62]]="--",0,Table645[[#This Row],[Column4]]*Table645[[#This Row],[Column62]])</f>
        <v>0</v>
      </c>
      <c r="BL57" s="93"/>
      <c r="BM57" s="91" t="str">
        <f t="shared" si="47"/>
        <v>--</v>
      </c>
      <c r="BN57" s="89">
        <f>IF(Table645[[#This Row],[Column65]]="--",0,Table645[[#This Row],[Column4]]*Table645[[#This Row],[Column65]])</f>
        <v>0</v>
      </c>
      <c r="BO57" s="163"/>
      <c r="BP57" s="164" t="str">
        <f t="shared" si="48"/>
        <v>--</v>
      </c>
      <c r="BQ57" s="160">
        <f>IF(Table645[[#This Row],[Column68]]="--",0,Table645[[#This Row],[Column4]]*Table645[[#This Row],[Column68]])</f>
        <v>0</v>
      </c>
      <c r="BR57" s="94"/>
      <c r="BS57" s="91" t="str">
        <f t="shared" si="49"/>
        <v>--</v>
      </c>
      <c r="BT57" s="92">
        <f>IF(Table645[[#This Row],[Column71]]="--",0,Table645[[#This Row],[Column4]]*Table645[[#This Row],[Column71]])</f>
        <v>0</v>
      </c>
      <c r="BU57" s="44"/>
      <c r="BV57" s="90"/>
      <c r="BW57" s="91" t="str">
        <f>IF(BV57=0,"--",(Table645[[#This Row],[Column73]]*$BV$4*(IF(J57&lt;0.5001,1,IF(J57&lt;2.0001,2,3)))+BV57/$BV$3)/60/24)</f>
        <v>--</v>
      </c>
      <c r="BX57" s="92">
        <f>IF(Table645[[#This Row],[Column75]]="--",0,Table645[[#This Row],[Column4]]*Table645[[#This Row],[Column75]])</f>
        <v>0</v>
      </c>
      <c r="BY57" s="95" t="s">
        <v>70</v>
      </c>
      <c r="BZ57" s="91" t="str">
        <f>IF(Table645[[#This Row],[Column74]]=0,"--",BW57*$BY$3)</f>
        <v>--</v>
      </c>
      <c r="CA57" s="89">
        <f>IF(Table645[[#This Row],[Column78]]="--",0,Table645[[#This Row],[Column4]]*Table645[[#This Row],[Column78]])</f>
        <v>0</v>
      </c>
      <c r="CB57" s="95" t="s">
        <v>70</v>
      </c>
      <c r="CC57" s="91" t="str">
        <f>IF(Table645[[#This Row],[Column10]]+Table645[[#This Row],[Column74]]=0,"--",J57*$CB$4*$CB$5/(24*60)+IF(Table645[[#This Row],[Column74]]=0,0,$CB$3*Table645[[#This Row],[Column75]]))</f>
        <v>--</v>
      </c>
      <c r="CD57" s="92">
        <f>IF(Table645[[#This Row],[Column81]]="--",0,Table645[[#This Row],[Column4]]*Table645[[#This Row],[Column81]])</f>
        <v>0</v>
      </c>
      <c r="CE57" s="215"/>
      <c r="CF57" s="91" t="str">
        <f t="shared" si="19"/>
        <v>--</v>
      </c>
      <c r="CG57" s="92">
        <f>IF(Table645[[#This Row],[Column84]]="--",0,Table645[[#This Row],[Column4]]*Table645[[#This Row],[Column84]])</f>
        <v>0</v>
      </c>
      <c r="CH57" s="226"/>
      <c r="CI57" s="216"/>
      <c r="CJ57" s="91" t="str">
        <f>IF(CI57=0,"--",(Table645[[#This Row],[Column86]]*$CI$4*(IF(W57&lt;0.5001,1,IF(W57&lt;2.0001,2,3)))+CI57/$CI$3)/60/24)</f>
        <v>--</v>
      </c>
      <c r="CK57" s="92">
        <f>IF(Table645[[#This Row],[Column88]]="--",0,Table645[[#This Row],[Column4]]*Table645[[#This Row],[Column88]])</f>
        <v>0</v>
      </c>
      <c r="CL57" s="217"/>
      <c r="CM57" s="91" t="str">
        <f>IF(Table645[[#This Row],[Column87]]=0,"--",CJ57*$CL$3)</f>
        <v>--</v>
      </c>
      <c r="CN57" s="92">
        <f>IF(Table645[[#This Row],[Column91]]="--",0,Table645[[#This Row],[Column4]]*Table645[[#This Row],[Column91]])</f>
        <v>0</v>
      </c>
      <c r="CO57" s="217"/>
      <c r="CP57" s="91" t="str">
        <f>IF(Table645[[#This Row],[Column10]]+Table645[[#This Row],[Column87]]=0, "--", IF($D57="", 1, $D57) * IF($J57="", 1, $J57) * $CO$3 * $CO$4 * IF(Table645[[#This Row],[Column95]]="", 1, Table645[[#This Row],[Column95]]) / (24 * 60))</f>
        <v>--</v>
      </c>
      <c r="CQ57" s="164"/>
      <c r="CR57" s="92">
        <f>IF(Table645[[#This Row],[Column94]]="--",0,Table645[[#This Row],[Column4]]*Table645[[#This Row],[Column94]])</f>
        <v>0</v>
      </c>
      <c r="CS57" s="218" t="str">
        <f>IF(Table645[[#This Row],[Column87]]="","",Table645[[#This Row],[Column87]])</f>
        <v/>
      </c>
      <c r="CT57" s="91" t="str">
        <f>IF(Table645[[#This Row],[Column97]]="","--",Table645[[#This Row],[Column97]]/$CS$3/60/24)</f>
        <v>--</v>
      </c>
      <c r="CU57" s="92">
        <f>IF(Table645[[#This Row],[Column98]]="--",0,Table645[[#This Row],[Column4]]*Table645[[#This Row],[Column98]])</f>
        <v>0</v>
      </c>
      <c r="CV57" s="93"/>
      <c r="CW57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57" s="91" t="str">
        <f>IF(OR(Table645[[#This Row],[Column74]]&gt;0,Table645[[#This Row],[Column87]]&gt;0),(Table645[[#This Row],[Column73]]+Table645[[#This Row],[Column86]]+1)*$CW$3/60/24,"--")</f>
        <v>--</v>
      </c>
      <c r="CY57" s="92">
        <f>IF(Table645[[#This Row],[Column102]]="--",0,Table645[[#This Row],[Column4]]*Table645[[#This Row],[Column102]])</f>
        <v>0</v>
      </c>
      <c r="CZ57" s="158" t="str">
        <f t="shared" si="50"/>
        <v>--</v>
      </c>
      <c r="DA57" s="153"/>
      <c r="DB57" s="160">
        <f>IF(Table645[[#This Row],[Column104]]="--",0,Table645[[#This Row],[Column4]]*Table645[[#This Row],[Column104]])</f>
        <v>0</v>
      </c>
      <c r="DC57" s="219"/>
      <c r="DD57" s="220" t="str">
        <f>IF(DC57=0,"--",1/$DC$3*1000/(60*60*24)*Table645[[#This Row],[Column107]])</f>
        <v>--</v>
      </c>
      <c r="DE57" s="160">
        <f>IF(Table645[[#This Row],[Column108]]="--",0,Table645[[#This Row],[Column4]]*Table645[[#This Row],[Column108]])</f>
        <v>0</v>
      </c>
      <c r="DF57" s="101" t="s">
        <v>70</v>
      </c>
      <c r="DG57" s="91" t="str">
        <f t="shared" si="51"/>
        <v>--</v>
      </c>
      <c r="DH57" s="89">
        <f>IF(Table645[[#This Row],[Column111]]="--",0,Table645[[#This Row],[Column4]]*Table645[[#This Row],[Column111]])</f>
        <v>0</v>
      </c>
      <c r="DI57" s="96"/>
      <c r="DJ57" s="96"/>
      <c r="DK57" s="96"/>
      <c r="DL57" s="96"/>
      <c r="DM57" s="96"/>
      <c r="DN57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57" s="89">
        <f>IF(Table645[[#This Row],[Column118]]="--",0,Table645[[#This Row],[Column4]]*Table645[[#This Row],[Column118]])</f>
        <v>0</v>
      </c>
      <c r="DP57" s="96"/>
      <c r="DQ57" s="96"/>
      <c r="DR57" s="91" t="str">
        <f t="shared" si="52"/>
        <v>--</v>
      </c>
      <c r="DS57" s="89">
        <f>IF(Table645[[#This Row],[Column122]]="--",0,Table645[[#This Row],[Column4]]*Table645[[#This Row],[Column122]])</f>
        <v>0</v>
      </c>
      <c r="DT57" t="str">
        <f>IF(Table645[[#This Row],[Column125]]=0,"--",Table645[[#This Row],[Column125]]*Table645[[#This Row],[Column126]]*Table645[[#This Row],[Column127]]/1000000000)</f>
        <v>--</v>
      </c>
      <c r="DU57" s="53"/>
      <c r="DV57" s="53"/>
      <c r="DW57" s="53"/>
      <c r="DX57" s="91" t="str">
        <f t="shared" si="53"/>
        <v>--</v>
      </c>
      <c r="DY57" s="89">
        <f>IF(Table645[[#This Row],[Column128]]="--",0,Table645[[#This Row],[Column4]]*Table645[[#This Row],[Column128]])</f>
        <v>0</v>
      </c>
      <c r="EA57" s="89">
        <f>IF(Table645[[#This Row],[Column128]]="--",0,Table645[[#This Row],[Column4]]*Table645[[#This Row],[Column128]])</f>
        <v>0</v>
      </c>
      <c r="EC57" s="89">
        <f>IF(Table645[[#This Row],[Column128]]="--",0,Table645[[#This Row],[Column4]]*Table645[[#This Row],[Column128]])</f>
        <v>0</v>
      </c>
      <c r="EE57" s="89">
        <f>IF(Table645[[#This Row],[Column128]]="--",0,Table645[[#This Row],[Column4]]*Table645[[#This Row],[Column128]])</f>
        <v>0</v>
      </c>
      <c r="EG57" s="89">
        <f>IF(Table645[[#This Row],[Column128]]="--",0,Table645[[#This Row],[Column4]]*Table645[[#This Row],[Column128]])</f>
        <v>0</v>
      </c>
      <c r="EI57" s="89">
        <f>IF(Table645[[#This Row],[Column128]]="--",0,Table645[[#This Row],[Column4]]*Table645[[#This Row],[Column128]])</f>
        <v>0</v>
      </c>
    </row>
    <row r="58" spans="1:139" x14ac:dyDescent="0.25">
      <c r="A58" s="140"/>
      <c r="B58" s="79"/>
      <c r="C58" s="140"/>
      <c r="D58" s="167"/>
      <c r="E58" s="52"/>
      <c r="F58" s="81"/>
      <c r="G58" s="81"/>
      <c r="H58" s="102" t="str">
        <f t="shared" ref="H58:H72" si="54">IF(E58&gt;0,E58*F58*G58/1000000*8*(1+$H$4),"--")</f>
        <v>--</v>
      </c>
      <c r="I58" s="100">
        <f>IF(Table645[[#This Row],[Column8]]="--",0,Table645[[#This Row],[Column4]]*Table645[[#This Row],[Column8]])</f>
        <v>0</v>
      </c>
      <c r="J58" s="169"/>
      <c r="K58" s="85">
        <f>Table645[[#This Row],[Column4]]*Table645[[#This Row],[Column10]]</f>
        <v>0</v>
      </c>
      <c r="L58" s="170" t="str">
        <f t="shared" ref="L58:L72" si="55">IF(J58=0,"--",J58/$J$3)</f>
        <v>--</v>
      </c>
      <c r="M58" s="214">
        <f>IF(Table645[[#This Row],[Column10]]=0,0,Table645[[#This Row],[Column4]]*Table645[[#This Row],[Column12]])</f>
        <v>0</v>
      </c>
      <c r="N58" s="87" t="str">
        <f t="shared" ref="N58:N72" si="56">IF(SUM(Q58:AX58)=0,"--",(Q58/$Q$4+T58/$T$4+W58/$W$4+Z58/$Z$4+AC58/$AC$4+AF58/$AF$4+AI58/$AI$4+AL58/$AL$4+AO58/$AO$4+AR58/$AR$4+AU58/$AU$4+AX58/$AX$4)/60/24)</f>
        <v>--</v>
      </c>
      <c r="O58" s="138"/>
      <c r="AZ58" s="89">
        <f>IF(Table645[[#This Row],[Column14]]="--",0,Table645[[#This Row],[Column4]]*Table645[[#This Row],[Column14]])</f>
        <v>0</v>
      </c>
      <c r="BA58" s="90"/>
      <c r="BB58" s="91" t="str">
        <f>IF(BA58=0,"--",BA58*$BA$3*IF(Table645[[#This Row],[Column5]]&lt;4.1,1,2)/60/24)</f>
        <v>--</v>
      </c>
      <c r="BC58" s="92">
        <f>IF(Table645[[#This Row],[Column54]]="--",0,Table645[[#This Row],[Column4]]*Table645[[#This Row],[Column54]])</f>
        <v>0</v>
      </c>
      <c r="BD58" s="119"/>
      <c r="BE58" s="119"/>
      <c r="BF58" s="119"/>
      <c r="BG58" s="91" t="str">
        <f>IF(BD58+Table645[[#This Row],[Column58]]=0,"--",(BD58*$BF$3*Table645[[#This Row],[Column57]]+Table645[[#This Row],[Column58]]*$BF$4)/60/24)</f>
        <v>--</v>
      </c>
      <c r="BH58" s="92">
        <f>IF(Table645[[#This Row],[Column59]]="--",0,Table645[[#This Row],[Column4]]*Table645[[#This Row],[Column59]])</f>
        <v>0</v>
      </c>
      <c r="BI58" s="119"/>
      <c r="BJ58" s="91" t="str">
        <f t="shared" si="15"/>
        <v>--</v>
      </c>
      <c r="BK58" s="92">
        <f>IF(Table645[[#This Row],[Column62]]="--",0,Table645[[#This Row],[Column4]]*Table645[[#This Row],[Column62]])</f>
        <v>0</v>
      </c>
      <c r="BL58" s="93"/>
      <c r="BM58" s="91" t="str">
        <f t="shared" ref="BM58:BM72" si="57">IF(BL58=0,"--",BL58*$BL$3/60/60/24)</f>
        <v>--</v>
      </c>
      <c r="BN58" s="89">
        <f>IF(Table645[[#This Row],[Column65]]="--",0,Table645[[#This Row],[Column4]]*Table645[[#This Row],[Column65]])</f>
        <v>0</v>
      </c>
      <c r="BO58" s="163"/>
      <c r="BP58" s="164" t="str">
        <f t="shared" ref="BP58:BP72" si="58">IF(BO58=0,"--",BO58*$BO$3/60/60/24)</f>
        <v>--</v>
      </c>
      <c r="BQ58" s="160">
        <f>IF(Table645[[#This Row],[Column68]]="--",0,Table645[[#This Row],[Column4]]*Table645[[#This Row],[Column68]])</f>
        <v>0</v>
      </c>
      <c r="BR58" s="94"/>
      <c r="BS58" s="91" t="str">
        <f t="shared" ref="BS58:BS72" si="59">IF(BR58=0,"--",BR58*$BR$3/60/60/24)</f>
        <v>--</v>
      </c>
      <c r="BT58" s="92">
        <f>IF(Table645[[#This Row],[Column71]]="--",0,Table645[[#This Row],[Column4]]*Table645[[#This Row],[Column71]])</f>
        <v>0</v>
      </c>
      <c r="BU58" s="44"/>
      <c r="BV58" s="90"/>
      <c r="BW58" s="91" t="str">
        <f>IF(BV58=0,"--",(Table645[[#This Row],[Column73]]*$BV$4*(IF(J58&lt;0.5001,1,IF(J58&lt;2.0001,2,3)))+BV58/$BV$3)/60/24)</f>
        <v>--</v>
      </c>
      <c r="BX58" s="92">
        <f>IF(Table645[[#This Row],[Column75]]="--",0,Table645[[#This Row],[Column4]]*Table645[[#This Row],[Column75]])</f>
        <v>0</v>
      </c>
      <c r="BY58" s="95" t="s">
        <v>70</v>
      </c>
      <c r="BZ58" s="91" t="str">
        <f>IF(Table645[[#This Row],[Column74]]=0,"--",BW58*$BY$3)</f>
        <v>--</v>
      </c>
      <c r="CA58" s="89">
        <f>IF(Table645[[#This Row],[Column78]]="--",0,Table645[[#This Row],[Column4]]*Table645[[#This Row],[Column78]])</f>
        <v>0</v>
      </c>
      <c r="CB58" s="95" t="s">
        <v>70</v>
      </c>
      <c r="CC58" s="91" t="str">
        <f>IF(Table645[[#This Row],[Column10]]+Table645[[#This Row],[Column74]]=0,"--",J58*$CB$4*$CB$5/(24*60)+IF(Table645[[#This Row],[Column74]]=0,0,$CB$3*Table645[[#This Row],[Column75]]))</f>
        <v>--</v>
      </c>
      <c r="CD58" s="92">
        <f>IF(Table645[[#This Row],[Column81]]="--",0,Table645[[#This Row],[Column4]]*Table645[[#This Row],[Column81]])</f>
        <v>0</v>
      </c>
      <c r="CE58" s="215"/>
      <c r="CF58" s="91" t="str">
        <f t="shared" si="19"/>
        <v>--</v>
      </c>
      <c r="CG58" s="92">
        <f>IF(Table645[[#This Row],[Column84]]="--",0,Table645[[#This Row],[Column4]]*Table645[[#This Row],[Column84]])</f>
        <v>0</v>
      </c>
      <c r="CH58" s="226"/>
      <c r="CI58" s="216"/>
      <c r="CJ58" s="91" t="str">
        <f>IF(CI58=0,"--",(Table645[[#This Row],[Column86]]*$CI$4*(IF(W58&lt;0.5001,1,IF(W58&lt;2.0001,2,3)))+CI58/$CI$3)/60/24)</f>
        <v>--</v>
      </c>
      <c r="CK58" s="92">
        <f>IF(Table645[[#This Row],[Column88]]="--",0,Table645[[#This Row],[Column4]]*Table645[[#This Row],[Column88]])</f>
        <v>0</v>
      </c>
      <c r="CL58" s="217"/>
      <c r="CM58" s="91" t="str">
        <f>IF(Table645[[#This Row],[Column87]]=0,"--",CJ58*$CL$3)</f>
        <v>--</v>
      </c>
      <c r="CN58" s="92">
        <f>IF(Table645[[#This Row],[Column91]]="--",0,Table645[[#This Row],[Column4]]*Table645[[#This Row],[Column91]])</f>
        <v>0</v>
      </c>
      <c r="CO58" s="217"/>
      <c r="CP58" s="91" t="str">
        <f>IF(Table645[[#This Row],[Column10]]+Table645[[#This Row],[Column87]]=0, "--", IF($D58="", 1, $D58) * IF($J58="", 1, $J58) * $CO$3 * $CO$4 * IF(Table645[[#This Row],[Column95]]="", 1, Table645[[#This Row],[Column95]]) / (24 * 60))</f>
        <v>--</v>
      </c>
      <c r="CQ58" s="164"/>
      <c r="CR58" s="92">
        <f>IF(Table645[[#This Row],[Column94]]="--",0,Table645[[#This Row],[Column4]]*Table645[[#This Row],[Column94]])</f>
        <v>0</v>
      </c>
      <c r="CS58" s="218" t="str">
        <f>IF(Table645[[#This Row],[Column87]]="","",Table645[[#This Row],[Column87]])</f>
        <v/>
      </c>
      <c r="CT58" s="91" t="str">
        <f>IF(Table645[[#This Row],[Column97]]="","--",Table645[[#This Row],[Column97]]/$CS$3/60/24)</f>
        <v>--</v>
      </c>
      <c r="CU58" s="92">
        <f>IF(Table645[[#This Row],[Column98]]="--",0,Table645[[#This Row],[Column4]]*Table645[[#This Row],[Column98]])</f>
        <v>0</v>
      </c>
      <c r="CV58" s="93"/>
      <c r="CW58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58" s="91" t="str">
        <f>IF(OR(Table645[[#This Row],[Column74]]&gt;0,Table645[[#This Row],[Column87]]&gt;0),(Table645[[#This Row],[Column73]]+Table645[[#This Row],[Column86]]+1)*$CW$3/60/24,"--")</f>
        <v>--</v>
      </c>
      <c r="CY58" s="92">
        <f>IF(Table645[[#This Row],[Column102]]="--",0,Table645[[#This Row],[Column4]]*Table645[[#This Row],[Column102]])</f>
        <v>0</v>
      </c>
      <c r="CZ58" s="158" t="str">
        <f t="shared" ref="CZ58:CZ72" si="60">IF(J58=0,"--",J58/$CZ$3/(24)*DA58)</f>
        <v>--</v>
      </c>
      <c r="DA58" s="153"/>
      <c r="DB58" s="160">
        <f>IF(Table645[[#This Row],[Column104]]="--",0,Table645[[#This Row],[Column4]]*Table645[[#This Row],[Column104]])</f>
        <v>0</v>
      </c>
      <c r="DC58" s="219"/>
      <c r="DD58" s="220" t="str">
        <f>IF(DC58=0,"--",1/$DC$3*1000/(60*60*24)*Table645[[#This Row],[Column107]])</f>
        <v>--</v>
      </c>
      <c r="DE58" s="160">
        <f>IF(Table645[[#This Row],[Column108]]="--",0,Table645[[#This Row],[Column4]]*Table645[[#This Row],[Column108]])</f>
        <v>0</v>
      </c>
      <c r="DF58" s="101" t="s">
        <v>70</v>
      </c>
      <c r="DG58" s="91" t="str">
        <f t="shared" ref="DG58:DG72" si="61">IF(DA58=0,"--",(J58*$DF$3)/60/24)</f>
        <v>--</v>
      </c>
      <c r="DH58" s="89">
        <f>IF(Table645[[#This Row],[Column111]]="--",0,Table645[[#This Row],[Column4]]*Table645[[#This Row],[Column111]])</f>
        <v>0</v>
      </c>
      <c r="DI58" s="96"/>
      <c r="DJ58" s="96"/>
      <c r="DK58" s="96"/>
      <c r="DL58" s="96"/>
      <c r="DM58" s="96"/>
      <c r="DN58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58" s="89">
        <f>IF(Table645[[#This Row],[Column118]]="--",0,Table645[[#This Row],[Column4]]*Table645[[#This Row],[Column118]])</f>
        <v>0</v>
      </c>
      <c r="DP58" s="96"/>
      <c r="DQ58" s="96"/>
      <c r="DR58" s="91" t="str">
        <f t="shared" ref="DR58:DR72" si="62">IF(DP58+DQ58&gt;0,(DP58*$DQ$3+DQ58*$DQ$4)/60/24,IF(DN58="--","--",(DP58*$DQ$3+DQ58*$DQ$4)/60/24))</f>
        <v>--</v>
      </c>
      <c r="DS58" s="89">
        <f>IF(Table645[[#This Row],[Column122]]="--",0,Table645[[#This Row],[Column4]]*Table645[[#This Row],[Column122]])</f>
        <v>0</v>
      </c>
      <c r="DT58" t="str">
        <f>IF(Table645[[#This Row],[Column125]]=0,"--",Table645[[#This Row],[Column125]]*Table645[[#This Row],[Column126]]*Table645[[#This Row],[Column127]]/1000000000)</f>
        <v>--</v>
      </c>
      <c r="DU58" s="53"/>
      <c r="DV58" s="53"/>
      <c r="DW58" s="53"/>
      <c r="DX58" s="91" t="str">
        <f t="shared" ref="DX58:DX72" si="63">IF(DT58="--","--",(1+DT58*$DT$3)/60/24)</f>
        <v>--</v>
      </c>
      <c r="DY58" s="89">
        <f>IF(Table645[[#This Row],[Column128]]="--",0,Table645[[#This Row],[Column4]]*Table645[[#This Row],[Column128]])</f>
        <v>0</v>
      </c>
      <c r="EA58" s="89">
        <f>IF(Table645[[#This Row],[Column128]]="--",0,Table645[[#This Row],[Column4]]*Table645[[#This Row],[Column128]])</f>
        <v>0</v>
      </c>
      <c r="EC58" s="89">
        <f>IF(Table645[[#This Row],[Column128]]="--",0,Table645[[#This Row],[Column4]]*Table645[[#This Row],[Column128]])</f>
        <v>0</v>
      </c>
      <c r="EE58" s="89">
        <f>IF(Table645[[#This Row],[Column128]]="--",0,Table645[[#This Row],[Column4]]*Table645[[#This Row],[Column128]])</f>
        <v>0</v>
      </c>
      <c r="EG58" s="89">
        <f>IF(Table645[[#This Row],[Column128]]="--",0,Table645[[#This Row],[Column4]]*Table645[[#This Row],[Column128]])</f>
        <v>0</v>
      </c>
      <c r="EI58" s="89">
        <f>IF(Table645[[#This Row],[Column128]]="--",0,Table645[[#This Row],[Column4]]*Table645[[#This Row],[Column128]])</f>
        <v>0</v>
      </c>
    </row>
    <row r="59" spans="1:139" x14ac:dyDescent="0.25">
      <c r="A59" s="140"/>
      <c r="B59" s="79"/>
      <c r="C59" s="140"/>
      <c r="D59" s="167"/>
      <c r="E59" s="52"/>
      <c r="F59" s="81"/>
      <c r="G59" s="81"/>
      <c r="H59" s="102" t="str">
        <f t="shared" si="54"/>
        <v>--</v>
      </c>
      <c r="I59" s="100">
        <f>IF(Table645[[#This Row],[Column8]]="--",0,Table645[[#This Row],[Column4]]*Table645[[#This Row],[Column8]])</f>
        <v>0</v>
      </c>
      <c r="J59" s="169"/>
      <c r="K59" s="85">
        <f>Table645[[#This Row],[Column4]]*Table645[[#This Row],[Column10]]</f>
        <v>0</v>
      </c>
      <c r="L59" s="170" t="str">
        <f t="shared" si="55"/>
        <v>--</v>
      </c>
      <c r="M59" s="214">
        <f>IF(Table645[[#This Row],[Column10]]=0,0,Table645[[#This Row],[Column4]]*Table645[[#This Row],[Column12]])</f>
        <v>0</v>
      </c>
      <c r="N59" s="87" t="str">
        <f t="shared" si="56"/>
        <v>--</v>
      </c>
      <c r="O59" s="138"/>
      <c r="AZ59" s="89">
        <f>IF(Table645[[#This Row],[Column14]]="--",0,Table645[[#This Row],[Column4]]*Table645[[#This Row],[Column14]])</f>
        <v>0</v>
      </c>
      <c r="BA59" s="90"/>
      <c r="BB59" s="91" t="str">
        <f>IF(BA59=0,"--",BA59*$BA$3*IF(Table645[[#This Row],[Column5]]&lt;4.1,1,2)/60/24)</f>
        <v>--</v>
      </c>
      <c r="BC59" s="92">
        <f>IF(Table645[[#This Row],[Column54]]="--",0,Table645[[#This Row],[Column4]]*Table645[[#This Row],[Column54]])</f>
        <v>0</v>
      </c>
      <c r="BD59" s="119"/>
      <c r="BE59" s="119"/>
      <c r="BF59" s="119"/>
      <c r="BG59" s="91" t="str">
        <f>IF(BD59+Table645[[#This Row],[Column58]]=0,"--",(BD59*$BF$3*Table645[[#This Row],[Column57]]+Table645[[#This Row],[Column58]]*$BF$4)/60/24)</f>
        <v>--</v>
      </c>
      <c r="BH59" s="92">
        <f>IF(Table645[[#This Row],[Column59]]="--",0,Table645[[#This Row],[Column4]]*Table645[[#This Row],[Column59]])</f>
        <v>0</v>
      </c>
      <c r="BI59" s="119"/>
      <c r="BJ59" s="91" t="str">
        <f t="shared" si="15"/>
        <v>--</v>
      </c>
      <c r="BK59" s="92">
        <f>IF(Table645[[#This Row],[Column62]]="--",0,Table645[[#This Row],[Column4]]*Table645[[#This Row],[Column62]])</f>
        <v>0</v>
      </c>
      <c r="BL59" s="93"/>
      <c r="BM59" s="91" t="str">
        <f t="shared" si="57"/>
        <v>--</v>
      </c>
      <c r="BN59" s="89">
        <f>IF(Table645[[#This Row],[Column65]]="--",0,Table645[[#This Row],[Column4]]*Table645[[#This Row],[Column65]])</f>
        <v>0</v>
      </c>
      <c r="BO59" s="163"/>
      <c r="BP59" s="164" t="str">
        <f t="shared" si="58"/>
        <v>--</v>
      </c>
      <c r="BQ59" s="160">
        <f>IF(Table645[[#This Row],[Column68]]="--",0,Table645[[#This Row],[Column4]]*Table645[[#This Row],[Column68]])</f>
        <v>0</v>
      </c>
      <c r="BR59" s="94"/>
      <c r="BS59" s="91" t="str">
        <f t="shared" si="59"/>
        <v>--</v>
      </c>
      <c r="BT59" s="92">
        <f>IF(Table645[[#This Row],[Column71]]="--",0,Table645[[#This Row],[Column4]]*Table645[[#This Row],[Column71]])</f>
        <v>0</v>
      </c>
      <c r="BU59" s="44"/>
      <c r="BV59" s="90"/>
      <c r="BW59" s="91" t="str">
        <f>IF(BV59=0,"--",(Table645[[#This Row],[Column73]]*$BV$4*(IF(J59&lt;0.5001,1,IF(J59&lt;2.0001,2,3)))+BV59/$BV$3)/60/24)</f>
        <v>--</v>
      </c>
      <c r="BX59" s="92">
        <f>IF(Table645[[#This Row],[Column75]]="--",0,Table645[[#This Row],[Column4]]*Table645[[#This Row],[Column75]])</f>
        <v>0</v>
      </c>
      <c r="BY59" s="95" t="s">
        <v>70</v>
      </c>
      <c r="BZ59" s="91" t="str">
        <f>IF(Table645[[#This Row],[Column74]]=0,"--",BW59*$BY$3)</f>
        <v>--</v>
      </c>
      <c r="CA59" s="89">
        <f>IF(Table645[[#This Row],[Column78]]="--",0,Table645[[#This Row],[Column4]]*Table645[[#This Row],[Column78]])</f>
        <v>0</v>
      </c>
      <c r="CB59" s="95" t="s">
        <v>70</v>
      </c>
      <c r="CC59" s="91" t="str">
        <f>IF(Table645[[#This Row],[Column10]]+Table645[[#This Row],[Column74]]=0,"--",J59*$CB$4*$CB$5/(24*60)+IF(Table645[[#This Row],[Column74]]=0,0,$CB$3*Table645[[#This Row],[Column75]]))</f>
        <v>--</v>
      </c>
      <c r="CD59" s="92">
        <f>IF(Table645[[#This Row],[Column81]]="--",0,Table645[[#This Row],[Column4]]*Table645[[#This Row],[Column81]])</f>
        <v>0</v>
      </c>
      <c r="CE59" s="215"/>
      <c r="CF59" s="91" t="str">
        <f t="shared" si="19"/>
        <v>--</v>
      </c>
      <c r="CG59" s="92">
        <f>IF(Table645[[#This Row],[Column84]]="--",0,Table645[[#This Row],[Column4]]*Table645[[#This Row],[Column84]])</f>
        <v>0</v>
      </c>
      <c r="CH59" s="226"/>
      <c r="CI59" s="216"/>
      <c r="CJ59" s="91" t="str">
        <f>IF(CI59=0,"--",(Table645[[#This Row],[Column86]]*$CI$4*(IF(W59&lt;0.5001,1,IF(W59&lt;2.0001,2,3)))+CI59/$CI$3)/60/24)</f>
        <v>--</v>
      </c>
      <c r="CK59" s="92">
        <f>IF(Table645[[#This Row],[Column88]]="--",0,Table645[[#This Row],[Column4]]*Table645[[#This Row],[Column88]])</f>
        <v>0</v>
      </c>
      <c r="CL59" s="217"/>
      <c r="CM59" s="91" t="str">
        <f>IF(Table645[[#This Row],[Column87]]=0,"--",CJ59*$CL$3)</f>
        <v>--</v>
      </c>
      <c r="CN59" s="92">
        <f>IF(Table645[[#This Row],[Column91]]="--",0,Table645[[#This Row],[Column4]]*Table645[[#This Row],[Column91]])</f>
        <v>0</v>
      </c>
      <c r="CO59" s="217"/>
      <c r="CP59" s="91" t="str">
        <f>IF(Table645[[#This Row],[Column10]]+Table645[[#This Row],[Column87]]=0, "--", IF($D59="", 1, $D59) * IF($J59="", 1, $J59) * $CO$3 * $CO$4 * IF(Table645[[#This Row],[Column95]]="", 1, Table645[[#This Row],[Column95]]) / (24 * 60))</f>
        <v>--</v>
      </c>
      <c r="CQ59" s="164"/>
      <c r="CR59" s="92">
        <f>IF(Table645[[#This Row],[Column94]]="--",0,Table645[[#This Row],[Column4]]*Table645[[#This Row],[Column94]])</f>
        <v>0</v>
      </c>
      <c r="CS59" s="218" t="str">
        <f>IF(Table645[[#This Row],[Column87]]="","",Table645[[#This Row],[Column87]])</f>
        <v/>
      </c>
      <c r="CT59" s="91" t="str">
        <f>IF(Table645[[#This Row],[Column97]]="","--",Table645[[#This Row],[Column97]]/$CS$3/60/24)</f>
        <v>--</v>
      </c>
      <c r="CU59" s="92">
        <f>IF(Table645[[#This Row],[Column98]]="--",0,Table645[[#This Row],[Column4]]*Table645[[#This Row],[Column98]])</f>
        <v>0</v>
      </c>
      <c r="CV59" s="93"/>
      <c r="CW59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59" s="91" t="str">
        <f>IF(OR(Table645[[#This Row],[Column74]]&gt;0,Table645[[#This Row],[Column87]]&gt;0),(Table645[[#This Row],[Column73]]+Table645[[#This Row],[Column86]]+1)*$CW$3/60/24,"--")</f>
        <v>--</v>
      </c>
      <c r="CY59" s="92">
        <f>IF(Table645[[#This Row],[Column102]]="--",0,Table645[[#This Row],[Column4]]*Table645[[#This Row],[Column102]])</f>
        <v>0</v>
      </c>
      <c r="CZ59" s="158" t="str">
        <f t="shared" si="60"/>
        <v>--</v>
      </c>
      <c r="DA59" s="153"/>
      <c r="DB59" s="160">
        <f>IF(Table645[[#This Row],[Column104]]="--",0,Table645[[#This Row],[Column4]]*Table645[[#This Row],[Column104]])</f>
        <v>0</v>
      </c>
      <c r="DC59" s="219"/>
      <c r="DD59" s="220" t="str">
        <f>IF(DC59=0,"--",1/$DC$3*1000/(60*60*24)*Table645[[#This Row],[Column107]])</f>
        <v>--</v>
      </c>
      <c r="DE59" s="160">
        <f>IF(Table645[[#This Row],[Column108]]="--",0,Table645[[#This Row],[Column4]]*Table645[[#This Row],[Column108]])</f>
        <v>0</v>
      </c>
      <c r="DF59" s="101" t="s">
        <v>70</v>
      </c>
      <c r="DG59" s="91" t="str">
        <f t="shared" si="61"/>
        <v>--</v>
      </c>
      <c r="DH59" s="89">
        <f>IF(Table645[[#This Row],[Column111]]="--",0,Table645[[#This Row],[Column4]]*Table645[[#This Row],[Column111]])</f>
        <v>0</v>
      </c>
      <c r="DI59" s="96"/>
      <c r="DJ59" s="96"/>
      <c r="DK59" s="96"/>
      <c r="DL59" s="96"/>
      <c r="DM59" s="96"/>
      <c r="DN59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59" s="89">
        <f>IF(Table645[[#This Row],[Column118]]="--",0,Table645[[#This Row],[Column4]]*Table645[[#This Row],[Column118]])</f>
        <v>0</v>
      </c>
      <c r="DP59" s="96"/>
      <c r="DQ59" s="96"/>
      <c r="DR59" s="91" t="str">
        <f t="shared" si="62"/>
        <v>--</v>
      </c>
      <c r="DS59" s="89">
        <f>IF(Table645[[#This Row],[Column122]]="--",0,Table645[[#This Row],[Column4]]*Table645[[#This Row],[Column122]])</f>
        <v>0</v>
      </c>
      <c r="DT59" t="str">
        <f>IF(Table645[[#This Row],[Column125]]=0,"--",Table645[[#This Row],[Column125]]*Table645[[#This Row],[Column126]]*Table645[[#This Row],[Column127]]/1000000000)</f>
        <v>--</v>
      </c>
      <c r="DU59" s="53"/>
      <c r="DV59" s="53"/>
      <c r="DW59" s="53"/>
      <c r="DX59" s="91" t="str">
        <f t="shared" si="63"/>
        <v>--</v>
      </c>
      <c r="DY59" s="89">
        <f>IF(Table645[[#This Row],[Column128]]="--",0,Table645[[#This Row],[Column4]]*Table645[[#This Row],[Column128]])</f>
        <v>0</v>
      </c>
      <c r="EA59" s="89">
        <f>IF(Table645[[#This Row],[Column128]]="--",0,Table645[[#This Row],[Column4]]*Table645[[#This Row],[Column128]])</f>
        <v>0</v>
      </c>
      <c r="EC59" s="89">
        <f>IF(Table645[[#This Row],[Column128]]="--",0,Table645[[#This Row],[Column4]]*Table645[[#This Row],[Column128]])</f>
        <v>0</v>
      </c>
      <c r="EE59" s="89">
        <f>IF(Table645[[#This Row],[Column128]]="--",0,Table645[[#This Row],[Column4]]*Table645[[#This Row],[Column128]])</f>
        <v>0</v>
      </c>
      <c r="EG59" s="89">
        <f>IF(Table645[[#This Row],[Column128]]="--",0,Table645[[#This Row],[Column4]]*Table645[[#This Row],[Column128]])</f>
        <v>0</v>
      </c>
      <c r="EI59" s="89">
        <f>IF(Table645[[#This Row],[Column128]]="--",0,Table645[[#This Row],[Column4]]*Table645[[#This Row],[Column128]])</f>
        <v>0</v>
      </c>
    </row>
    <row r="60" spans="1:139" x14ac:dyDescent="0.25">
      <c r="A60" s="140"/>
      <c r="B60" s="79"/>
      <c r="C60" s="140"/>
      <c r="D60" s="167"/>
      <c r="E60" s="52"/>
      <c r="F60" s="81"/>
      <c r="G60" s="81"/>
      <c r="H60" s="102" t="str">
        <f t="shared" si="54"/>
        <v>--</v>
      </c>
      <c r="I60" s="100">
        <f>IF(Table645[[#This Row],[Column8]]="--",0,Table645[[#This Row],[Column4]]*Table645[[#This Row],[Column8]])</f>
        <v>0</v>
      </c>
      <c r="J60" s="169"/>
      <c r="K60" s="85">
        <f>Table645[[#This Row],[Column4]]*Table645[[#This Row],[Column10]]</f>
        <v>0</v>
      </c>
      <c r="L60" s="170" t="str">
        <f t="shared" si="55"/>
        <v>--</v>
      </c>
      <c r="M60" s="214">
        <f>IF(Table645[[#This Row],[Column10]]=0,0,Table645[[#This Row],[Column4]]*Table645[[#This Row],[Column12]])</f>
        <v>0</v>
      </c>
      <c r="N60" s="87" t="str">
        <f t="shared" si="56"/>
        <v>--</v>
      </c>
      <c r="O60" s="138"/>
      <c r="AZ60" s="89">
        <f>IF(Table645[[#This Row],[Column14]]="--",0,Table645[[#This Row],[Column4]]*Table645[[#This Row],[Column14]])</f>
        <v>0</v>
      </c>
      <c r="BA60" s="90"/>
      <c r="BB60" s="91" t="str">
        <f>IF(BA60=0,"--",BA60*$BA$3*IF(Table645[[#This Row],[Column5]]&lt;4.1,1,2)/60/24)</f>
        <v>--</v>
      </c>
      <c r="BC60" s="92">
        <f>IF(Table645[[#This Row],[Column54]]="--",0,Table645[[#This Row],[Column4]]*Table645[[#This Row],[Column54]])</f>
        <v>0</v>
      </c>
      <c r="BD60" s="119"/>
      <c r="BE60" s="119"/>
      <c r="BF60" s="119"/>
      <c r="BG60" s="91" t="str">
        <f>IF(BD60+Table645[[#This Row],[Column58]]=0,"--",(BD60*$BF$3*Table645[[#This Row],[Column57]]+Table645[[#This Row],[Column58]]*$BF$4)/60/24)</f>
        <v>--</v>
      </c>
      <c r="BH60" s="92">
        <f>IF(Table645[[#This Row],[Column59]]="--",0,Table645[[#This Row],[Column4]]*Table645[[#This Row],[Column59]])</f>
        <v>0</v>
      </c>
      <c r="BI60" s="119"/>
      <c r="BJ60" s="91" t="str">
        <f t="shared" si="15"/>
        <v>--</v>
      </c>
      <c r="BK60" s="92">
        <f>IF(Table645[[#This Row],[Column62]]="--",0,Table645[[#This Row],[Column4]]*Table645[[#This Row],[Column62]])</f>
        <v>0</v>
      </c>
      <c r="BL60" s="93"/>
      <c r="BM60" s="91" t="str">
        <f t="shared" si="57"/>
        <v>--</v>
      </c>
      <c r="BN60" s="89">
        <f>IF(Table645[[#This Row],[Column65]]="--",0,Table645[[#This Row],[Column4]]*Table645[[#This Row],[Column65]])</f>
        <v>0</v>
      </c>
      <c r="BO60" s="163"/>
      <c r="BP60" s="164" t="str">
        <f t="shared" si="58"/>
        <v>--</v>
      </c>
      <c r="BQ60" s="160">
        <f>IF(Table645[[#This Row],[Column68]]="--",0,Table645[[#This Row],[Column4]]*Table645[[#This Row],[Column68]])</f>
        <v>0</v>
      </c>
      <c r="BR60" s="94"/>
      <c r="BS60" s="91" t="str">
        <f t="shared" si="59"/>
        <v>--</v>
      </c>
      <c r="BT60" s="92">
        <f>IF(Table645[[#This Row],[Column71]]="--",0,Table645[[#This Row],[Column4]]*Table645[[#This Row],[Column71]])</f>
        <v>0</v>
      </c>
      <c r="BU60" s="44"/>
      <c r="BV60" s="90"/>
      <c r="BW60" s="91" t="str">
        <f>IF(BV60=0,"--",(Table645[[#This Row],[Column73]]*$BV$4*(IF(J60&lt;0.5001,1,IF(J60&lt;2.0001,2,3)))+BV60/$BV$3)/60/24)</f>
        <v>--</v>
      </c>
      <c r="BX60" s="92">
        <f>IF(Table645[[#This Row],[Column75]]="--",0,Table645[[#This Row],[Column4]]*Table645[[#This Row],[Column75]])</f>
        <v>0</v>
      </c>
      <c r="BY60" s="95" t="s">
        <v>70</v>
      </c>
      <c r="BZ60" s="91" t="str">
        <f>IF(Table645[[#This Row],[Column74]]=0,"--",BW60*$BY$3)</f>
        <v>--</v>
      </c>
      <c r="CA60" s="89">
        <f>IF(Table645[[#This Row],[Column78]]="--",0,Table645[[#This Row],[Column4]]*Table645[[#This Row],[Column78]])</f>
        <v>0</v>
      </c>
      <c r="CB60" s="95" t="s">
        <v>70</v>
      </c>
      <c r="CC60" s="91" t="str">
        <f>IF(Table645[[#This Row],[Column10]]+Table645[[#This Row],[Column74]]=0,"--",J60*$CB$4*$CB$5/(24*60)+IF(Table645[[#This Row],[Column74]]=0,0,$CB$3*Table645[[#This Row],[Column75]]))</f>
        <v>--</v>
      </c>
      <c r="CD60" s="92">
        <f>IF(Table645[[#This Row],[Column81]]="--",0,Table645[[#This Row],[Column4]]*Table645[[#This Row],[Column81]])</f>
        <v>0</v>
      </c>
      <c r="CE60" s="215"/>
      <c r="CF60" s="91" t="str">
        <f t="shared" si="19"/>
        <v>--</v>
      </c>
      <c r="CG60" s="92">
        <f>IF(Table645[[#This Row],[Column84]]="--",0,Table645[[#This Row],[Column4]]*Table645[[#This Row],[Column84]])</f>
        <v>0</v>
      </c>
      <c r="CH60" s="226"/>
      <c r="CI60" s="216"/>
      <c r="CJ60" s="91" t="str">
        <f>IF(CI60=0,"--",(Table645[[#This Row],[Column86]]*$CI$4*(IF(W60&lt;0.5001,1,IF(W60&lt;2.0001,2,3)))+CI60/$CI$3)/60/24)</f>
        <v>--</v>
      </c>
      <c r="CK60" s="92">
        <f>IF(Table645[[#This Row],[Column88]]="--",0,Table645[[#This Row],[Column4]]*Table645[[#This Row],[Column88]])</f>
        <v>0</v>
      </c>
      <c r="CL60" s="217"/>
      <c r="CM60" s="91" t="str">
        <f>IF(Table645[[#This Row],[Column87]]=0,"--",CJ60*$CL$3)</f>
        <v>--</v>
      </c>
      <c r="CN60" s="92">
        <f>IF(Table645[[#This Row],[Column91]]="--",0,Table645[[#This Row],[Column4]]*Table645[[#This Row],[Column91]])</f>
        <v>0</v>
      </c>
      <c r="CO60" s="217"/>
      <c r="CP60" s="91" t="str">
        <f>IF(Table645[[#This Row],[Column10]]+Table645[[#This Row],[Column87]]=0, "--", IF($D60="", 1, $D60) * IF($J60="", 1, $J60) * $CO$3 * $CO$4 * IF(Table645[[#This Row],[Column95]]="", 1, Table645[[#This Row],[Column95]]) / (24 * 60))</f>
        <v>--</v>
      </c>
      <c r="CQ60" s="164"/>
      <c r="CR60" s="92">
        <f>IF(Table645[[#This Row],[Column94]]="--",0,Table645[[#This Row],[Column4]]*Table645[[#This Row],[Column94]])</f>
        <v>0</v>
      </c>
      <c r="CS60" s="218" t="str">
        <f>IF(Table645[[#This Row],[Column87]]="","",Table645[[#This Row],[Column87]])</f>
        <v/>
      </c>
      <c r="CT60" s="91" t="str">
        <f>IF(Table645[[#This Row],[Column97]]="","--",Table645[[#This Row],[Column97]]/$CS$3/60/24)</f>
        <v>--</v>
      </c>
      <c r="CU60" s="92">
        <f>IF(Table645[[#This Row],[Column98]]="--",0,Table645[[#This Row],[Column4]]*Table645[[#This Row],[Column98]])</f>
        <v>0</v>
      </c>
      <c r="CV60" s="93"/>
      <c r="CW60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60" s="91" t="str">
        <f>IF(OR(Table645[[#This Row],[Column74]]&gt;0,Table645[[#This Row],[Column87]]&gt;0),(Table645[[#This Row],[Column73]]+Table645[[#This Row],[Column86]]+1)*$CW$3/60/24,"--")</f>
        <v>--</v>
      </c>
      <c r="CY60" s="92">
        <f>IF(Table645[[#This Row],[Column102]]="--",0,Table645[[#This Row],[Column4]]*Table645[[#This Row],[Column102]])</f>
        <v>0</v>
      </c>
      <c r="CZ60" s="158" t="str">
        <f t="shared" si="60"/>
        <v>--</v>
      </c>
      <c r="DA60" s="153"/>
      <c r="DB60" s="160">
        <f>IF(Table645[[#This Row],[Column104]]="--",0,Table645[[#This Row],[Column4]]*Table645[[#This Row],[Column104]])</f>
        <v>0</v>
      </c>
      <c r="DC60" s="219"/>
      <c r="DD60" s="220" t="str">
        <f>IF(DC60=0,"--",1/$DC$3*1000/(60*60*24)*Table645[[#This Row],[Column107]])</f>
        <v>--</v>
      </c>
      <c r="DE60" s="160">
        <f>IF(Table645[[#This Row],[Column108]]="--",0,Table645[[#This Row],[Column4]]*Table645[[#This Row],[Column108]])</f>
        <v>0</v>
      </c>
      <c r="DF60" s="101" t="s">
        <v>70</v>
      </c>
      <c r="DG60" s="91" t="str">
        <f t="shared" si="61"/>
        <v>--</v>
      </c>
      <c r="DH60" s="89">
        <f>IF(Table645[[#This Row],[Column111]]="--",0,Table645[[#This Row],[Column4]]*Table645[[#This Row],[Column111]])</f>
        <v>0</v>
      </c>
      <c r="DI60" s="96"/>
      <c r="DJ60" s="96"/>
      <c r="DK60" s="96"/>
      <c r="DL60" s="96"/>
      <c r="DM60" s="96"/>
      <c r="DN60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60" s="89">
        <f>IF(Table645[[#This Row],[Column118]]="--",0,Table645[[#This Row],[Column4]]*Table645[[#This Row],[Column118]])</f>
        <v>0</v>
      </c>
      <c r="DP60" s="96"/>
      <c r="DQ60" s="96"/>
      <c r="DR60" s="91" t="str">
        <f t="shared" si="62"/>
        <v>--</v>
      </c>
      <c r="DS60" s="89">
        <f>IF(Table645[[#This Row],[Column122]]="--",0,Table645[[#This Row],[Column4]]*Table645[[#This Row],[Column122]])</f>
        <v>0</v>
      </c>
      <c r="DT60" t="str">
        <f>IF(Table645[[#This Row],[Column125]]=0,"--",Table645[[#This Row],[Column125]]*Table645[[#This Row],[Column126]]*Table645[[#This Row],[Column127]]/1000000000)</f>
        <v>--</v>
      </c>
      <c r="DU60" s="53"/>
      <c r="DV60" s="53"/>
      <c r="DW60" s="53"/>
      <c r="DX60" s="91" t="str">
        <f t="shared" si="63"/>
        <v>--</v>
      </c>
      <c r="DY60" s="89">
        <f>IF(Table645[[#This Row],[Column128]]="--",0,Table645[[#This Row],[Column4]]*Table645[[#This Row],[Column128]])</f>
        <v>0</v>
      </c>
      <c r="EA60" s="89">
        <f>IF(Table645[[#This Row],[Column128]]="--",0,Table645[[#This Row],[Column4]]*Table645[[#This Row],[Column128]])</f>
        <v>0</v>
      </c>
      <c r="EC60" s="89">
        <f>IF(Table645[[#This Row],[Column128]]="--",0,Table645[[#This Row],[Column4]]*Table645[[#This Row],[Column128]])</f>
        <v>0</v>
      </c>
      <c r="EE60" s="89">
        <f>IF(Table645[[#This Row],[Column128]]="--",0,Table645[[#This Row],[Column4]]*Table645[[#This Row],[Column128]])</f>
        <v>0</v>
      </c>
      <c r="EG60" s="89">
        <f>IF(Table645[[#This Row],[Column128]]="--",0,Table645[[#This Row],[Column4]]*Table645[[#This Row],[Column128]])</f>
        <v>0</v>
      </c>
      <c r="EI60" s="89">
        <f>IF(Table645[[#This Row],[Column128]]="--",0,Table645[[#This Row],[Column4]]*Table645[[#This Row],[Column128]])</f>
        <v>0</v>
      </c>
    </row>
    <row r="61" spans="1:139" x14ac:dyDescent="0.25">
      <c r="A61" s="140"/>
      <c r="B61" s="79"/>
      <c r="C61" s="140"/>
      <c r="D61" s="167"/>
      <c r="E61" s="52"/>
      <c r="F61" s="81"/>
      <c r="G61" s="81"/>
      <c r="H61" s="102" t="str">
        <f t="shared" si="54"/>
        <v>--</v>
      </c>
      <c r="I61" s="100">
        <f>IF(Table645[[#This Row],[Column8]]="--",0,Table645[[#This Row],[Column4]]*Table645[[#This Row],[Column8]])</f>
        <v>0</v>
      </c>
      <c r="J61" s="169"/>
      <c r="K61" s="85">
        <f>Table645[[#This Row],[Column4]]*Table645[[#This Row],[Column10]]</f>
        <v>0</v>
      </c>
      <c r="L61" s="170" t="str">
        <f t="shared" si="55"/>
        <v>--</v>
      </c>
      <c r="M61" s="214">
        <f>IF(Table645[[#This Row],[Column10]]=0,0,Table645[[#This Row],[Column4]]*Table645[[#This Row],[Column12]])</f>
        <v>0</v>
      </c>
      <c r="N61" s="87" t="str">
        <f t="shared" si="56"/>
        <v>--</v>
      </c>
      <c r="O61" s="138"/>
      <c r="AZ61" s="89">
        <f>IF(Table645[[#This Row],[Column14]]="--",0,Table645[[#This Row],[Column4]]*Table645[[#This Row],[Column14]])</f>
        <v>0</v>
      </c>
      <c r="BA61" s="90"/>
      <c r="BB61" s="91" t="str">
        <f>IF(BA61=0,"--",BA61*$BA$3*IF(Table645[[#This Row],[Column5]]&lt;4.1,1,2)/60/24)</f>
        <v>--</v>
      </c>
      <c r="BC61" s="92">
        <f>IF(Table645[[#This Row],[Column54]]="--",0,Table645[[#This Row],[Column4]]*Table645[[#This Row],[Column54]])</f>
        <v>0</v>
      </c>
      <c r="BD61" s="119"/>
      <c r="BE61" s="119"/>
      <c r="BF61" s="119"/>
      <c r="BG61" s="91" t="str">
        <f>IF(BD61+Table645[[#This Row],[Column58]]=0,"--",(BD61*$BF$3*Table645[[#This Row],[Column57]]+Table645[[#This Row],[Column58]]*$BF$4)/60/24)</f>
        <v>--</v>
      </c>
      <c r="BH61" s="92">
        <f>IF(Table645[[#This Row],[Column59]]="--",0,Table645[[#This Row],[Column4]]*Table645[[#This Row],[Column59]])</f>
        <v>0</v>
      </c>
      <c r="BI61" s="119"/>
      <c r="BJ61" s="91" t="str">
        <f t="shared" si="15"/>
        <v>--</v>
      </c>
      <c r="BK61" s="92">
        <f>IF(Table645[[#This Row],[Column62]]="--",0,Table645[[#This Row],[Column4]]*Table645[[#This Row],[Column62]])</f>
        <v>0</v>
      </c>
      <c r="BL61" s="93"/>
      <c r="BM61" s="91" t="str">
        <f t="shared" si="57"/>
        <v>--</v>
      </c>
      <c r="BN61" s="89">
        <f>IF(Table645[[#This Row],[Column65]]="--",0,Table645[[#This Row],[Column4]]*Table645[[#This Row],[Column65]])</f>
        <v>0</v>
      </c>
      <c r="BO61" s="163"/>
      <c r="BP61" s="164" t="str">
        <f t="shared" si="58"/>
        <v>--</v>
      </c>
      <c r="BQ61" s="160">
        <f>IF(Table645[[#This Row],[Column68]]="--",0,Table645[[#This Row],[Column4]]*Table645[[#This Row],[Column68]])</f>
        <v>0</v>
      </c>
      <c r="BR61" s="94"/>
      <c r="BS61" s="91" t="str">
        <f t="shared" si="59"/>
        <v>--</v>
      </c>
      <c r="BT61" s="92">
        <f>IF(Table645[[#This Row],[Column71]]="--",0,Table645[[#This Row],[Column4]]*Table645[[#This Row],[Column71]])</f>
        <v>0</v>
      </c>
      <c r="BU61" s="44"/>
      <c r="BV61" s="90"/>
      <c r="BW61" s="91" t="str">
        <f>IF(BV61=0,"--",(Table645[[#This Row],[Column73]]*$BV$4*(IF(J61&lt;0.5001,1,IF(J61&lt;2.0001,2,3)))+BV61/$BV$3)/60/24)</f>
        <v>--</v>
      </c>
      <c r="BX61" s="92">
        <f>IF(Table645[[#This Row],[Column75]]="--",0,Table645[[#This Row],[Column4]]*Table645[[#This Row],[Column75]])</f>
        <v>0</v>
      </c>
      <c r="BY61" s="95" t="s">
        <v>70</v>
      </c>
      <c r="BZ61" s="91" t="str">
        <f>IF(Table645[[#This Row],[Column74]]=0,"--",BW61*$BY$3)</f>
        <v>--</v>
      </c>
      <c r="CA61" s="89">
        <f>IF(Table645[[#This Row],[Column78]]="--",0,Table645[[#This Row],[Column4]]*Table645[[#This Row],[Column78]])</f>
        <v>0</v>
      </c>
      <c r="CB61" s="95" t="s">
        <v>70</v>
      </c>
      <c r="CC61" s="91" t="str">
        <f>IF(Table645[[#This Row],[Column10]]+Table645[[#This Row],[Column74]]=0,"--",J61*$CB$4*$CB$5/(24*60)+IF(Table645[[#This Row],[Column74]]=0,0,$CB$3*Table645[[#This Row],[Column75]]))</f>
        <v>--</v>
      </c>
      <c r="CD61" s="92">
        <f>IF(Table645[[#This Row],[Column81]]="--",0,Table645[[#This Row],[Column4]]*Table645[[#This Row],[Column81]])</f>
        <v>0</v>
      </c>
      <c r="CE61" s="215"/>
      <c r="CF61" s="91" t="str">
        <f t="shared" si="19"/>
        <v>--</v>
      </c>
      <c r="CG61" s="92">
        <f>IF(Table645[[#This Row],[Column84]]="--",0,Table645[[#This Row],[Column4]]*Table645[[#This Row],[Column84]])</f>
        <v>0</v>
      </c>
      <c r="CH61" s="226"/>
      <c r="CI61" s="216"/>
      <c r="CJ61" s="91" t="str">
        <f>IF(CI61=0,"--",(Table645[[#This Row],[Column86]]*$CI$4*(IF(W61&lt;0.5001,1,IF(W61&lt;2.0001,2,3)))+CI61/$CI$3)/60/24)</f>
        <v>--</v>
      </c>
      <c r="CK61" s="92">
        <f>IF(Table645[[#This Row],[Column88]]="--",0,Table645[[#This Row],[Column4]]*Table645[[#This Row],[Column88]])</f>
        <v>0</v>
      </c>
      <c r="CL61" s="217"/>
      <c r="CM61" s="91" t="str">
        <f>IF(Table645[[#This Row],[Column87]]=0,"--",CJ61*$CL$3)</f>
        <v>--</v>
      </c>
      <c r="CN61" s="92">
        <f>IF(Table645[[#This Row],[Column91]]="--",0,Table645[[#This Row],[Column4]]*Table645[[#This Row],[Column91]])</f>
        <v>0</v>
      </c>
      <c r="CO61" s="217"/>
      <c r="CP61" s="91" t="str">
        <f>IF(Table645[[#This Row],[Column10]]+Table645[[#This Row],[Column87]]=0, "--", IF($D61="", 1, $D61) * IF($J61="", 1, $J61) * $CO$3 * $CO$4 * IF(Table645[[#This Row],[Column95]]="", 1, Table645[[#This Row],[Column95]]) / (24 * 60))</f>
        <v>--</v>
      </c>
      <c r="CQ61" s="164"/>
      <c r="CR61" s="92">
        <f>IF(Table645[[#This Row],[Column94]]="--",0,Table645[[#This Row],[Column4]]*Table645[[#This Row],[Column94]])</f>
        <v>0</v>
      </c>
      <c r="CS61" s="218" t="str">
        <f>IF(Table645[[#This Row],[Column87]]="","",Table645[[#This Row],[Column87]])</f>
        <v/>
      </c>
      <c r="CT61" s="91" t="str">
        <f>IF(Table645[[#This Row],[Column97]]="","--",Table645[[#This Row],[Column97]]/$CS$3/60/24)</f>
        <v>--</v>
      </c>
      <c r="CU61" s="92">
        <f>IF(Table645[[#This Row],[Column98]]="--",0,Table645[[#This Row],[Column4]]*Table645[[#This Row],[Column98]])</f>
        <v>0</v>
      </c>
      <c r="CV61" s="93"/>
      <c r="CW61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61" s="91" t="str">
        <f>IF(OR(Table645[[#This Row],[Column74]]&gt;0,Table645[[#This Row],[Column87]]&gt;0),(Table645[[#This Row],[Column73]]+Table645[[#This Row],[Column86]]+1)*$CW$3/60/24,"--")</f>
        <v>--</v>
      </c>
      <c r="CY61" s="92">
        <f>IF(Table645[[#This Row],[Column102]]="--",0,Table645[[#This Row],[Column4]]*Table645[[#This Row],[Column102]])</f>
        <v>0</v>
      </c>
      <c r="CZ61" s="158" t="str">
        <f t="shared" si="60"/>
        <v>--</v>
      </c>
      <c r="DA61" s="153"/>
      <c r="DB61" s="160">
        <f>IF(Table645[[#This Row],[Column104]]="--",0,Table645[[#This Row],[Column4]]*Table645[[#This Row],[Column104]])</f>
        <v>0</v>
      </c>
      <c r="DC61" s="219"/>
      <c r="DD61" s="220" t="str">
        <f>IF(DC61=0,"--",1/$DC$3*1000/(60*60*24)*Table645[[#This Row],[Column107]])</f>
        <v>--</v>
      </c>
      <c r="DE61" s="160">
        <f>IF(Table645[[#This Row],[Column108]]="--",0,Table645[[#This Row],[Column4]]*Table645[[#This Row],[Column108]])</f>
        <v>0</v>
      </c>
      <c r="DF61" s="101" t="s">
        <v>70</v>
      </c>
      <c r="DG61" s="91" t="str">
        <f t="shared" si="61"/>
        <v>--</v>
      </c>
      <c r="DH61" s="89">
        <f>IF(Table645[[#This Row],[Column111]]="--",0,Table645[[#This Row],[Column4]]*Table645[[#This Row],[Column111]])</f>
        <v>0</v>
      </c>
      <c r="DI61" s="96"/>
      <c r="DJ61" s="96"/>
      <c r="DK61" s="96"/>
      <c r="DL61" s="96"/>
      <c r="DM61" s="96"/>
      <c r="DN61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61" s="89">
        <f>IF(Table645[[#This Row],[Column118]]="--",0,Table645[[#This Row],[Column4]]*Table645[[#This Row],[Column118]])</f>
        <v>0</v>
      </c>
      <c r="DP61" s="96"/>
      <c r="DQ61" s="96"/>
      <c r="DR61" s="91" t="str">
        <f t="shared" si="62"/>
        <v>--</v>
      </c>
      <c r="DS61" s="89">
        <f>IF(Table645[[#This Row],[Column122]]="--",0,Table645[[#This Row],[Column4]]*Table645[[#This Row],[Column122]])</f>
        <v>0</v>
      </c>
      <c r="DT61" t="str">
        <f>IF(Table645[[#This Row],[Column125]]=0,"--",Table645[[#This Row],[Column125]]*Table645[[#This Row],[Column126]]*Table645[[#This Row],[Column127]]/1000000000)</f>
        <v>--</v>
      </c>
      <c r="DU61" s="53"/>
      <c r="DV61" s="53"/>
      <c r="DW61" s="53"/>
      <c r="DX61" s="91" t="str">
        <f t="shared" si="63"/>
        <v>--</v>
      </c>
      <c r="DY61" s="89">
        <f>IF(Table645[[#This Row],[Column128]]="--",0,Table645[[#This Row],[Column4]]*Table645[[#This Row],[Column128]])</f>
        <v>0</v>
      </c>
      <c r="EA61" s="89">
        <f>IF(Table645[[#This Row],[Column128]]="--",0,Table645[[#This Row],[Column4]]*Table645[[#This Row],[Column128]])</f>
        <v>0</v>
      </c>
      <c r="EC61" s="89">
        <f>IF(Table645[[#This Row],[Column128]]="--",0,Table645[[#This Row],[Column4]]*Table645[[#This Row],[Column128]])</f>
        <v>0</v>
      </c>
      <c r="EE61" s="89">
        <f>IF(Table645[[#This Row],[Column128]]="--",0,Table645[[#This Row],[Column4]]*Table645[[#This Row],[Column128]])</f>
        <v>0</v>
      </c>
      <c r="EG61" s="89">
        <f>IF(Table645[[#This Row],[Column128]]="--",0,Table645[[#This Row],[Column4]]*Table645[[#This Row],[Column128]])</f>
        <v>0</v>
      </c>
      <c r="EI61" s="89">
        <f>IF(Table645[[#This Row],[Column128]]="--",0,Table645[[#This Row],[Column4]]*Table645[[#This Row],[Column128]])</f>
        <v>0</v>
      </c>
    </row>
    <row r="62" spans="1:139" x14ac:dyDescent="0.25">
      <c r="A62" s="140"/>
      <c r="B62" s="79"/>
      <c r="C62" s="140"/>
      <c r="D62" s="167"/>
      <c r="E62" s="52"/>
      <c r="F62" s="81"/>
      <c r="G62" s="81"/>
      <c r="H62" s="102" t="str">
        <f t="shared" si="54"/>
        <v>--</v>
      </c>
      <c r="I62" s="100">
        <f>IF(Table645[[#This Row],[Column8]]="--",0,Table645[[#This Row],[Column4]]*Table645[[#This Row],[Column8]])</f>
        <v>0</v>
      </c>
      <c r="J62" s="169"/>
      <c r="K62" s="85">
        <f>Table645[[#This Row],[Column4]]*Table645[[#This Row],[Column10]]</f>
        <v>0</v>
      </c>
      <c r="L62" s="170" t="str">
        <f t="shared" si="55"/>
        <v>--</v>
      </c>
      <c r="M62" s="214">
        <f>IF(Table645[[#This Row],[Column10]]=0,0,Table645[[#This Row],[Column4]]*Table645[[#This Row],[Column12]])</f>
        <v>0</v>
      </c>
      <c r="N62" s="87" t="str">
        <f t="shared" si="56"/>
        <v>--</v>
      </c>
      <c r="O62" s="138"/>
      <c r="AZ62" s="89">
        <f>IF(Table645[[#This Row],[Column14]]="--",0,Table645[[#This Row],[Column4]]*Table645[[#This Row],[Column14]])</f>
        <v>0</v>
      </c>
      <c r="BA62" s="90"/>
      <c r="BB62" s="91" t="str">
        <f>IF(BA62=0,"--",BA62*$BA$3*IF(Table645[[#This Row],[Column5]]&lt;4.1,1,2)/60/24)</f>
        <v>--</v>
      </c>
      <c r="BC62" s="92">
        <f>IF(Table645[[#This Row],[Column54]]="--",0,Table645[[#This Row],[Column4]]*Table645[[#This Row],[Column54]])</f>
        <v>0</v>
      </c>
      <c r="BD62" s="119"/>
      <c r="BE62" s="119"/>
      <c r="BF62" s="119"/>
      <c r="BG62" s="91" t="str">
        <f>IF(BD62+Table645[[#This Row],[Column58]]=0,"--",(BD62*$BF$3*Table645[[#This Row],[Column57]]+Table645[[#This Row],[Column58]]*$BF$4)/60/24)</f>
        <v>--</v>
      </c>
      <c r="BH62" s="92">
        <f>IF(Table645[[#This Row],[Column59]]="--",0,Table645[[#This Row],[Column4]]*Table645[[#This Row],[Column59]])</f>
        <v>0</v>
      </c>
      <c r="BI62" s="119"/>
      <c r="BJ62" s="91" t="str">
        <f t="shared" si="15"/>
        <v>--</v>
      </c>
      <c r="BK62" s="92">
        <f>IF(Table645[[#This Row],[Column62]]="--",0,Table645[[#This Row],[Column4]]*Table645[[#This Row],[Column62]])</f>
        <v>0</v>
      </c>
      <c r="BL62" s="93"/>
      <c r="BM62" s="91" t="str">
        <f t="shared" si="57"/>
        <v>--</v>
      </c>
      <c r="BN62" s="89">
        <f>IF(Table645[[#This Row],[Column65]]="--",0,Table645[[#This Row],[Column4]]*Table645[[#This Row],[Column65]])</f>
        <v>0</v>
      </c>
      <c r="BO62" s="163"/>
      <c r="BP62" s="164" t="str">
        <f t="shared" si="58"/>
        <v>--</v>
      </c>
      <c r="BQ62" s="160">
        <f>IF(Table645[[#This Row],[Column68]]="--",0,Table645[[#This Row],[Column4]]*Table645[[#This Row],[Column68]])</f>
        <v>0</v>
      </c>
      <c r="BR62" s="94"/>
      <c r="BS62" s="91" t="str">
        <f t="shared" si="59"/>
        <v>--</v>
      </c>
      <c r="BT62" s="92">
        <f>IF(Table645[[#This Row],[Column71]]="--",0,Table645[[#This Row],[Column4]]*Table645[[#This Row],[Column71]])</f>
        <v>0</v>
      </c>
      <c r="BU62" s="44"/>
      <c r="BV62" s="90"/>
      <c r="BW62" s="91" t="str">
        <f>IF(BV62=0,"--",(Table645[[#This Row],[Column73]]*$BV$4*(IF(J62&lt;0.5001,1,IF(J62&lt;2.0001,2,3)))+BV62/$BV$3)/60/24)</f>
        <v>--</v>
      </c>
      <c r="BX62" s="92">
        <f>IF(Table645[[#This Row],[Column75]]="--",0,Table645[[#This Row],[Column4]]*Table645[[#This Row],[Column75]])</f>
        <v>0</v>
      </c>
      <c r="BY62" s="95" t="s">
        <v>70</v>
      </c>
      <c r="BZ62" s="91" t="str">
        <f>IF(Table645[[#This Row],[Column74]]=0,"--",BW62*$BY$3)</f>
        <v>--</v>
      </c>
      <c r="CA62" s="89">
        <f>IF(Table645[[#This Row],[Column78]]="--",0,Table645[[#This Row],[Column4]]*Table645[[#This Row],[Column78]])</f>
        <v>0</v>
      </c>
      <c r="CB62" s="95" t="s">
        <v>70</v>
      </c>
      <c r="CC62" s="91" t="str">
        <f>IF(Table645[[#This Row],[Column10]]+Table645[[#This Row],[Column74]]=0,"--",J62*$CB$4*$CB$5/(24*60)+IF(Table645[[#This Row],[Column74]]=0,0,$CB$3*Table645[[#This Row],[Column75]]))</f>
        <v>--</v>
      </c>
      <c r="CD62" s="92">
        <f>IF(Table645[[#This Row],[Column81]]="--",0,Table645[[#This Row],[Column4]]*Table645[[#This Row],[Column81]])</f>
        <v>0</v>
      </c>
      <c r="CE62" s="215"/>
      <c r="CF62" s="91" t="str">
        <f t="shared" si="19"/>
        <v>--</v>
      </c>
      <c r="CG62" s="92">
        <f>IF(Table645[[#This Row],[Column84]]="--",0,Table645[[#This Row],[Column4]]*Table645[[#This Row],[Column84]])</f>
        <v>0</v>
      </c>
      <c r="CH62" s="226"/>
      <c r="CI62" s="216"/>
      <c r="CJ62" s="91" t="str">
        <f>IF(CI62=0,"--",(Table645[[#This Row],[Column86]]*$CI$4*(IF(W62&lt;0.5001,1,IF(W62&lt;2.0001,2,3)))+CI62/$CI$3)/60/24)</f>
        <v>--</v>
      </c>
      <c r="CK62" s="92">
        <f>IF(Table645[[#This Row],[Column88]]="--",0,Table645[[#This Row],[Column4]]*Table645[[#This Row],[Column88]])</f>
        <v>0</v>
      </c>
      <c r="CL62" s="217"/>
      <c r="CM62" s="91" t="str">
        <f>IF(Table645[[#This Row],[Column87]]=0,"--",CJ62*$CL$3)</f>
        <v>--</v>
      </c>
      <c r="CN62" s="92">
        <f>IF(Table645[[#This Row],[Column91]]="--",0,Table645[[#This Row],[Column4]]*Table645[[#This Row],[Column91]])</f>
        <v>0</v>
      </c>
      <c r="CO62" s="217"/>
      <c r="CP62" s="91" t="str">
        <f>IF(Table645[[#This Row],[Column10]]+Table645[[#This Row],[Column87]]=0, "--", IF($D62="", 1, $D62) * IF($J62="", 1, $J62) * $CO$3 * $CO$4 * IF(Table645[[#This Row],[Column95]]="", 1, Table645[[#This Row],[Column95]]) / (24 * 60))</f>
        <v>--</v>
      </c>
      <c r="CQ62" s="164"/>
      <c r="CR62" s="92">
        <f>IF(Table645[[#This Row],[Column94]]="--",0,Table645[[#This Row],[Column4]]*Table645[[#This Row],[Column94]])</f>
        <v>0</v>
      </c>
      <c r="CS62" s="218" t="str">
        <f>IF(Table645[[#This Row],[Column87]]="","",Table645[[#This Row],[Column87]])</f>
        <v/>
      </c>
      <c r="CT62" s="91" t="str">
        <f>IF(Table645[[#This Row],[Column97]]="","--",Table645[[#This Row],[Column97]]/$CS$3/60/24)</f>
        <v>--</v>
      </c>
      <c r="CU62" s="92">
        <f>IF(Table645[[#This Row],[Column98]]="--",0,Table645[[#This Row],[Column4]]*Table645[[#This Row],[Column98]])</f>
        <v>0</v>
      </c>
      <c r="CV62" s="93"/>
      <c r="CW62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62" s="91" t="str">
        <f>IF(OR(Table645[[#This Row],[Column74]]&gt;0,Table645[[#This Row],[Column87]]&gt;0),(Table645[[#This Row],[Column73]]+Table645[[#This Row],[Column86]]+1)*$CW$3/60/24,"--")</f>
        <v>--</v>
      </c>
      <c r="CY62" s="92">
        <f>IF(Table645[[#This Row],[Column102]]="--",0,Table645[[#This Row],[Column4]]*Table645[[#This Row],[Column102]])</f>
        <v>0</v>
      </c>
      <c r="CZ62" s="158" t="str">
        <f t="shared" si="60"/>
        <v>--</v>
      </c>
      <c r="DA62" s="153"/>
      <c r="DB62" s="160">
        <f>IF(Table645[[#This Row],[Column104]]="--",0,Table645[[#This Row],[Column4]]*Table645[[#This Row],[Column104]])</f>
        <v>0</v>
      </c>
      <c r="DC62" s="219"/>
      <c r="DD62" s="220" t="str">
        <f>IF(DC62=0,"--",1/$DC$3*1000/(60*60*24)*Table645[[#This Row],[Column107]])</f>
        <v>--</v>
      </c>
      <c r="DE62" s="160">
        <f>IF(Table645[[#This Row],[Column108]]="--",0,Table645[[#This Row],[Column4]]*Table645[[#This Row],[Column108]])</f>
        <v>0</v>
      </c>
      <c r="DF62" s="101" t="s">
        <v>70</v>
      </c>
      <c r="DG62" s="91" t="str">
        <f t="shared" si="61"/>
        <v>--</v>
      </c>
      <c r="DH62" s="89">
        <f>IF(Table645[[#This Row],[Column111]]="--",0,Table645[[#This Row],[Column4]]*Table645[[#This Row],[Column111]])</f>
        <v>0</v>
      </c>
      <c r="DI62" s="96"/>
      <c r="DJ62" s="96"/>
      <c r="DK62" s="96"/>
      <c r="DL62" s="96"/>
      <c r="DM62" s="96"/>
      <c r="DN62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62" s="89">
        <f>IF(Table645[[#This Row],[Column118]]="--",0,Table645[[#This Row],[Column4]]*Table645[[#This Row],[Column118]])</f>
        <v>0</v>
      </c>
      <c r="DP62" s="96"/>
      <c r="DQ62" s="96"/>
      <c r="DR62" s="91" t="str">
        <f t="shared" si="62"/>
        <v>--</v>
      </c>
      <c r="DS62" s="89">
        <f>IF(Table645[[#This Row],[Column122]]="--",0,Table645[[#This Row],[Column4]]*Table645[[#This Row],[Column122]])</f>
        <v>0</v>
      </c>
      <c r="DT62" t="str">
        <f>IF(Table645[[#This Row],[Column125]]=0,"--",Table645[[#This Row],[Column125]]*Table645[[#This Row],[Column126]]*Table645[[#This Row],[Column127]]/1000000000)</f>
        <v>--</v>
      </c>
      <c r="DU62" s="53"/>
      <c r="DV62" s="53"/>
      <c r="DW62" s="53"/>
      <c r="DX62" s="91" t="str">
        <f t="shared" si="63"/>
        <v>--</v>
      </c>
      <c r="DY62" s="89">
        <f>IF(Table645[[#This Row],[Column128]]="--",0,Table645[[#This Row],[Column4]]*Table645[[#This Row],[Column128]])</f>
        <v>0</v>
      </c>
      <c r="EA62" s="89">
        <f>IF(Table645[[#This Row],[Column128]]="--",0,Table645[[#This Row],[Column4]]*Table645[[#This Row],[Column128]])</f>
        <v>0</v>
      </c>
      <c r="EC62" s="89">
        <f>IF(Table645[[#This Row],[Column128]]="--",0,Table645[[#This Row],[Column4]]*Table645[[#This Row],[Column128]])</f>
        <v>0</v>
      </c>
      <c r="EE62" s="89">
        <f>IF(Table645[[#This Row],[Column128]]="--",0,Table645[[#This Row],[Column4]]*Table645[[#This Row],[Column128]])</f>
        <v>0</v>
      </c>
      <c r="EG62" s="89">
        <f>IF(Table645[[#This Row],[Column128]]="--",0,Table645[[#This Row],[Column4]]*Table645[[#This Row],[Column128]])</f>
        <v>0</v>
      </c>
      <c r="EI62" s="89">
        <f>IF(Table645[[#This Row],[Column128]]="--",0,Table645[[#This Row],[Column4]]*Table645[[#This Row],[Column128]])</f>
        <v>0</v>
      </c>
    </row>
    <row r="63" spans="1:139" x14ac:dyDescent="0.25">
      <c r="A63" s="140"/>
      <c r="B63" s="79"/>
      <c r="C63" s="140"/>
      <c r="D63" s="167"/>
      <c r="E63" s="52"/>
      <c r="F63" s="81"/>
      <c r="G63" s="81"/>
      <c r="H63" s="102" t="str">
        <f t="shared" si="54"/>
        <v>--</v>
      </c>
      <c r="I63" s="100">
        <f>IF(Table645[[#This Row],[Column8]]="--",0,Table645[[#This Row],[Column4]]*Table645[[#This Row],[Column8]])</f>
        <v>0</v>
      </c>
      <c r="J63" s="169"/>
      <c r="K63" s="85">
        <f>Table645[[#This Row],[Column4]]*Table645[[#This Row],[Column10]]</f>
        <v>0</v>
      </c>
      <c r="L63" s="170" t="str">
        <f t="shared" si="55"/>
        <v>--</v>
      </c>
      <c r="M63" s="214">
        <f>IF(Table645[[#This Row],[Column10]]=0,0,Table645[[#This Row],[Column4]]*Table645[[#This Row],[Column12]])</f>
        <v>0</v>
      </c>
      <c r="N63" s="87" t="str">
        <f t="shared" si="56"/>
        <v>--</v>
      </c>
      <c r="O63" s="138"/>
      <c r="AZ63" s="89">
        <f>IF(Table645[[#This Row],[Column14]]="--",0,Table645[[#This Row],[Column4]]*Table645[[#This Row],[Column14]])</f>
        <v>0</v>
      </c>
      <c r="BA63" s="90"/>
      <c r="BB63" s="91" t="str">
        <f>IF(BA63=0,"--",BA63*$BA$3*IF(Table645[[#This Row],[Column5]]&lt;4.1,1,2)/60/24)</f>
        <v>--</v>
      </c>
      <c r="BC63" s="92">
        <f>IF(Table645[[#This Row],[Column54]]="--",0,Table645[[#This Row],[Column4]]*Table645[[#This Row],[Column54]])</f>
        <v>0</v>
      </c>
      <c r="BD63" s="119"/>
      <c r="BE63" s="119"/>
      <c r="BF63" s="119"/>
      <c r="BG63" s="91" t="str">
        <f>IF(BD63+Table645[[#This Row],[Column58]]=0,"--",(BD63*$BF$3*Table645[[#This Row],[Column57]]+Table645[[#This Row],[Column58]]*$BF$4)/60/24)</f>
        <v>--</v>
      </c>
      <c r="BH63" s="92">
        <f>IF(Table645[[#This Row],[Column59]]="--",0,Table645[[#This Row],[Column4]]*Table645[[#This Row],[Column59]])</f>
        <v>0</v>
      </c>
      <c r="BI63" s="119"/>
      <c r="BJ63" s="91" t="str">
        <f t="shared" si="15"/>
        <v>--</v>
      </c>
      <c r="BK63" s="92">
        <f>IF(Table645[[#This Row],[Column62]]="--",0,Table645[[#This Row],[Column4]]*Table645[[#This Row],[Column62]])</f>
        <v>0</v>
      </c>
      <c r="BL63" s="93"/>
      <c r="BM63" s="91" t="str">
        <f t="shared" si="57"/>
        <v>--</v>
      </c>
      <c r="BN63" s="89">
        <f>IF(Table645[[#This Row],[Column65]]="--",0,Table645[[#This Row],[Column4]]*Table645[[#This Row],[Column65]])</f>
        <v>0</v>
      </c>
      <c r="BO63" s="163"/>
      <c r="BP63" s="164" t="str">
        <f t="shared" si="58"/>
        <v>--</v>
      </c>
      <c r="BQ63" s="160">
        <f>IF(Table645[[#This Row],[Column68]]="--",0,Table645[[#This Row],[Column4]]*Table645[[#This Row],[Column68]])</f>
        <v>0</v>
      </c>
      <c r="BR63" s="94"/>
      <c r="BS63" s="91" t="str">
        <f t="shared" si="59"/>
        <v>--</v>
      </c>
      <c r="BT63" s="92">
        <f>IF(Table645[[#This Row],[Column71]]="--",0,Table645[[#This Row],[Column4]]*Table645[[#This Row],[Column71]])</f>
        <v>0</v>
      </c>
      <c r="BU63" s="44"/>
      <c r="BV63" s="90"/>
      <c r="BW63" s="91" t="str">
        <f>IF(BV63=0,"--",(Table645[[#This Row],[Column73]]*$BV$4*(IF(J63&lt;0.5001,1,IF(J63&lt;2.0001,2,3)))+BV63/$BV$3)/60/24)</f>
        <v>--</v>
      </c>
      <c r="BX63" s="92">
        <f>IF(Table645[[#This Row],[Column75]]="--",0,Table645[[#This Row],[Column4]]*Table645[[#This Row],[Column75]])</f>
        <v>0</v>
      </c>
      <c r="BY63" s="95" t="s">
        <v>70</v>
      </c>
      <c r="BZ63" s="91" t="str">
        <f>IF(Table645[[#This Row],[Column74]]=0,"--",BW63*$BY$3)</f>
        <v>--</v>
      </c>
      <c r="CA63" s="89">
        <f>IF(Table645[[#This Row],[Column78]]="--",0,Table645[[#This Row],[Column4]]*Table645[[#This Row],[Column78]])</f>
        <v>0</v>
      </c>
      <c r="CB63" s="95" t="s">
        <v>70</v>
      </c>
      <c r="CC63" s="91" t="str">
        <f>IF(Table645[[#This Row],[Column10]]+Table645[[#This Row],[Column74]]=0,"--",J63*$CB$4*$CB$5/(24*60)+IF(Table645[[#This Row],[Column74]]=0,0,$CB$3*Table645[[#This Row],[Column75]]))</f>
        <v>--</v>
      </c>
      <c r="CD63" s="92">
        <f>IF(Table645[[#This Row],[Column81]]="--",0,Table645[[#This Row],[Column4]]*Table645[[#This Row],[Column81]])</f>
        <v>0</v>
      </c>
      <c r="CE63" s="215"/>
      <c r="CF63" s="91" t="str">
        <f t="shared" si="19"/>
        <v>--</v>
      </c>
      <c r="CG63" s="92">
        <f>IF(Table645[[#This Row],[Column84]]="--",0,Table645[[#This Row],[Column4]]*Table645[[#This Row],[Column84]])</f>
        <v>0</v>
      </c>
      <c r="CH63" s="226"/>
      <c r="CI63" s="216"/>
      <c r="CJ63" s="91" t="str">
        <f>IF(CI63=0,"--",(Table645[[#This Row],[Column86]]*$CI$4*(IF(W63&lt;0.5001,1,IF(W63&lt;2.0001,2,3)))+CI63/$CI$3)/60/24)</f>
        <v>--</v>
      </c>
      <c r="CK63" s="92">
        <f>IF(Table645[[#This Row],[Column88]]="--",0,Table645[[#This Row],[Column4]]*Table645[[#This Row],[Column88]])</f>
        <v>0</v>
      </c>
      <c r="CL63" s="217"/>
      <c r="CM63" s="91" t="str">
        <f>IF(Table645[[#This Row],[Column87]]=0,"--",CJ63*$CL$3)</f>
        <v>--</v>
      </c>
      <c r="CN63" s="92">
        <f>IF(Table645[[#This Row],[Column91]]="--",0,Table645[[#This Row],[Column4]]*Table645[[#This Row],[Column91]])</f>
        <v>0</v>
      </c>
      <c r="CO63" s="217"/>
      <c r="CP63" s="91" t="str">
        <f>IF(Table645[[#This Row],[Column10]]+Table645[[#This Row],[Column87]]=0, "--", IF($D63="", 1, $D63) * IF($J63="", 1, $J63) * $CO$3 * $CO$4 * IF(Table645[[#This Row],[Column95]]="", 1, Table645[[#This Row],[Column95]]) / (24 * 60))</f>
        <v>--</v>
      </c>
      <c r="CQ63" s="164"/>
      <c r="CR63" s="92">
        <f>IF(Table645[[#This Row],[Column94]]="--",0,Table645[[#This Row],[Column4]]*Table645[[#This Row],[Column94]])</f>
        <v>0</v>
      </c>
      <c r="CS63" s="218" t="str">
        <f>IF(Table645[[#This Row],[Column87]]="","",Table645[[#This Row],[Column87]])</f>
        <v/>
      </c>
      <c r="CT63" s="91" t="str">
        <f>IF(Table645[[#This Row],[Column97]]="","--",Table645[[#This Row],[Column97]]/$CS$3/60/24)</f>
        <v>--</v>
      </c>
      <c r="CU63" s="92">
        <f>IF(Table645[[#This Row],[Column98]]="--",0,Table645[[#This Row],[Column4]]*Table645[[#This Row],[Column98]])</f>
        <v>0</v>
      </c>
      <c r="CV63" s="93"/>
      <c r="CW63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63" s="91" t="str">
        <f>IF(OR(Table645[[#This Row],[Column74]]&gt;0,Table645[[#This Row],[Column87]]&gt;0),(Table645[[#This Row],[Column73]]+Table645[[#This Row],[Column86]]+1)*$CW$3/60/24,"--")</f>
        <v>--</v>
      </c>
      <c r="CY63" s="92">
        <f>IF(Table645[[#This Row],[Column102]]="--",0,Table645[[#This Row],[Column4]]*Table645[[#This Row],[Column102]])</f>
        <v>0</v>
      </c>
      <c r="CZ63" s="158" t="str">
        <f t="shared" si="60"/>
        <v>--</v>
      </c>
      <c r="DA63" s="153"/>
      <c r="DB63" s="160">
        <f>IF(Table645[[#This Row],[Column104]]="--",0,Table645[[#This Row],[Column4]]*Table645[[#This Row],[Column104]])</f>
        <v>0</v>
      </c>
      <c r="DC63" s="219"/>
      <c r="DD63" s="220" t="str">
        <f>IF(DC63=0,"--",1/$DC$3*1000/(60*60*24)*Table645[[#This Row],[Column107]])</f>
        <v>--</v>
      </c>
      <c r="DE63" s="160">
        <f>IF(Table645[[#This Row],[Column108]]="--",0,Table645[[#This Row],[Column4]]*Table645[[#This Row],[Column108]])</f>
        <v>0</v>
      </c>
      <c r="DF63" s="101" t="s">
        <v>70</v>
      </c>
      <c r="DG63" s="91" t="str">
        <f t="shared" si="61"/>
        <v>--</v>
      </c>
      <c r="DH63" s="89">
        <f>IF(Table645[[#This Row],[Column111]]="--",0,Table645[[#This Row],[Column4]]*Table645[[#This Row],[Column111]])</f>
        <v>0</v>
      </c>
      <c r="DI63" s="96"/>
      <c r="DJ63" s="96"/>
      <c r="DK63" s="96"/>
      <c r="DL63" s="96"/>
      <c r="DM63" s="96"/>
      <c r="DN63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63" s="89">
        <f>IF(Table645[[#This Row],[Column118]]="--",0,Table645[[#This Row],[Column4]]*Table645[[#This Row],[Column118]])</f>
        <v>0</v>
      </c>
      <c r="DP63" s="96"/>
      <c r="DQ63" s="96"/>
      <c r="DR63" s="91" t="str">
        <f t="shared" si="62"/>
        <v>--</v>
      </c>
      <c r="DS63" s="89">
        <f>IF(Table645[[#This Row],[Column122]]="--",0,Table645[[#This Row],[Column4]]*Table645[[#This Row],[Column122]])</f>
        <v>0</v>
      </c>
      <c r="DT63" t="str">
        <f>IF(Table645[[#This Row],[Column125]]=0,"--",Table645[[#This Row],[Column125]]*Table645[[#This Row],[Column126]]*Table645[[#This Row],[Column127]]/1000000000)</f>
        <v>--</v>
      </c>
      <c r="DU63" s="53"/>
      <c r="DV63" s="53"/>
      <c r="DW63" s="53"/>
      <c r="DX63" s="91" t="str">
        <f t="shared" si="63"/>
        <v>--</v>
      </c>
      <c r="DY63" s="89">
        <f>IF(Table645[[#This Row],[Column128]]="--",0,Table645[[#This Row],[Column4]]*Table645[[#This Row],[Column128]])</f>
        <v>0</v>
      </c>
      <c r="EA63" s="89">
        <f>IF(Table645[[#This Row],[Column128]]="--",0,Table645[[#This Row],[Column4]]*Table645[[#This Row],[Column128]])</f>
        <v>0</v>
      </c>
      <c r="EC63" s="89">
        <f>IF(Table645[[#This Row],[Column128]]="--",0,Table645[[#This Row],[Column4]]*Table645[[#This Row],[Column128]])</f>
        <v>0</v>
      </c>
      <c r="EE63" s="89">
        <f>IF(Table645[[#This Row],[Column128]]="--",0,Table645[[#This Row],[Column4]]*Table645[[#This Row],[Column128]])</f>
        <v>0</v>
      </c>
      <c r="EG63" s="89">
        <f>IF(Table645[[#This Row],[Column128]]="--",0,Table645[[#This Row],[Column4]]*Table645[[#This Row],[Column128]])</f>
        <v>0</v>
      </c>
      <c r="EI63" s="89">
        <f>IF(Table645[[#This Row],[Column128]]="--",0,Table645[[#This Row],[Column4]]*Table645[[#This Row],[Column128]])</f>
        <v>0</v>
      </c>
    </row>
    <row r="64" spans="1:139" x14ac:dyDescent="0.25">
      <c r="A64" s="140"/>
      <c r="B64" s="79"/>
      <c r="C64" s="140"/>
      <c r="D64" s="167"/>
      <c r="E64" s="52"/>
      <c r="F64" s="81"/>
      <c r="G64" s="81"/>
      <c r="H64" s="102" t="str">
        <f t="shared" si="54"/>
        <v>--</v>
      </c>
      <c r="I64" s="100">
        <f>IF(Table645[[#This Row],[Column8]]="--",0,Table645[[#This Row],[Column4]]*Table645[[#This Row],[Column8]])</f>
        <v>0</v>
      </c>
      <c r="J64" s="169"/>
      <c r="K64" s="85">
        <f>Table645[[#This Row],[Column4]]*Table645[[#This Row],[Column10]]</f>
        <v>0</v>
      </c>
      <c r="L64" s="170" t="str">
        <f t="shared" si="55"/>
        <v>--</v>
      </c>
      <c r="M64" s="214">
        <f>IF(Table645[[#This Row],[Column10]]=0,0,Table645[[#This Row],[Column4]]*Table645[[#This Row],[Column12]])</f>
        <v>0</v>
      </c>
      <c r="N64" s="87" t="str">
        <f t="shared" si="56"/>
        <v>--</v>
      </c>
      <c r="O64" s="138"/>
      <c r="AZ64" s="89">
        <f>IF(Table645[[#This Row],[Column14]]="--",0,Table645[[#This Row],[Column4]]*Table645[[#This Row],[Column14]])</f>
        <v>0</v>
      </c>
      <c r="BA64" s="90"/>
      <c r="BB64" s="91" t="str">
        <f>IF(BA64=0,"--",BA64*$BA$3*IF(Table645[[#This Row],[Column5]]&lt;4.1,1,2)/60/24)</f>
        <v>--</v>
      </c>
      <c r="BC64" s="92">
        <f>IF(Table645[[#This Row],[Column54]]="--",0,Table645[[#This Row],[Column4]]*Table645[[#This Row],[Column54]])</f>
        <v>0</v>
      </c>
      <c r="BD64" s="119"/>
      <c r="BE64" s="119"/>
      <c r="BF64" s="119"/>
      <c r="BG64" s="91" t="str">
        <f>IF(BD64+Table645[[#This Row],[Column58]]=0,"--",(BD64*$BF$3*Table645[[#This Row],[Column57]]+Table645[[#This Row],[Column58]]*$BF$4)/60/24)</f>
        <v>--</v>
      </c>
      <c r="BH64" s="92">
        <f>IF(Table645[[#This Row],[Column59]]="--",0,Table645[[#This Row],[Column4]]*Table645[[#This Row],[Column59]])</f>
        <v>0</v>
      </c>
      <c r="BI64" s="119"/>
      <c r="BJ64" s="91" t="str">
        <f t="shared" si="15"/>
        <v>--</v>
      </c>
      <c r="BK64" s="92">
        <f>IF(Table645[[#This Row],[Column62]]="--",0,Table645[[#This Row],[Column4]]*Table645[[#This Row],[Column62]])</f>
        <v>0</v>
      </c>
      <c r="BL64" s="93"/>
      <c r="BM64" s="91" t="str">
        <f t="shared" si="57"/>
        <v>--</v>
      </c>
      <c r="BN64" s="89">
        <f>IF(Table645[[#This Row],[Column65]]="--",0,Table645[[#This Row],[Column4]]*Table645[[#This Row],[Column65]])</f>
        <v>0</v>
      </c>
      <c r="BO64" s="163"/>
      <c r="BP64" s="164" t="str">
        <f t="shared" si="58"/>
        <v>--</v>
      </c>
      <c r="BQ64" s="160">
        <f>IF(Table645[[#This Row],[Column68]]="--",0,Table645[[#This Row],[Column4]]*Table645[[#This Row],[Column68]])</f>
        <v>0</v>
      </c>
      <c r="BR64" s="94"/>
      <c r="BS64" s="91" t="str">
        <f t="shared" si="59"/>
        <v>--</v>
      </c>
      <c r="BT64" s="92">
        <f>IF(Table645[[#This Row],[Column71]]="--",0,Table645[[#This Row],[Column4]]*Table645[[#This Row],[Column71]])</f>
        <v>0</v>
      </c>
      <c r="BU64" s="44"/>
      <c r="BV64" s="90"/>
      <c r="BW64" s="91" t="str">
        <f>IF(BV64=0,"--",(Table645[[#This Row],[Column73]]*$BV$4*(IF(J64&lt;0.5001,1,IF(J64&lt;2.0001,2,3)))+BV64/$BV$3)/60/24)</f>
        <v>--</v>
      </c>
      <c r="BX64" s="92">
        <f>IF(Table645[[#This Row],[Column75]]="--",0,Table645[[#This Row],[Column4]]*Table645[[#This Row],[Column75]])</f>
        <v>0</v>
      </c>
      <c r="BY64" s="95" t="s">
        <v>70</v>
      </c>
      <c r="BZ64" s="91" t="str">
        <f>IF(Table645[[#This Row],[Column74]]=0,"--",BW64*$BY$3)</f>
        <v>--</v>
      </c>
      <c r="CA64" s="89">
        <f>IF(Table645[[#This Row],[Column78]]="--",0,Table645[[#This Row],[Column4]]*Table645[[#This Row],[Column78]])</f>
        <v>0</v>
      </c>
      <c r="CB64" s="95" t="s">
        <v>70</v>
      </c>
      <c r="CC64" s="91" t="str">
        <f>IF(Table645[[#This Row],[Column10]]+Table645[[#This Row],[Column74]]=0,"--",J64*$CB$4*$CB$5/(24*60)+IF(Table645[[#This Row],[Column74]]=0,0,$CB$3*Table645[[#This Row],[Column75]]))</f>
        <v>--</v>
      </c>
      <c r="CD64" s="92">
        <f>IF(Table645[[#This Row],[Column81]]="--",0,Table645[[#This Row],[Column4]]*Table645[[#This Row],[Column81]])</f>
        <v>0</v>
      </c>
      <c r="CE64" s="215"/>
      <c r="CF64" s="91" t="str">
        <f t="shared" si="19"/>
        <v>--</v>
      </c>
      <c r="CG64" s="92">
        <f>IF(Table645[[#This Row],[Column84]]="--",0,Table645[[#This Row],[Column4]]*Table645[[#This Row],[Column84]])</f>
        <v>0</v>
      </c>
      <c r="CH64" s="226"/>
      <c r="CI64" s="216"/>
      <c r="CJ64" s="91" t="str">
        <f>IF(CI64=0,"--",(Table645[[#This Row],[Column86]]*$CI$4*(IF(W64&lt;0.5001,1,IF(W64&lt;2.0001,2,3)))+CI64/$CI$3)/60/24)</f>
        <v>--</v>
      </c>
      <c r="CK64" s="92">
        <f>IF(Table645[[#This Row],[Column88]]="--",0,Table645[[#This Row],[Column4]]*Table645[[#This Row],[Column88]])</f>
        <v>0</v>
      </c>
      <c r="CL64" s="217"/>
      <c r="CM64" s="91" t="str">
        <f>IF(Table645[[#This Row],[Column87]]=0,"--",CJ64*$CL$3)</f>
        <v>--</v>
      </c>
      <c r="CN64" s="92">
        <f>IF(Table645[[#This Row],[Column91]]="--",0,Table645[[#This Row],[Column4]]*Table645[[#This Row],[Column91]])</f>
        <v>0</v>
      </c>
      <c r="CO64" s="217"/>
      <c r="CP64" s="91" t="str">
        <f>IF(Table645[[#This Row],[Column10]]+Table645[[#This Row],[Column87]]=0, "--", IF($D64="", 1, $D64) * IF($J64="", 1, $J64) * $CO$3 * $CO$4 * IF(Table645[[#This Row],[Column95]]="", 1, Table645[[#This Row],[Column95]]) / (24 * 60))</f>
        <v>--</v>
      </c>
      <c r="CQ64" s="164"/>
      <c r="CR64" s="92">
        <f>IF(Table645[[#This Row],[Column94]]="--",0,Table645[[#This Row],[Column4]]*Table645[[#This Row],[Column94]])</f>
        <v>0</v>
      </c>
      <c r="CS64" s="218" t="str">
        <f>IF(Table645[[#This Row],[Column87]]="","",Table645[[#This Row],[Column87]])</f>
        <v/>
      </c>
      <c r="CT64" s="91" t="str">
        <f>IF(Table645[[#This Row],[Column97]]="","--",Table645[[#This Row],[Column97]]/$CS$3/60/24)</f>
        <v>--</v>
      </c>
      <c r="CU64" s="92">
        <f>IF(Table645[[#This Row],[Column98]]="--",0,Table645[[#This Row],[Column4]]*Table645[[#This Row],[Column98]])</f>
        <v>0</v>
      </c>
      <c r="CV64" s="93"/>
      <c r="CW64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64" s="91" t="str">
        <f>IF(OR(Table645[[#This Row],[Column74]]&gt;0,Table645[[#This Row],[Column87]]&gt;0),(Table645[[#This Row],[Column73]]+Table645[[#This Row],[Column86]]+1)*$CW$3/60/24,"--")</f>
        <v>--</v>
      </c>
      <c r="CY64" s="92">
        <f>IF(Table645[[#This Row],[Column102]]="--",0,Table645[[#This Row],[Column4]]*Table645[[#This Row],[Column102]])</f>
        <v>0</v>
      </c>
      <c r="CZ64" s="158" t="str">
        <f t="shared" si="60"/>
        <v>--</v>
      </c>
      <c r="DA64" s="153"/>
      <c r="DB64" s="160">
        <f>IF(Table645[[#This Row],[Column104]]="--",0,Table645[[#This Row],[Column4]]*Table645[[#This Row],[Column104]])</f>
        <v>0</v>
      </c>
      <c r="DC64" s="219"/>
      <c r="DD64" s="220" t="str">
        <f>IF(DC64=0,"--",1/$DC$3*1000/(60*60*24)*Table645[[#This Row],[Column107]])</f>
        <v>--</v>
      </c>
      <c r="DE64" s="160">
        <f>IF(Table645[[#This Row],[Column108]]="--",0,Table645[[#This Row],[Column4]]*Table645[[#This Row],[Column108]])</f>
        <v>0</v>
      </c>
      <c r="DF64" s="101" t="s">
        <v>70</v>
      </c>
      <c r="DG64" s="91" t="str">
        <f t="shared" si="61"/>
        <v>--</v>
      </c>
      <c r="DH64" s="89">
        <f>IF(Table645[[#This Row],[Column111]]="--",0,Table645[[#This Row],[Column4]]*Table645[[#This Row],[Column111]])</f>
        <v>0</v>
      </c>
      <c r="DI64" s="96"/>
      <c r="DJ64" s="96"/>
      <c r="DK64" s="96"/>
      <c r="DL64" s="96"/>
      <c r="DM64" s="96"/>
      <c r="DN64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64" s="89">
        <f>IF(Table645[[#This Row],[Column118]]="--",0,Table645[[#This Row],[Column4]]*Table645[[#This Row],[Column118]])</f>
        <v>0</v>
      </c>
      <c r="DP64" s="96"/>
      <c r="DQ64" s="96"/>
      <c r="DR64" s="91" t="str">
        <f t="shared" si="62"/>
        <v>--</v>
      </c>
      <c r="DS64" s="89">
        <f>IF(Table645[[#This Row],[Column122]]="--",0,Table645[[#This Row],[Column4]]*Table645[[#This Row],[Column122]])</f>
        <v>0</v>
      </c>
      <c r="DT64" t="str">
        <f>IF(Table645[[#This Row],[Column125]]=0,"--",Table645[[#This Row],[Column125]]*Table645[[#This Row],[Column126]]*Table645[[#This Row],[Column127]]/1000000000)</f>
        <v>--</v>
      </c>
      <c r="DU64" s="53"/>
      <c r="DV64" s="53"/>
      <c r="DW64" s="53"/>
      <c r="DX64" s="91" t="str">
        <f t="shared" si="63"/>
        <v>--</v>
      </c>
      <c r="DY64" s="89">
        <f>IF(Table645[[#This Row],[Column128]]="--",0,Table645[[#This Row],[Column4]]*Table645[[#This Row],[Column128]])</f>
        <v>0</v>
      </c>
      <c r="EA64" s="89">
        <f>IF(Table645[[#This Row],[Column128]]="--",0,Table645[[#This Row],[Column4]]*Table645[[#This Row],[Column128]])</f>
        <v>0</v>
      </c>
      <c r="EC64" s="89">
        <f>IF(Table645[[#This Row],[Column128]]="--",0,Table645[[#This Row],[Column4]]*Table645[[#This Row],[Column128]])</f>
        <v>0</v>
      </c>
      <c r="EE64" s="89">
        <f>IF(Table645[[#This Row],[Column128]]="--",0,Table645[[#This Row],[Column4]]*Table645[[#This Row],[Column128]])</f>
        <v>0</v>
      </c>
      <c r="EG64" s="89">
        <f>IF(Table645[[#This Row],[Column128]]="--",0,Table645[[#This Row],[Column4]]*Table645[[#This Row],[Column128]])</f>
        <v>0</v>
      </c>
      <c r="EI64" s="89">
        <f>IF(Table645[[#This Row],[Column128]]="--",0,Table645[[#This Row],[Column4]]*Table645[[#This Row],[Column128]])</f>
        <v>0</v>
      </c>
    </row>
    <row r="65" spans="1:139" x14ac:dyDescent="0.25">
      <c r="A65" s="140"/>
      <c r="B65" s="79"/>
      <c r="C65" s="140"/>
      <c r="D65" s="167"/>
      <c r="E65" s="52"/>
      <c r="F65" s="81"/>
      <c r="G65" s="81"/>
      <c r="H65" s="102" t="str">
        <f t="shared" si="54"/>
        <v>--</v>
      </c>
      <c r="I65" s="100">
        <f>IF(Table645[[#This Row],[Column8]]="--",0,Table645[[#This Row],[Column4]]*Table645[[#This Row],[Column8]])</f>
        <v>0</v>
      </c>
      <c r="J65" s="169"/>
      <c r="K65" s="85">
        <f>Table645[[#This Row],[Column4]]*Table645[[#This Row],[Column10]]</f>
        <v>0</v>
      </c>
      <c r="L65" s="170" t="str">
        <f t="shared" si="55"/>
        <v>--</v>
      </c>
      <c r="M65" s="214">
        <f>IF(Table645[[#This Row],[Column10]]=0,0,Table645[[#This Row],[Column4]]*Table645[[#This Row],[Column12]])</f>
        <v>0</v>
      </c>
      <c r="N65" s="87" t="str">
        <f t="shared" si="56"/>
        <v>--</v>
      </c>
      <c r="O65" s="138"/>
      <c r="AZ65" s="89">
        <f>IF(Table645[[#This Row],[Column14]]="--",0,Table645[[#This Row],[Column4]]*Table645[[#This Row],[Column14]])</f>
        <v>0</v>
      </c>
      <c r="BA65" s="90"/>
      <c r="BB65" s="91" t="str">
        <f>IF(BA65=0,"--",BA65*$BA$3*IF(Table645[[#This Row],[Column5]]&lt;4.1,1,2)/60/24)</f>
        <v>--</v>
      </c>
      <c r="BC65" s="92">
        <f>IF(Table645[[#This Row],[Column54]]="--",0,Table645[[#This Row],[Column4]]*Table645[[#This Row],[Column54]])</f>
        <v>0</v>
      </c>
      <c r="BD65" s="119"/>
      <c r="BE65" s="119"/>
      <c r="BF65" s="119"/>
      <c r="BG65" s="91" t="str">
        <f>IF(BD65+Table645[[#This Row],[Column58]]=0,"--",(BD65*$BF$3*Table645[[#This Row],[Column57]]+Table645[[#This Row],[Column58]]*$BF$4)/60/24)</f>
        <v>--</v>
      </c>
      <c r="BH65" s="92">
        <f>IF(Table645[[#This Row],[Column59]]="--",0,Table645[[#This Row],[Column4]]*Table645[[#This Row],[Column59]])</f>
        <v>0</v>
      </c>
      <c r="BI65" s="119"/>
      <c r="BJ65" s="91" t="str">
        <f t="shared" si="15"/>
        <v>--</v>
      </c>
      <c r="BK65" s="92">
        <f>IF(Table645[[#This Row],[Column62]]="--",0,Table645[[#This Row],[Column4]]*Table645[[#This Row],[Column62]])</f>
        <v>0</v>
      </c>
      <c r="BL65" s="93"/>
      <c r="BM65" s="91" t="str">
        <f t="shared" si="57"/>
        <v>--</v>
      </c>
      <c r="BN65" s="89">
        <f>IF(Table645[[#This Row],[Column65]]="--",0,Table645[[#This Row],[Column4]]*Table645[[#This Row],[Column65]])</f>
        <v>0</v>
      </c>
      <c r="BO65" s="163"/>
      <c r="BP65" s="164" t="str">
        <f t="shared" si="58"/>
        <v>--</v>
      </c>
      <c r="BQ65" s="160">
        <f>IF(Table645[[#This Row],[Column68]]="--",0,Table645[[#This Row],[Column4]]*Table645[[#This Row],[Column68]])</f>
        <v>0</v>
      </c>
      <c r="BR65" s="94"/>
      <c r="BS65" s="91" t="str">
        <f t="shared" si="59"/>
        <v>--</v>
      </c>
      <c r="BT65" s="92">
        <f>IF(Table645[[#This Row],[Column71]]="--",0,Table645[[#This Row],[Column4]]*Table645[[#This Row],[Column71]])</f>
        <v>0</v>
      </c>
      <c r="BU65" s="44"/>
      <c r="BV65" s="90"/>
      <c r="BW65" s="91" t="str">
        <f>IF(BV65=0,"--",(Table645[[#This Row],[Column73]]*$BV$4*(IF(J65&lt;0.5001,1,IF(J65&lt;2.0001,2,3)))+BV65/$BV$3)/60/24)</f>
        <v>--</v>
      </c>
      <c r="BX65" s="92">
        <f>IF(Table645[[#This Row],[Column75]]="--",0,Table645[[#This Row],[Column4]]*Table645[[#This Row],[Column75]])</f>
        <v>0</v>
      </c>
      <c r="BY65" s="95" t="s">
        <v>70</v>
      </c>
      <c r="BZ65" s="91" t="str">
        <f>IF(Table645[[#This Row],[Column74]]=0,"--",BW65*$BY$3)</f>
        <v>--</v>
      </c>
      <c r="CA65" s="89">
        <f>IF(Table645[[#This Row],[Column78]]="--",0,Table645[[#This Row],[Column4]]*Table645[[#This Row],[Column78]])</f>
        <v>0</v>
      </c>
      <c r="CB65" s="95" t="s">
        <v>70</v>
      </c>
      <c r="CC65" s="91" t="str">
        <f>IF(Table645[[#This Row],[Column10]]+Table645[[#This Row],[Column74]]=0,"--",J65*$CB$4*$CB$5/(24*60)+IF(Table645[[#This Row],[Column74]]=0,0,$CB$3*Table645[[#This Row],[Column75]]))</f>
        <v>--</v>
      </c>
      <c r="CD65" s="92">
        <f>IF(Table645[[#This Row],[Column81]]="--",0,Table645[[#This Row],[Column4]]*Table645[[#This Row],[Column81]])</f>
        <v>0</v>
      </c>
      <c r="CE65" s="215"/>
      <c r="CF65" s="91" t="str">
        <f t="shared" si="19"/>
        <v>--</v>
      </c>
      <c r="CG65" s="92">
        <f>IF(Table645[[#This Row],[Column84]]="--",0,Table645[[#This Row],[Column4]]*Table645[[#This Row],[Column84]])</f>
        <v>0</v>
      </c>
      <c r="CH65" s="226"/>
      <c r="CI65" s="216"/>
      <c r="CJ65" s="91" t="str">
        <f>IF(CI65=0,"--",(Table645[[#This Row],[Column86]]*$CI$4*(IF(W65&lt;0.5001,1,IF(W65&lt;2.0001,2,3)))+CI65/$CI$3)/60/24)</f>
        <v>--</v>
      </c>
      <c r="CK65" s="92">
        <f>IF(Table645[[#This Row],[Column88]]="--",0,Table645[[#This Row],[Column4]]*Table645[[#This Row],[Column88]])</f>
        <v>0</v>
      </c>
      <c r="CL65" s="217"/>
      <c r="CM65" s="91" t="str">
        <f>IF(Table645[[#This Row],[Column87]]=0,"--",CJ65*$CL$3)</f>
        <v>--</v>
      </c>
      <c r="CN65" s="92">
        <f>IF(Table645[[#This Row],[Column91]]="--",0,Table645[[#This Row],[Column4]]*Table645[[#This Row],[Column91]])</f>
        <v>0</v>
      </c>
      <c r="CO65" s="217"/>
      <c r="CP65" s="91" t="str">
        <f>IF(Table645[[#This Row],[Column10]]+Table645[[#This Row],[Column87]]=0, "--", IF($D65="", 1, $D65) * IF($J65="", 1, $J65) * $CO$3 * $CO$4 * IF(Table645[[#This Row],[Column95]]="", 1, Table645[[#This Row],[Column95]]) / (24 * 60))</f>
        <v>--</v>
      </c>
      <c r="CQ65" s="164"/>
      <c r="CR65" s="92">
        <f>IF(Table645[[#This Row],[Column94]]="--",0,Table645[[#This Row],[Column4]]*Table645[[#This Row],[Column94]])</f>
        <v>0</v>
      </c>
      <c r="CS65" s="218" t="str">
        <f>IF(Table645[[#This Row],[Column87]]="","",Table645[[#This Row],[Column87]])</f>
        <v/>
      </c>
      <c r="CT65" s="91" t="str">
        <f>IF(Table645[[#This Row],[Column97]]="","--",Table645[[#This Row],[Column97]]/$CS$3/60/24)</f>
        <v>--</v>
      </c>
      <c r="CU65" s="92">
        <f>IF(Table645[[#This Row],[Column98]]="--",0,Table645[[#This Row],[Column4]]*Table645[[#This Row],[Column98]])</f>
        <v>0</v>
      </c>
      <c r="CV65" s="93"/>
      <c r="CW65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65" s="91" t="str">
        <f>IF(OR(Table645[[#This Row],[Column74]]&gt;0,Table645[[#This Row],[Column87]]&gt;0),(Table645[[#This Row],[Column73]]+Table645[[#This Row],[Column86]]+1)*$CW$3/60/24,"--")</f>
        <v>--</v>
      </c>
      <c r="CY65" s="92">
        <f>IF(Table645[[#This Row],[Column102]]="--",0,Table645[[#This Row],[Column4]]*Table645[[#This Row],[Column102]])</f>
        <v>0</v>
      </c>
      <c r="CZ65" s="158" t="str">
        <f t="shared" si="60"/>
        <v>--</v>
      </c>
      <c r="DA65" s="153"/>
      <c r="DB65" s="160">
        <f>IF(Table645[[#This Row],[Column104]]="--",0,Table645[[#This Row],[Column4]]*Table645[[#This Row],[Column104]])</f>
        <v>0</v>
      </c>
      <c r="DC65" s="219"/>
      <c r="DD65" s="220" t="str">
        <f>IF(DC65=0,"--",1/$DC$3*1000/(60*60*24)*Table645[[#This Row],[Column107]])</f>
        <v>--</v>
      </c>
      <c r="DE65" s="160">
        <f>IF(Table645[[#This Row],[Column108]]="--",0,Table645[[#This Row],[Column4]]*Table645[[#This Row],[Column108]])</f>
        <v>0</v>
      </c>
      <c r="DF65" s="101" t="s">
        <v>70</v>
      </c>
      <c r="DG65" s="91" t="str">
        <f t="shared" si="61"/>
        <v>--</v>
      </c>
      <c r="DH65" s="89">
        <f>IF(Table645[[#This Row],[Column111]]="--",0,Table645[[#This Row],[Column4]]*Table645[[#This Row],[Column111]])</f>
        <v>0</v>
      </c>
      <c r="DI65" s="96"/>
      <c r="DJ65" s="96"/>
      <c r="DK65" s="96"/>
      <c r="DL65" s="96"/>
      <c r="DM65" s="96"/>
      <c r="DN65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65" s="89">
        <f>IF(Table645[[#This Row],[Column118]]="--",0,Table645[[#This Row],[Column4]]*Table645[[#This Row],[Column118]])</f>
        <v>0</v>
      </c>
      <c r="DP65" s="96"/>
      <c r="DQ65" s="96"/>
      <c r="DR65" s="91" t="str">
        <f t="shared" si="62"/>
        <v>--</v>
      </c>
      <c r="DS65" s="89">
        <f>IF(Table645[[#This Row],[Column122]]="--",0,Table645[[#This Row],[Column4]]*Table645[[#This Row],[Column122]])</f>
        <v>0</v>
      </c>
      <c r="DT65" t="str">
        <f>IF(Table645[[#This Row],[Column125]]=0,"--",Table645[[#This Row],[Column125]]*Table645[[#This Row],[Column126]]*Table645[[#This Row],[Column127]]/1000000000)</f>
        <v>--</v>
      </c>
      <c r="DU65" s="53"/>
      <c r="DV65" s="53"/>
      <c r="DW65" s="53"/>
      <c r="DX65" s="91" t="str">
        <f t="shared" si="63"/>
        <v>--</v>
      </c>
      <c r="DY65" s="89">
        <f>IF(Table645[[#This Row],[Column128]]="--",0,Table645[[#This Row],[Column4]]*Table645[[#This Row],[Column128]])</f>
        <v>0</v>
      </c>
      <c r="EA65" s="89">
        <f>IF(Table645[[#This Row],[Column128]]="--",0,Table645[[#This Row],[Column4]]*Table645[[#This Row],[Column128]])</f>
        <v>0</v>
      </c>
      <c r="EC65" s="89">
        <f>IF(Table645[[#This Row],[Column128]]="--",0,Table645[[#This Row],[Column4]]*Table645[[#This Row],[Column128]])</f>
        <v>0</v>
      </c>
      <c r="EE65" s="89">
        <f>IF(Table645[[#This Row],[Column128]]="--",0,Table645[[#This Row],[Column4]]*Table645[[#This Row],[Column128]])</f>
        <v>0</v>
      </c>
      <c r="EG65" s="89">
        <f>IF(Table645[[#This Row],[Column128]]="--",0,Table645[[#This Row],[Column4]]*Table645[[#This Row],[Column128]])</f>
        <v>0</v>
      </c>
      <c r="EI65" s="89">
        <f>IF(Table645[[#This Row],[Column128]]="--",0,Table645[[#This Row],[Column4]]*Table645[[#This Row],[Column128]])</f>
        <v>0</v>
      </c>
    </row>
    <row r="66" spans="1:139" x14ac:dyDescent="0.25">
      <c r="A66" s="140"/>
      <c r="B66" s="79"/>
      <c r="C66" s="140"/>
      <c r="D66" s="167"/>
      <c r="E66" s="52"/>
      <c r="F66" s="81"/>
      <c r="G66" s="81"/>
      <c r="H66" s="102" t="str">
        <f t="shared" si="54"/>
        <v>--</v>
      </c>
      <c r="I66" s="100">
        <f>IF(Table645[[#This Row],[Column8]]="--",0,Table645[[#This Row],[Column4]]*Table645[[#This Row],[Column8]])</f>
        <v>0</v>
      </c>
      <c r="J66" s="169"/>
      <c r="K66" s="85">
        <f>Table645[[#This Row],[Column4]]*Table645[[#This Row],[Column10]]</f>
        <v>0</v>
      </c>
      <c r="L66" s="170" t="str">
        <f t="shared" si="55"/>
        <v>--</v>
      </c>
      <c r="M66" s="214">
        <f>IF(Table645[[#This Row],[Column10]]=0,0,Table645[[#This Row],[Column4]]*Table645[[#This Row],[Column12]])</f>
        <v>0</v>
      </c>
      <c r="N66" s="87" t="str">
        <f t="shared" si="56"/>
        <v>--</v>
      </c>
      <c r="O66" s="138"/>
      <c r="AZ66" s="89">
        <f>IF(Table645[[#This Row],[Column14]]="--",0,Table645[[#This Row],[Column4]]*Table645[[#This Row],[Column14]])</f>
        <v>0</v>
      </c>
      <c r="BA66" s="90"/>
      <c r="BB66" s="91" t="str">
        <f>IF(BA66=0,"--",BA66*$BA$3*IF(Table645[[#This Row],[Column5]]&lt;4.1,1,2)/60/24)</f>
        <v>--</v>
      </c>
      <c r="BC66" s="92">
        <f>IF(Table645[[#This Row],[Column54]]="--",0,Table645[[#This Row],[Column4]]*Table645[[#This Row],[Column54]])</f>
        <v>0</v>
      </c>
      <c r="BD66" s="119"/>
      <c r="BE66" s="119"/>
      <c r="BF66" s="119"/>
      <c r="BG66" s="91" t="str">
        <f>IF(BD66+Table645[[#This Row],[Column58]]=0,"--",(BD66*$BF$3*Table645[[#This Row],[Column57]]+Table645[[#This Row],[Column58]]*$BF$4)/60/24)</f>
        <v>--</v>
      </c>
      <c r="BH66" s="92">
        <f>IF(Table645[[#This Row],[Column59]]="--",0,Table645[[#This Row],[Column4]]*Table645[[#This Row],[Column59]])</f>
        <v>0</v>
      </c>
      <c r="BI66" s="119"/>
      <c r="BJ66" s="91" t="str">
        <f t="shared" si="15"/>
        <v>--</v>
      </c>
      <c r="BK66" s="92">
        <f>IF(Table645[[#This Row],[Column62]]="--",0,Table645[[#This Row],[Column4]]*Table645[[#This Row],[Column62]])</f>
        <v>0</v>
      </c>
      <c r="BL66" s="93"/>
      <c r="BM66" s="91" t="str">
        <f t="shared" si="57"/>
        <v>--</v>
      </c>
      <c r="BN66" s="89">
        <f>IF(Table645[[#This Row],[Column65]]="--",0,Table645[[#This Row],[Column4]]*Table645[[#This Row],[Column65]])</f>
        <v>0</v>
      </c>
      <c r="BO66" s="163"/>
      <c r="BP66" s="164" t="str">
        <f t="shared" si="58"/>
        <v>--</v>
      </c>
      <c r="BQ66" s="160">
        <f>IF(Table645[[#This Row],[Column68]]="--",0,Table645[[#This Row],[Column4]]*Table645[[#This Row],[Column68]])</f>
        <v>0</v>
      </c>
      <c r="BR66" s="94"/>
      <c r="BS66" s="91" t="str">
        <f t="shared" si="59"/>
        <v>--</v>
      </c>
      <c r="BT66" s="92">
        <f>IF(Table645[[#This Row],[Column71]]="--",0,Table645[[#This Row],[Column4]]*Table645[[#This Row],[Column71]])</f>
        <v>0</v>
      </c>
      <c r="BU66" s="44"/>
      <c r="BV66" s="90"/>
      <c r="BW66" s="91" t="str">
        <f>IF(BV66=0,"--",(Table645[[#This Row],[Column73]]*$BV$4*(IF(J66&lt;0.5001,1,IF(J66&lt;2.0001,2,3)))+BV66/$BV$3)/60/24)</f>
        <v>--</v>
      </c>
      <c r="BX66" s="92">
        <f>IF(Table645[[#This Row],[Column75]]="--",0,Table645[[#This Row],[Column4]]*Table645[[#This Row],[Column75]])</f>
        <v>0</v>
      </c>
      <c r="BY66" s="95" t="s">
        <v>70</v>
      </c>
      <c r="BZ66" s="91" t="str">
        <f>IF(Table645[[#This Row],[Column74]]=0,"--",BW66*$BY$3)</f>
        <v>--</v>
      </c>
      <c r="CA66" s="89">
        <f>IF(Table645[[#This Row],[Column78]]="--",0,Table645[[#This Row],[Column4]]*Table645[[#This Row],[Column78]])</f>
        <v>0</v>
      </c>
      <c r="CB66" s="95" t="s">
        <v>70</v>
      </c>
      <c r="CC66" s="91" t="str">
        <f>IF(Table645[[#This Row],[Column10]]+Table645[[#This Row],[Column74]]=0,"--",J66*$CB$4*$CB$5/(24*60)+IF(Table645[[#This Row],[Column74]]=0,0,$CB$3*Table645[[#This Row],[Column75]]))</f>
        <v>--</v>
      </c>
      <c r="CD66" s="92">
        <f>IF(Table645[[#This Row],[Column81]]="--",0,Table645[[#This Row],[Column4]]*Table645[[#This Row],[Column81]])</f>
        <v>0</v>
      </c>
      <c r="CE66" s="215"/>
      <c r="CF66" s="91" t="str">
        <f t="shared" si="19"/>
        <v>--</v>
      </c>
      <c r="CG66" s="92">
        <f>IF(Table645[[#This Row],[Column84]]="--",0,Table645[[#This Row],[Column4]]*Table645[[#This Row],[Column84]])</f>
        <v>0</v>
      </c>
      <c r="CH66" s="226"/>
      <c r="CI66" s="216"/>
      <c r="CJ66" s="91" t="str">
        <f>IF(CI66=0,"--",(Table645[[#This Row],[Column86]]*$CI$4*(IF(W66&lt;0.5001,1,IF(W66&lt;2.0001,2,3)))+CI66/$CI$3)/60/24)</f>
        <v>--</v>
      </c>
      <c r="CK66" s="92">
        <f>IF(Table645[[#This Row],[Column88]]="--",0,Table645[[#This Row],[Column4]]*Table645[[#This Row],[Column88]])</f>
        <v>0</v>
      </c>
      <c r="CL66" s="217"/>
      <c r="CM66" s="91" t="str">
        <f>IF(Table645[[#This Row],[Column87]]=0,"--",CJ66*$CL$3)</f>
        <v>--</v>
      </c>
      <c r="CN66" s="92">
        <f>IF(Table645[[#This Row],[Column91]]="--",0,Table645[[#This Row],[Column4]]*Table645[[#This Row],[Column91]])</f>
        <v>0</v>
      </c>
      <c r="CO66" s="217"/>
      <c r="CP66" s="91" t="str">
        <f>IF(Table645[[#This Row],[Column10]]+Table645[[#This Row],[Column87]]=0, "--", IF($D66="", 1, $D66) * IF($J66="", 1, $J66) * $CO$3 * $CO$4 * IF(Table645[[#This Row],[Column95]]="", 1, Table645[[#This Row],[Column95]]) / (24 * 60))</f>
        <v>--</v>
      </c>
      <c r="CQ66" s="164"/>
      <c r="CR66" s="92">
        <f>IF(Table645[[#This Row],[Column94]]="--",0,Table645[[#This Row],[Column4]]*Table645[[#This Row],[Column94]])</f>
        <v>0</v>
      </c>
      <c r="CS66" s="218" t="str">
        <f>IF(Table645[[#This Row],[Column87]]="","",Table645[[#This Row],[Column87]])</f>
        <v/>
      </c>
      <c r="CT66" s="91" t="str">
        <f>IF(Table645[[#This Row],[Column97]]="","--",Table645[[#This Row],[Column97]]/$CS$3/60/24)</f>
        <v>--</v>
      </c>
      <c r="CU66" s="92">
        <f>IF(Table645[[#This Row],[Column98]]="--",0,Table645[[#This Row],[Column4]]*Table645[[#This Row],[Column98]])</f>
        <v>0</v>
      </c>
      <c r="CV66" s="93"/>
      <c r="CW66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66" s="91" t="str">
        <f>IF(OR(Table645[[#This Row],[Column74]]&gt;0,Table645[[#This Row],[Column87]]&gt;0),(Table645[[#This Row],[Column73]]+Table645[[#This Row],[Column86]]+1)*$CW$3/60/24,"--")</f>
        <v>--</v>
      </c>
      <c r="CY66" s="92">
        <f>IF(Table645[[#This Row],[Column102]]="--",0,Table645[[#This Row],[Column4]]*Table645[[#This Row],[Column102]])</f>
        <v>0</v>
      </c>
      <c r="CZ66" s="158" t="str">
        <f t="shared" si="60"/>
        <v>--</v>
      </c>
      <c r="DA66" s="153"/>
      <c r="DB66" s="160">
        <f>IF(Table645[[#This Row],[Column104]]="--",0,Table645[[#This Row],[Column4]]*Table645[[#This Row],[Column104]])</f>
        <v>0</v>
      </c>
      <c r="DC66" s="219"/>
      <c r="DD66" s="220" t="str">
        <f>IF(DC66=0,"--",1/$DC$3*1000/(60*60*24)*Table645[[#This Row],[Column107]])</f>
        <v>--</v>
      </c>
      <c r="DE66" s="160">
        <f>IF(Table645[[#This Row],[Column108]]="--",0,Table645[[#This Row],[Column4]]*Table645[[#This Row],[Column108]])</f>
        <v>0</v>
      </c>
      <c r="DF66" s="101" t="s">
        <v>70</v>
      </c>
      <c r="DG66" s="91" t="str">
        <f t="shared" si="61"/>
        <v>--</v>
      </c>
      <c r="DH66" s="89">
        <f>IF(Table645[[#This Row],[Column111]]="--",0,Table645[[#This Row],[Column4]]*Table645[[#This Row],[Column111]])</f>
        <v>0</v>
      </c>
      <c r="DI66" s="96"/>
      <c r="DJ66" s="96"/>
      <c r="DK66" s="96"/>
      <c r="DL66" s="96"/>
      <c r="DM66" s="96"/>
      <c r="DN66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66" s="89">
        <f>IF(Table645[[#This Row],[Column118]]="--",0,Table645[[#This Row],[Column4]]*Table645[[#This Row],[Column118]])</f>
        <v>0</v>
      </c>
      <c r="DP66" s="96"/>
      <c r="DQ66" s="96"/>
      <c r="DR66" s="91" t="str">
        <f t="shared" si="62"/>
        <v>--</v>
      </c>
      <c r="DS66" s="89">
        <f>IF(Table645[[#This Row],[Column122]]="--",0,Table645[[#This Row],[Column4]]*Table645[[#This Row],[Column122]])</f>
        <v>0</v>
      </c>
      <c r="DT66" t="str">
        <f>IF(Table645[[#This Row],[Column125]]=0,"--",Table645[[#This Row],[Column125]]*Table645[[#This Row],[Column126]]*Table645[[#This Row],[Column127]]/1000000000)</f>
        <v>--</v>
      </c>
      <c r="DU66" s="53"/>
      <c r="DV66" s="53"/>
      <c r="DW66" s="53"/>
      <c r="DX66" s="91" t="str">
        <f t="shared" si="63"/>
        <v>--</v>
      </c>
      <c r="DY66" s="89">
        <f>IF(Table645[[#This Row],[Column128]]="--",0,Table645[[#This Row],[Column4]]*Table645[[#This Row],[Column128]])</f>
        <v>0</v>
      </c>
      <c r="EA66" s="89">
        <f>IF(Table645[[#This Row],[Column128]]="--",0,Table645[[#This Row],[Column4]]*Table645[[#This Row],[Column128]])</f>
        <v>0</v>
      </c>
      <c r="EC66" s="89">
        <f>IF(Table645[[#This Row],[Column128]]="--",0,Table645[[#This Row],[Column4]]*Table645[[#This Row],[Column128]])</f>
        <v>0</v>
      </c>
      <c r="EE66" s="89">
        <f>IF(Table645[[#This Row],[Column128]]="--",0,Table645[[#This Row],[Column4]]*Table645[[#This Row],[Column128]])</f>
        <v>0</v>
      </c>
      <c r="EG66" s="89">
        <f>IF(Table645[[#This Row],[Column128]]="--",0,Table645[[#This Row],[Column4]]*Table645[[#This Row],[Column128]])</f>
        <v>0</v>
      </c>
      <c r="EI66" s="89">
        <f>IF(Table645[[#This Row],[Column128]]="--",0,Table645[[#This Row],[Column4]]*Table645[[#This Row],[Column128]])</f>
        <v>0</v>
      </c>
    </row>
    <row r="67" spans="1:139" x14ac:dyDescent="0.25">
      <c r="A67" s="140"/>
      <c r="B67" s="79"/>
      <c r="C67" s="140"/>
      <c r="D67" s="167"/>
      <c r="E67" s="52"/>
      <c r="F67" s="81"/>
      <c r="G67" s="81"/>
      <c r="H67" s="102" t="str">
        <f t="shared" si="54"/>
        <v>--</v>
      </c>
      <c r="I67" s="100">
        <f>IF(Table645[[#This Row],[Column8]]="--",0,Table645[[#This Row],[Column4]]*Table645[[#This Row],[Column8]])</f>
        <v>0</v>
      </c>
      <c r="J67" s="169"/>
      <c r="K67" s="85">
        <f>Table645[[#This Row],[Column4]]*Table645[[#This Row],[Column10]]</f>
        <v>0</v>
      </c>
      <c r="L67" s="170" t="str">
        <f t="shared" si="55"/>
        <v>--</v>
      </c>
      <c r="M67" s="214">
        <f>IF(Table645[[#This Row],[Column10]]=0,0,Table645[[#This Row],[Column4]]*Table645[[#This Row],[Column12]])</f>
        <v>0</v>
      </c>
      <c r="N67" s="87" t="str">
        <f t="shared" si="56"/>
        <v>--</v>
      </c>
      <c r="O67" s="138"/>
      <c r="AZ67" s="89">
        <f>IF(Table645[[#This Row],[Column14]]="--",0,Table645[[#This Row],[Column4]]*Table645[[#This Row],[Column14]])</f>
        <v>0</v>
      </c>
      <c r="BA67" s="90"/>
      <c r="BB67" s="91" t="str">
        <f>IF(BA67=0,"--",BA67*$BA$3*IF(Table645[[#This Row],[Column5]]&lt;4.1,1,2)/60/24)</f>
        <v>--</v>
      </c>
      <c r="BC67" s="92">
        <f>IF(Table645[[#This Row],[Column54]]="--",0,Table645[[#This Row],[Column4]]*Table645[[#This Row],[Column54]])</f>
        <v>0</v>
      </c>
      <c r="BD67" s="119"/>
      <c r="BE67" s="119"/>
      <c r="BF67" s="119"/>
      <c r="BG67" s="91" t="str">
        <f>IF(BD67+Table645[[#This Row],[Column58]]=0,"--",(BD67*$BF$3*Table645[[#This Row],[Column57]]+Table645[[#This Row],[Column58]]*$BF$4)/60/24)</f>
        <v>--</v>
      </c>
      <c r="BH67" s="92">
        <f>IF(Table645[[#This Row],[Column59]]="--",0,Table645[[#This Row],[Column4]]*Table645[[#This Row],[Column59]])</f>
        <v>0</v>
      </c>
      <c r="BI67" s="119"/>
      <c r="BJ67" s="91" t="str">
        <f t="shared" si="15"/>
        <v>--</v>
      </c>
      <c r="BK67" s="92">
        <f>IF(Table645[[#This Row],[Column62]]="--",0,Table645[[#This Row],[Column4]]*Table645[[#This Row],[Column62]])</f>
        <v>0</v>
      </c>
      <c r="BL67" s="93"/>
      <c r="BM67" s="91" t="str">
        <f t="shared" si="57"/>
        <v>--</v>
      </c>
      <c r="BN67" s="89">
        <f>IF(Table645[[#This Row],[Column65]]="--",0,Table645[[#This Row],[Column4]]*Table645[[#This Row],[Column65]])</f>
        <v>0</v>
      </c>
      <c r="BO67" s="163"/>
      <c r="BP67" s="164" t="str">
        <f t="shared" si="58"/>
        <v>--</v>
      </c>
      <c r="BQ67" s="160">
        <f>IF(Table645[[#This Row],[Column68]]="--",0,Table645[[#This Row],[Column4]]*Table645[[#This Row],[Column68]])</f>
        <v>0</v>
      </c>
      <c r="BR67" s="94"/>
      <c r="BS67" s="91" t="str">
        <f t="shared" si="59"/>
        <v>--</v>
      </c>
      <c r="BT67" s="92">
        <f>IF(Table645[[#This Row],[Column71]]="--",0,Table645[[#This Row],[Column4]]*Table645[[#This Row],[Column71]])</f>
        <v>0</v>
      </c>
      <c r="BU67" s="44"/>
      <c r="BV67" s="90"/>
      <c r="BW67" s="91" t="str">
        <f>IF(BV67=0,"--",(Table645[[#This Row],[Column73]]*$BV$4*(IF(J67&lt;0.5001,1,IF(J67&lt;2.0001,2,3)))+BV67/$BV$3)/60/24)</f>
        <v>--</v>
      </c>
      <c r="BX67" s="92">
        <f>IF(Table645[[#This Row],[Column75]]="--",0,Table645[[#This Row],[Column4]]*Table645[[#This Row],[Column75]])</f>
        <v>0</v>
      </c>
      <c r="BY67" s="95" t="s">
        <v>70</v>
      </c>
      <c r="BZ67" s="91" t="str">
        <f>IF(Table645[[#This Row],[Column74]]=0,"--",BW67*$BY$3)</f>
        <v>--</v>
      </c>
      <c r="CA67" s="89">
        <f>IF(Table645[[#This Row],[Column78]]="--",0,Table645[[#This Row],[Column4]]*Table645[[#This Row],[Column78]])</f>
        <v>0</v>
      </c>
      <c r="CB67" s="95" t="s">
        <v>70</v>
      </c>
      <c r="CC67" s="91" t="str">
        <f>IF(Table645[[#This Row],[Column10]]+Table645[[#This Row],[Column74]]=0,"--",J67*$CB$4*$CB$5/(24*60)+IF(Table645[[#This Row],[Column74]]=0,0,$CB$3*Table645[[#This Row],[Column75]]))</f>
        <v>--</v>
      </c>
      <c r="CD67" s="92">
        <f>IF(Table645[[#This Row],[Column81]]="--",0,Table645[[#This Row],[Column4]]*Table645[[#This Row],[Column81]])</f>
        <v>0</v>
      </c>
      <c r="CE67" s="215"/>
      <c r="CF67" s="91" t="str">
        <f t="shared" si="19"/>
        <v>--</v>
      </c>
      <c r="CG67" s="92">
        <f>IF(Table645[[#This Row],[Column84]]="--",0,Table645[[#This Row],[Column4]]*Table645[[#This Row],[Column84]])</f>
        <v>0</v>
      </c>
      <c r="CH67" s="226"/>
      <c r="CI67" s="216"/>
      <c r="CJ67" s="91" t="str">
        <f>IF(CI67=0,"--",(Table645[[#This Row],[Column86]]*$CI$4*(IF(W67&lt;0.5001,1,IF(W67&lt;2.0001,2,3)))+CI67/$CI$3)/60/24)</f>
        <v>--</v>
      </c>
      <c r="CK67" s="92">
        <f>IF(Table645[[#This Row],[Column88]]="--",0,Table645[[#This Row],[Column4]]*Table645[[#This Row],[Column88]])</f>
        <v>0</v>
      </c>
      <c r="CL67" s="217"/>
      <c r="CM67" s="91" t="str">
        <f>IF(Table645[[#This Row],[Column87]]=0,"--",CJ67*$CL$3)</f>
        <v>--</v>
      </c>
      <c r="CN67" s="92">
        <f>IF(Table645[[#This Row],[Column91]]="--",0,Table645[[#This Row],[Column4]]*Table645[[#This Row],[Column91]])</f>
        <v>0</v>
      </c>
      <c r="CO67" s="217"/>
      <c r="CP67" s="91" t="str">
        <f>IF(Table645[[#This Row],[Column10]]+Table645[[#This Row],[Column87]]=0, "--", IF($D67="", 1, $D67) * IF($J67="", 1, $J67) * $CO$3 * $CO$4 * IF(Table645[[#This Row],[Column95]]="", 1, Table645[[#This Row],[Column95]]) / (24 * 60))</f>
        <v>--</v>
      </c>
      <c r="CQ67" s="164"/>
      <c r="CR67" s="92">
        <f>IF(Table645[[#This Row],[Column94]]="--",0,Table645[[#This Row],[Column4]]*Table645[[#This Row],[Column94]])</f>
        <v>0</v>
      </c>
      <c r="CS67" s="218" t="str">
        <f>IF(Table645[[#This Row],[Column87]]="","",Table645[[#This Row],[Column87]])</f>
        <v/>
      </c>
      <c r="CT67" s="91" t="str">
        <f>IF(Table645[[#This Row],[Column97]]="","--",Table645[[#This Row],[Column97]]/$CS$3/60/24)</f>
        <v>--</v>
      </c>
      <c r="CU67" s="92">
        <f>IF(Table645[[#This Row],[Column98]]="--",0,Table645[[#This Row],[Column4]]*Table645[[#This Row],[Column98]])</f>
        <v>0</v>
      </c>
      <c r="CV67" s="93"/>
      <c r="CW67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67" s="91" t="str">
        <f>IF(OR(Table645[[#This Row],[Column74]]&gt;0,Table645[[#This Row],[Column87]]&gt;0),(Table645[[#This Row],[Column73]]+Table645[[#This Row],[Column86]]+1)*$CW$3/60/24,"--")</f>
        <v>--</v>
      </c>
      <c r="CY67" s="92">
        <f>IF(Table645[[#This Row],[Column102]]="--",0,Table645[[#This Row],[Column4]]*Table645[[#This Row],[Column102]])</f>
        <v>0</v>
      </c>
      <c r="CZ67" s="158" t="str">
        <f t="shared" si="60"/>
        <v>--</v>
      </c>
      <c r="DA67" s="153"/>
      <c r="DB67" s="160">
        <f>IF(Table645[[#This Row],[Column104]]="--",0,Table645[[#This Row],[Column4]]*Table645[[#This Row],[Column104]])</f>
        <v>0</v>
      </c>
      <c r="DC67" s="219"/>
      <c r="DD67" s="220" t="str">
        <f>IF(DC67=0,"--",1/$DC$3*1000/(60*60*24)*Table645[[#This Row],[Column107]])</f>
        <v>--</v>
      </c>
      <c r="DE67" s="160">
        <f>IF(Table645[[#This Row],[Column108]]="--",0,Table645[[#This Row],[Column4]]*Table645[[#This Row],[Column108]])</f>
        <v>0</v>
      </c>
      <c r="DF67" s="101" t="s">
        <v>70</v>
      </c>
      <c r="DG67" s="91" t="str">
        <f t="shared" si="61"/>
        <v>--</v>
      </c>
      <c r="DH67" s="89">
        <f>IF(Table645[[#This Row],[Column111]]="--",0,Table645[[#This Row],[Column4]]*Table645[[#This Row],[Column111]])</f>
        <v>0</v>
      </c>
      <c r="DI67" s="96"/>
      <c r="DJ67" s="96"/>
      <c r="DK67" s="96"/>
      <c r="DL67" s="96"/>
      <c r="DM67" s="96"/>
      <c r="DN67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67" s="89">
        <f>IF(Table645[[#This Row],[Column118]]="--",0,Table645[[#This Row],[Column4]]*Table645[[#This Row],[Column118]])</f>
        <v>0</v>
      </c>
      <c r="DP67" s="96"/>
      <c r="DQ67" s="96"/>
      <c r="DR67" s="91" t="str">
        <f t="shared" si="62"/>
        <v>--</v>
      </c>
      <c r="DS67" s="89">
        <f>IF(Table645[[#This Row],[Column122]]="--",0,Table645[[#This Row],[Column4]]*Table645[[#This Row],[Column122]])</f>
        <v>0</v>
      </c>
      <c r="DT67" t="str">
        <f>IF(Table645[[#This Row],[Column125]]=0,"--",Table645[[#This Row],[Column125]]*Table645[[#This Row],[Column126]]*Table645[[#This Row],[Column127]]/1000000000)</f>
        <v>--</v>
      </c>
      <c r="DU67" s="53"/>
      <c r="DV67" s="53"/>
      <c r="DW67" s="53"/>
      <c r="DX67" s="91" t="str">
        <f t="shared" si="63"/>
        <v>--</v>
      </c>
      <c r="DY67" s="89">
        <f>IF(Table645[[#This Row],[Column128]]="--",0,Table645[[#This Row],[Column4]]*Table645[[#This Row],[Column128]])</f>
        <v>0</v>
      </c>
      <c r="EA67" s="89">
        <f>IF(Table645[[#This Row],[Column128]]="--",0,Table645[[#This Row],[Column4]]*Table645[[#This Row],[Column128]])</f>
        <v>0</v>
      </c>
      <c r="EC67" s="89">
        <f>IF(Table645[[#This Row],[Column128]]="--",0,Table645[[#This Row],[Column4]]*Table645[[#This Row],[Column128]])</f>
        <v>0</v>
      </c>
      <c r="EE67" s="89">
        <f>IF(Table645[[#This Row],[Column128]]="--",0,Table645[[#This Row],[Column4]]*Table645[[#This Row],[Column128]])</f>
        <v>0</v>
      </c>
      <c r="EG67" s="89">
        <f>IF(Table645[[#This Row],[Column128]]="--",0,Table645[[#This Row],[Column4]]*Table645[[#This Row],[Column128]])</f>
        <v>0</v>
      </c>
      <c r="EI67" s="89">
        <f>IF(Table645[[#This Row],[Column128]]="--",0,Table645[[#This Row],[Column4]]*Table645[[#This Row],[Column128]])</f>
        <v>0</v>
      </c>
    </row>
    <row r="68" spans="1:139" x14ac:dyDescent="0.25">
      <c r="A68" s="140"/>
      <c r="B68" s="79"/>
      <c r="C68" s="140"/>
      <c r="D68" s="167"/>
      <c r="E68" s="52"/>
      <c r="F68" s="81"/>
      <c r="G68" s="81"/>
      <c r="H68" s="102" t="str">
        <f t="shared" si="54"/>
        <v>--</v>
      </c>
      <c r="I68" s="100">
        <f>IF(Table645[[#This Row],[Column8]]="--",0,Table645[[#This Row],[Column4]]*Table645[[#This Row],[Column8]])</f>
        <v>0</v>
      </c>
      <c r="J68" s="169"/>
      <c r="K68" s="85">
        <f>Table645[[#This Row],[Column4]]*Table645[[#This Row],[Column10]]</f>
        <v>0</v>
      </c>
      <c r="L68" s="170" t="str">
        <f t="shared" si="55"/>
        <v>--</v>
      </c>
      <c r="M68" s="214">
        <f>IF(Table645[[#This Row],[Column10]]=0,0,Table645[[#This Row],[Column4]]*Table645[[#This Row],[Column12]])</f>
        <v>0</v>
      </c>
      <c r="N68" s="87" t="str">
        <f t="shared" si="56"/>
        <v>--</v>
      </c>
      <c r="O68" s="138"/>
      <c r="AZ68" s="89">
        <f>IF(Table645[[#This Row],[Column14]]="--",0,Table645[[#This Row],[Column4]]*Table645[[#This Row],[Column14]])</f>
        <v>0</v>
      </c>
      <c r="BA68" s="90"/>
      <c r="BB68" s="91" t="str">
        <f>IF(BA68=0,"--",BA68*$BA$3*IF(Table645[[#This Row],[Column5]]&lt;4.1,1,2)/60/24)</f>
        <v>--</v>
      </c>
      <c r="BC68" s="92">
        <f>IF(Table645[[#This Row],[Column54]]="--",0,Table645[[#This Row],[Column4]]*Table645[[#This Row],[Column54]])</f>
        <v>0</v>
      </c>
      <c r="BD68" s="119"/>
      <c r="BE68" s="119"/>
      <c r="BF68" s="119"/>
      <c r="BG68" s="91" t="str">
        <f>IF(BD68+Table645[[#This Row],[Column58]]=0,"--",(BD68*$BF$3*Table645[[#This Row],[Column57]]+Table645[[#This Row],[Column58]]*$BF$4)/60/24)</f>
        <v>--</v>
      </c>
      <c r="BH68" s="92">
        <f>IF(Table645[[#This Row],[Column59]]="--",0,Table645[[#This Row],[Column4]]*Table645[[#This Row],[Column59]])</f>
        <v>0</v>
      </c>
      <c r="BI68" s="119"/>
      <c r="BJ68" s="91" t="str">
        <f t="shared" si="15"/>
        <v>--</v>
      </c>
      <c r="BK68" s="92">
        <f>IF(Table645[[#This Row],[Column62]]="--",0,Table645[[#This Row],[Column4]]*Table645[[#This Row],[Column62]])</f>
        <v>0</v>
      </c>
      <c r="BL68" s="93"/>
      <c r="BM68" s="91" t="str">
        <f t="shared" si="57"/>
        <v>--</v>
      </c>
      <c r="BN68" s="89">
        <f>IF(Table645[[#This Row],[Column65]]="--",0,Table645[[#This Row],[Column4]]*Table645[[#This Row],[Column65]])</f>
        <v>0</v>
      </c>
      <c r="BO68" s="163"/>
      <c r="BP68" s="164" t="str">
        <f t="shared" si="58"/>
        <v>--</v>
      </c>
      <c r="BQ68" s="160">
        <f>IF(Table645[[#This Row],[Column68]]="--",0,Table645[[#This Row],[Column4]]*Table645[[#This Row],[Column68]])</f>
        <v>0</v>
      </c>
      <c r="BR68" s="94"/>
      <c r="BS68" s="91" t="str">
        <f t="shared" si="59"/>
        <v>--</v>
      </c>
      <c r="BT68" s="92">
        <f>IF(Table645[[#This Row],[Column71]]="--",0,Table645[[#This Row],[Column4]]*Table645[[#This Row],[Column71]])</f>
        <v>0</v>
      </c>
      <c r="BU68" s="44"/>
      <c r="BV68" s="90"/>
      <c r="BW68" s="91" t="str">
        <f>IF(BV68=0,"--",(Table645[[#This Row],[Column73]]*$BV$4*(IF(J68&lt;0.5001,1,IF(J68&lt;2.0001,2,3)))+BV68/$BV$3)/60/24)</f>
        <v>--</v>
      </c>
      <c r="BX68" s="92">
        <f>IF(Table645[[#This Row],[Column75]]="--",0,Table645[[#This Row],[Column4]]*Table645[[#This Row],[Column75]])</f>
        <v>0</v>
      </c>
      <c r="BY68" s="95" t="s">
        <v>70</v>
      </c>
      <c r="BZ68" s="91" t="str">
        <f>IF(Table645[[#This Row],[Column74]]=0,"--",BW68*$BY$3)</f>
        <v>--</v>
      </c>
      <c r="CA68" s="89">
        <f>IF(Table645[[#This Row],[Column78]]="--",0,Table645[[#This Row],[Column4]]*Table645[[#This Row],[Column78]])</f>
        <v>0</v>
      </c>
      <c r="CB68" s="95" t="s">
        <v>70</v>
      </c>
      <c r="CC68" s="91" t="str">
        <f>IF(Table645[[#This Row],[Column10]]+Table645[[#This Row],[Column74]]=0,"--",J68*$CB$4*$CB$5/(24*60)+IF(Table645[[#This Row],[Column74]]=0,0,$CB$3*Table645[[#This Row],[Column75]]))</f>
        <v>--</v>
      </c>
      <c r="CD68" s="92">
        <f>IF(Table645[[#This Row],[Column81]]="--",0,Table645[[#This Row],[Column4]]*Table645[[#This Row],[Column81]])</f>
        <v>0</v>
      </c>
      <c r="CE68" s="215"/>
      <c r="CF68" s="91" t="str">
        <f t="shared" si="19"/>
        <v>--</v>
      </c>
      <c r="CG68" s="92">
        <f>IF(Table645[[#This Row],[Column84]]="--",0,Table645[[#This Row],[Column4]]*Table645[[#This Row],[Column84]])</f>
        <v>0</v>
      </c>
      <c r="CH68" s="226"/>
      <c r="CI68" s="216"/>
      <c r="CJ68" s="91" t="str">
        <f>IF(CI68=0,"--",(Table645[[#This Row],[Column86]]*$CI$4*(IF(W68&lt;0.5001,1,IF(W68&lt;2.0001,2,3)))+CI68/$CI$3)/60/24)</f>
        <v>--</v>
      </c>
      <c r="CK68" s="92">
        <f>IF(Table645[[#This Row],[Column88]]="--",0,Table645[[#This Row],[Column4]]*Table645[[#This Row],[Column88]])</f>
        <v>0</v>
      </c>
      <c r="CL68" s="217"/>
      <c r="CM68" s="91" t="str">
        <f>IF(Table645[[#This Row],[Column87]]=0,"--",CJ68*$CL$3)</f>
        <v>--</v>
      </c>
      <c r="CN68" s="92">
        <f>IF(Table645[[#This Row],[Column91]]="--",0,Table645[[#This Row],[Column4]]*Table645[[#This Row],[Column91]])</f>
        <v>0</v>
      </c>
      <c r="CO68" s="217"/>
      <c r="CP68" s="91" t="str">
        <f>IF(Table645[[#This Row],[Column10]]+Table645[[#This Row],[Column87]]=0, "--", IF($D68="", 1, $D68) * IF($J68="", 1, $J68) * $CO$3 * $CO$4 * IF(Table645[[#This Row],[Column95]]="", 1, Table645[[#This Row],[Column95]]) / (24 * 60))</f>
        <v>--</v>
      </c>
      <c r="CQ68" s="164"/>
      <c r="CR68" s="92">
        <f>IF(Table645[[#This Row],[Column94]]="--",0,Table645[[#This Row],[Column4]]*Table645[[#This Row],[Column94]])</f>
        <v>0</v>
      </c>
      <c r="CS68" s="218" t="str">
        <f>IF(Table645[[#This Row],[Column87]]="","",Table645[[#This Row],[Column87]])</f>
        <v/>
      </c>
      <c r="CT68" s="91" t="str">
        <f>IF(Table645[[#This Row],[Column97]]="","--",Table645[[#This Row],[Column97]]/$CS$3/60/24)</f>
        <v>--</v>
      </c>
      <c r="CU68" s="92">
        <f>IF(Table645[[#This Row],[Column98]]="--",0,Table645[[#This Row],[Column4]]*Table645[[#This Row],[Column98]])</f>
        <v>0</v>
      </c>
      <c r="CV68" s="93"/>
      <c r="CW68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68" s="91" t="str">
        <f>IF(OR(Table645[[#This Row],[Column74]]&gt;0,Table645[[#This Row],[Column87]]&gt;0),(Table645[[#This Row],[Column73]]+Table645[[#This Row],[Column86]]+1)*$CW$3/60/24,"--")</f>
        <v>--</v>
      </c>
      <c r="CY68" s="92">
        <f>IF(Table645[[#This Row],[Column102]]="--",0,Table645[[#This Row],[Column4]]*Table645[[#This Row],[Column102]])</f>
        <v>0</v>
      </c>
      <c r="CZ68" s="158" t="str">
        <f t="shared" si="60"/>
        <v>--</v>
      </c>
      <c r="DA68" s="153"/>
      <c r="DB68" s="160">
        <f>IF(Table645[[#This Row],[Column104]]="--",0,Table645[[#This Row],[Column4]]*Table645[[#This Row],[Column104]])</f>
        <v>0</v>
      </c>
      <c r="DC68" s="219"/>
      <c r="DD68" s="220" t="str">
        <f>IF(DC68=0,"--",1/$DC$3*1000/(60*60*24)*Table645[[#This Row],[Column107]])</f>
        <v>--</v>
      </c>
      <c r="DE68" s="160">
        <f>IF(Table645[[#This Row],[Column108]]="--",0,Table645[[#This Row],[Column4]]*Table645[[#This Row],[Column108]])</f>
        <v>0</v>
      </c>
      <c r="DF68" s="101" t="s">
        <v>70</v>
      </c>
      <c r="DG68" s="91" t="str">
        <f t="shared" si="61"/>
        <v>--</v>
      </c>
      <c r="DH68" s="89">
        <f>IF(Table645[[#This Row],[Column111]]="--",0,Table645[[#This Row],[Column4]]*Table645[[#This Row],[Column111]])</f>
        <v>0</v>
      </c>
      <c r="DI68" s="96"/>
      <c r="DJ68" s="96"/>
      <c r="DK68" s="96"/>
      <c r="DL68" s="96"/>
      <c r="DM68" s="96"/>
      <c r="DN68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68" s="89">
        <f>IF(Table645[[#This Row],[Column118]]="--",0,Table645[[#This Row],[Column4]]*Table645[[#This Row],[Column118]])</f>
        <v>0</v>
      </c>
      <c r="DP68" s="96"/>
      <c r="DQ68" s="96"/>
      <c r="DR68" s="91" t="str">
        <f t="shared" si="62"/>
        <v>--</v>
      </c>
      <c r="DS68" s="89">
        <f>IF(Table645[[#This Row],[Column122]]="--",0,Table645[[#This Row],[Column4]]*Table645[[#This Row],[Column122]])</f>
        <v>0</v>
      </c>
      <c r="DT68" t="str">
        <f>IF(Table645[[#This Row],[Column125]]=0,"--",Table645[[#This Row],[Column125]]*Table645[[#This Row],[Column126]]*Table645[[#This Row],[Column127]]/1000000000)</f>
        <v>--</v>
      </c>
      <c r="DU68" s="53"/>
      <c r="DV68" s="53"/>
      <c r="DW68" s="53"/>
      <c r="DX68" s="91" t="str">
        <f t="shared" si="63"/>
        <v>--</v>
      </c>
      <c r="DY68" s="89">
        <f>IF(Table645[[#This Row],[Column128]]="--",0,Table645[[#This Row],[Column4]]*Table645[[#This Row],[Column128]])</f>
        <v>0</v>
      </c>
      <c r="EA68" s="89">
        <f>IF(Table645[[#This Row],[Column128]]="--",0,Table645[[#This Row],[Column4]]*Table645[[#This Row],[Column128]])</f>
        <v>0</v>
      </c>
      <c r="EC68" s="89">
        <f>IF(Table645[[#This Row],[Column128]]="--",0,Table645[[#This Row],[Column4]]*Table645[[#This Row],[Column128]])</f>
        <v>0</v>
      </c>
      <c r="EE68" s="89">
        <f>IF(Table645[[#This Row],[Column128]]="--",0,Table645[[#This Row],[Column4]]*Table645[[#This Row],[Column128]])</f>
        <v>0</v>
      </c>
      <c r="EG68" s="89">
        <f>IF(Table645[[#This Row],[Column128]]="--",0,Table645[[#This Row],[Column4]]*Table645[[#This Row],[Column128]])</f>
        <v>0</v>
      </c>
      <c r="EI68" s="89">
        <f>IF(Table645[[#This Row],[Column128]]="--",0,Table645[[#This Row],[Column4]]*Table645[[#This Row],[Column128]])</f>
        <v>0</v>
      </c>
    </row>
    <row r="69" spans="1:139" x14ac:dyDescent="0.25">
      <c r="A69" s="140"/>
      <c r="B69" s="79"/>
      <c r="C69" s="140"/>
      <c r="D69" s="167"/>
      <c r="E69" s="52"/>
      <c r="F69" s="81"/>
      <c r="G69" s="81"/>
      <c r="H69" s="102" t="str">
        <f t="shared" si="54"/>
        <v>--</v>
      </c>
      <c r="I69" s="100">
        <f>IF(Table645[[#This Row],[Column8]]="--",0,Table645[[#This Row],[Column4]]*Table645[[#This Row],[Column8]])</f>
        <v>0</v>
      </c>
      <c r="J69" s="169"/>
      <c r="K69" s="85">
        <f>Table645[[#This Row],[Column4]]*Table645[[#This Row],[Column10]]</f>
        <v>0</v>
      </c>
      <c r="L69" s="170" t="str">
        <f t="shared" si="55"/>
        <v>--</v>
      </c>
      <c r="M69" s="214">
        <f>IF(Table645[[#This Row],[Column10]]=0,0,Table645[[#This Row],[Column4]]*Table645[[#This Row],[Column12]])</f>
        <v>0</v>
      </c>
      <c r="N69" s="87" t="str">
        <f t="shared" si="56"/>
        <v>--</v>
      </c>
      <c r="O69" s="138"/>
      <c r="AZ69" s="89">
        <f>IF(Table645[[#This Row],[Column14]]="--",0,Table645[[#This Row],[Column4]]*Table645[[#This Row],[Column14]])</f>
        <v>0</v>
      </c>
      <c r="BA69" s="90"/>
      <c r="BB69" s="91" t="str">
        <f>IF(BA69=0,"--",BA69*$BA$3*IF(Table645[[#This Row],[Column5]]&lt;4.1,1,2)/60/24)</f>
        <v>--</v>
      </c>
      <c r="BC69" s="92">
        <f>IF(Table645[[#This Row],[Column54]]="--",0,Table645[[#This Row],[Column4]]*Table645[[#This Row],[Column54]])</f>
        <v>0</v>
      </c>
      <c r="BD69" s="119"/>
      <c r="BE69" s="119"/>
      <c r="BF69" s="119"/>
      <c r="BG69" s="91" t="str">
        <f>IF(BD69+Table645[[#This Row],[Column58]]=0,"--",(BD69*$BF$3*Table645[[#This Row],[Column57]]+Table645[[#This Row],[Column58]]*$BF$4)/60/24)</f>
        <v>--</v>
      </c>
      <c r="BH69" s="92">
        <f>IF(Table645[[#This Row],[Column59]]="--",0,Table645[[#This Row],[Column4]]*Table645[[#This Row],[Column59]])</f>
        <v>0</v>
      </c>
      <c r="BI69" s="119"/>
      <c r="BJ69" s="91" t="str">
        <f t="shared" si="15"/>
        <v>--</v>
      </c>
      <c r="BK69" s="92">
        <f>IF(Table645[[#This Row],[Column62]]="--",0,Table645[[#This Row],[Column4]]*Table645[[#This Row],[Column62]])</f>
        <v>0</v>
      </c>
      <c r="BL69" s="93"/>
      <c r="BM69" s="91" t="str">
        <f t="shared" si="57"/>
        <v>--</v>
      </c>
      <c r="BN69" s="89">
        <f>IF(Table645[[#This Row],[Column65]]="--",0,Table645[[#This Row],[Column4]]*Table645[[#This Row],[Column65]])</f>
        <v>0</v>
      </c>
      <c r="BO69" s="163"/>
      <c r="BP69" s="164" t="str">
        <f t="shared" si="58"/>
        <v>--</v>
      </c>
      <c r="BQ69" s="160">
        <f>IF(Table645[[#This Row],[Column68]]="--",0,Table645[[#This Row],[Column4]]*Table645[[#This Row],[Column68]])</f>
        <v>0</v>
      </c>
      <c r="BR69" s="94"/>
      <c r="BS69" s="91" t="str">
        <f t="shared" si="59"/>
        <v>--</v>
      </c>
      <c r="BT69" s="92">
        <f>IF(Table645[[#This Row],[Column71]]="--",0,Table645[[#This Row],[Column4]]*Table645[[#This Row],[Column71]])</f>
        <v>0</v>
      </c>
      <c r="BU69" s="44"/>
      <c r="BV69" s="90"/>
      <c r="BW69" s="91" t="str">
        <f>IF(BV69=0,"--",(Table645[[#This Row],[Column73]]*$BV$4*(IF(J69&lt;0.5001,1,IF(J69&lt;2.0001,2,3)))+BV69/$BV$3)/60/24)</f>
        <v>--</v>
      </c>
      <c r="BX69" s="92">
        <f>IF(Table645[[#This Row],[Column75]]="--",0,Table645[[#This Row],[Column4]]*Table645[[#This Row],[Column75]])</f>
        <v>0</v>
      </c>
      <c r="BY69" s="95" t="s">
        <v>70</v>
      </c>
      <c r="BZ69" s="91" t="str">
        <f>IF(Table645[[#This Row],[Column74]]=0,"--",BW69*$BY$3)</f>
        <v>--</v>
      </c>
      <c r="CA69" s="89">
        <f>IF(Table645[[#This Row],[Column78]]="--",0,Table645[[#This Row],[Column4]]*Table645[[#This Row],[Column78]])</f>
        <v>0</v>
      </c>
      <c r="CB69" s="95" t="s">
        <v>70</v>
      </c>
      <c r="CC69" s="91" t="str">
        <f>IF(Table645[[#This Row],[Column10]]+Table645[[#This Row],[Column74]]=0,"--",J69*$CB$4*$CB$5/(24*60)+IF(Table645[[#This Row],[Column74]]=0,0,$CB$3*Table645[[#This Row],[Column75]]))</f>
        <v>--</v>
      </c>
      <c r="CD69" s="92">
        <f>IF(Table645[[#This Row],[Column81]]="--",0,Table645[[#This Row],[Column4]]*Table645[[#This Row],[Column81]])</f>
        <v>0</v>
      </c>
      <c r="CE69" s="215"/>
      <c r="CF69" s="91" t="str">
        <f t="shared" si="19"/>
        <v>--</v>
      </c>
      <c r="CG69" s="92">
        <f>IF(Table645[[#This Row],[Column84]]="--",0,Table645[[#This Row],[Column4]]*Table645[[#This Row],[Column84]])</f>
        <v>0</v>
      </c>
      <c r="CH69" s="226"/>
      <c r="CI69" s="216"/>
      <c r="CJ69" s="91" t="str">
        <f>IF(CI69=0,"--",(Table645[[#This Row],[Column86]]*$CI$4*(IF(W69&lt;0.5001,1,IF(W69&lt;2.0001,2,3)))+CI69/$CI$3)/60/24)</f>
        <v>--</v>
      </c>
      <c r="CK69" s="92">
        <f>IF(Table645[[#This Row],[Column88]]="--",0,Table645[[#This Row],[Column4]]*Table645[[#This Row],[Column88]])</f>
        <v>0</v>
      </c>
      <c r="CL69" s="217"/>
      <c r="CM69" s="91" t="str">
        <f>IF(Table645[[#This Row],[Column87]]=0,"--",CJ69*$CL$3)</f>
        <v>--</v>
      </c>
      <c r="CN69" s="92">
        <f>IF(Table645[[#This Row],[Column91]]="--",0,Table645[[#This Row],[Column4]]*Table645[[#This Row],[Column91]])</f>
        <v>0</v>
      </c>
      <c r="CO69" s="217"/>
      <c r="CP69" s="91" t="str">
        <f>IF(Table645[[#This Row],[Column10]]+Table645[[#This Row],[Column87]]=0, "--", IF($D69="", 1, $D69) * IF($J69="", 1, $J69) * $CO$3 * $CO$4 * IF(Table645[[#This Row],[Column95]]="", 1, Table645[[#This Row],[Column95]]) / (24 * 60))</f>
        <v>--</v>
      </c>
      <c r="CQ69" s="164"/>
      <c r="CR69" s="92">
        <f>IF(Table645[[#This Row],[Column94]]="--",0,Table645[[#This Row],[Column4]]*Table645[[#This Row],[Column94]])</f>
        <v>0</v>
      </c>
      <c r="CS69" s="218" t="str">
        <f>IF(Table645[[#This Row],[Column87]]="","",Table645[[#This Row],[Column87]])</f>
        <v/>
      </c>
      <c r="CT69" s="91" t="str">
        <f>IF(Table645[[#This Row],[Column97]]="","--",Table645[[#This Row],[Column97]]/$CS$3/60/24)</f>
        <v>--</v>
      </c>
      <c r="CU69" s="92">
        <f>IF(Table645[[#This Row],[Column98]]="--",0,Table645[[#This Row],[Column4]]*Table645[[#This Row],[Column98]])</f>
        <v>0</v>
      </c>
      <c r="CV69" s="93"/>
      <c r="CW69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69" s="91" t="str">
        <f>IF(OR(Table645[[#This Row],[Column74]]&gt;0,Table645[[#This Row],[Column87]]&gt;0),(Table645[[#This Row],[Column73]]+Table645[[#This Row],[Column86]]+1)*$CW$3/60/24,"--")</f>
        <v>--</v>
      </c>
      <c r="CY69" s="92">
        <f>IF(Table645[[#This Row],[Column102]]="--",0,Table645[[#This Row],[Column4]]*Table645[[#This Row],[Column102]])</f>
        <v>0</v>
      </c>
      <c r="CZ69" s="158" t="str">
        <f t="shared" si="60"/>
        <v>--</v>
      </c>
      <c r="DA69" s="153"/>
      <c r="DB69" s="160">
        <f>IF(Table645[[#This Row],[Column104]]="--",0,Table645[[#This Row],[Column4]]*Table645[[#This Row],[Column104]])</f>
        <v>0</v>
      </c>
      <c r="DC69" s="219"/>
      <c r="DD69" s="220" t="str">
        <f>IF(DC69=0,"--",1/$DC$3*1000/(60*60*24)*Table645[[#This Row],[Column107]])</f>
        <v>--</v>
      </c>
      <c r="DE69" s="160">
        <f>IF(Table645[[#This Row],[Column108]]="--",0,Table645[[#This Row],[Column4]]*Table645[[#This Row],[Column108]])</f>
        <v>0</v>
      </c>
      <c r="DF69" s="101" t="s">
        <v>70</v>
      </c>
      <c r="DG69" s="91" t="str">
        <f t="shared" si="61"/>
        <v>--</v>
      </c>
      <c r="DH69" s="89">
        <f>IF(Table645[[#This Row],[Column111]]="--",0,Table645[[#This Row],[Column4]]*Table645[[#This Row],[Column111]])</f>
        <v>0</v>
      </c>
      <c r="DI69" s="96"/>
      <c r="DJ69" s="96"/>
      <c r="DK69" s="96"/>
      <c r="DL69" s="96"/>
      <c r="DM69" s="96"/>
      <c r="DN69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69" s="89">
        <f>IF(Table645[[#This Row],[Column118]]="--",0,Table645[[#This Row],[Column4]]*Table645[[#This Row],[Column118]])</f>
        <v>0</v>
      </c>
      <c r="DP69" s="96"/>
      <c r="DQ69" s="96"/>
      <c r="DR69" s="91" t="str">
        <f t="shared" si="62"/>
        <v>--</v>
      </c>
      <c r="DS69" s="89">
        <f>IF(Table645[[#This Row],[Column122]]="--",0,Table645[[#This Row],[Column4]]*Table645[[#This Row],[Column122]])</f>
        <v>0</v>
      </c>
      <c r="DT69" t="str">
        <f>IF(Table645[[#This Row],[Column125]]=0,"--",Table645[[#This Row],[Column125]]*Table645[[#This Row],[Column126]]*Table645[[#This Row],[Column127]]/1000000000)</f>
        <v>--</v>
      </c>
      <c r="DU69" s="53"/>
      <c r="DV69" s="53"/>
      <c r="DW69" s="53"/>
      <c r="DX69" s="91" t="str">
        <f t="shared" si="63"/>
        <v>--</v>
      </c>
      <c r="DY69" s="89">
        <f>IF(Table645[[#This Row],[Column128]]="--",0,Table645[[#This Row],[Column4]]*Table645[[#This Row],[Column128]])</f>
        <v>0</v>
      </c>
      <c r="EA69" s="89">
        <f>IF(Table645[[#This Row],[Column128]]="--",0,Table645[[#This Row],[Column4]]*Table645[[#This Row],[Column128]])</f>
        <v>0</v>
      </c>
      <c r="EC69" s="89">
        <f>IF(Table645[[#This Row],[Column128]]="--",0,Table645[[#This Row],[Column4]]*Table645[[#This Row],[Column128]])</f>
        <v>0</v>
      </c>
      <c r="EE69" s="89">
        <f>IF(Table645[[#This Row],[Column128]]="--",0,Table645[[#This Row],[Column4]]*Table645[[#This Row],[Column128]])</f>
        <v>0</v>
      </c>
      <c r="EG69" s="89">
        <f>IF(Table645[[#This Row],[Column128]]="--",0,Table645[[#This Row],[Column4]]*Table645[[#This Row],[Column128]])</f>
        <v>0</v>
      </c>
      <c r="EI69" s="89">
        <f>IF(Table645[[#This Row],[Column128]]="--",0,Table645[[#This Row],[Column4]]*Table645[[#This Row],[Column128]])</f>
        <v>0</v>
      </c>
    </row>
    <row r="70" spans="1:139" x14ac:dyDescent="0.25">
      <c r="A70" s="140"/>
      <c r="B70" s="79"/>
      <c r="C70" s="140"/>
      <c r="D70" s="167"/>
      <c r="E70" s="52"/>
      <c r="F70" s="81"/>
      <c r="G70" s="81"/>
      <c r="H70" s="102" t="str">
        <f t="shared" si="54"/>
        <v>--</v>
      </c>
      <c r="I70" s="100">
        <f>IF(Table645[[#This Row],[Column8]]="--",0,Table645[[#This Row],[Column4]]*Table645[[#This Row],[Column8]])</f>
        <v>0</v>
      </c>
      <c r="J70" s="169"/>
      <c r="K70" s="85">
        <f>Table645[[#This Row],[Column4]]*Table645[[#This Row],[Column10]]</f>
        <v>0</v>
      </c>
      <c r="L70" s="170" t="str">
        <f t="shared" si="55"/>
        <v>--</v>
      </c>
      <c r="M70" s="214">
        <f>IF(Table645[[#This Row],[Column10]]=0,0,Table645[[#This Row],[Column4]]*Table645[[#This Row],[Column12]])</f>
        <v>0</v>
      </c>
      <c r="N70" s="87" t="str">
        <f t="shared" si="56"/>
        <v>--</v>
      </c>
      <c r="O70" s="138"/>
      <c r="AZ70" s="89">
        <f>IF(Table645[[#This Row],[Column14]]="--",0,Table645[[#This Row],[Column4]]*Table645[[#This Row],[Column14]])</f>
        <v>0</v>
      </c>
      <c r="BA70" s="90"/>
      <c r="BB70" s="91" t="str">
        <f>IF(BA70=0,"--",BA70*$BA$3*IF(Table645[[#This Row],[Column5]]&lt;4.1,1,2)/60/24)</f>
        <v>--</v>
      </c>
      <c r="BC70" s="92">
        <f>IF(Table645[[#This Row],[Column54]]="--",0,Table645[[#This Row],[Column4]]*Table645[[#This Row],[Column54]])</f>
        <v>0</v>
      </c>
      <c r="BD70" s="119"/>
      <c r="BE70" s="119"/>
      <c r="BF70" s="119"/>
      <c r="BG70" s="91" t="str">
        <f>IF(BD70+Table645[[#This Row],[Column58]]=0,"--",(BD70*$BF$3*Table645[[#This Row],[Column57]]+Table645[[#This Row],[Column58]]*$BF$4)/60/24)</f>
        <v>--</v>
      </c>
      <c r="BH70" s="92">
        <f>IF(Table645[[#This Row],[Column59]]="--",0,Table645[[#This Row],[Column4]]*Table645[[#This Row],[Column59]])</f>
        <v>0</v>
      </c>
      <c r="BI70" s="119"/>
      <c r="BJ70" s="91" t="str">
        <f t="shared" si="15"/>
        <v>--</v>
      </c>
      <c r="BK70" s="92">
        <f>IF(Table645[[#This Row],[Column62]]="--",0,Table645[[#This Row],[Column4]]*Table645[[#This Row],[Column62]])</f>
        <v>0</v>
      </c>
      <c r="BL70" s="93"/>
      <c r="BM70" s="91" t="str">
        <f t="shared" si="57"/>
        <v>--</v>
      </c>
      <c r="BN70" s="89">
        <f>IF(Table645[[#This Row],[Column65]]="--",0,Table645[[#This Row],[Column4]]*Table645[[#This Row],[Column65]])</f>
        <v>0</v>
      </c>
      <c r="BO70" s="163"/>
      <c r="BP70" s="164" t="str">
        <f t="shared" si="58"/>
        <v>--</v>
      </c>
      <c r="BQ70" s="160">
        <f>IF(Table645[[#This Row],[Column68]]="--",0,Table645[[#This Row],[Column4]]*Table645[[#This Row],[Column68]])</f>
        <v>0</v>
      </c>
      <c r="BR70" s="94"/>
      <c r="BS70" s="91" t="str">
        <f t="shared" si="59"/>
        <v>--</v>
      </c>
      <c r="BT70" s="92">
        <f>IF(Table645[[#This Row],[Column71]]="--",0,Table645[[#This Row],[Column4]]*Table645[[#This Row],[Column71]])</f>
        <v>0</v>
      </c>
      <c r="BU70" s="44"/>
      <c r="BV70" s="90"/>
      <c r="BW70" s="91" t="str">
        <f>IF(BV70=0,"--",(Table645[[#This Row],[Column73]]*$BV$4*(IF(J70&lt;0.5001,1,IF(J70&lt;2.0001,2,3)))+BV70/$BV$3)/60/24)</f>
        <v>--</v>
      </c>
      <c r="BX70" s="92">
        <f>IF(Table645[[#This Row],[Column75]]="--",0,Table645[[#This Row],[Column4]]*Table645[[#This Row],[Column75]])</f>
        <v>0</v>
      </c>
      <c r="BY70" s="95" t="s">
        <v>70</v>
      </c>
      <c r="BZ70" s="91" t="str">
        <f>IF(Table645[[#This Row],[Column74]]=0,"--",BW70*$BY$3)</f>
        <v>--</v>
      </c>
      <c r="CA70" s="89">
        <f>IF(Table645[[#This Row],[Column78]]="--",0,Table645[[#This Row],[Column4]]*Table645[[#This Row],[Column78]])</f>
        <v>0</v>
      </c>
      <c r="CB70" s="95" t="s">
        <v>70</v>
      </c>
      <c r="CC70" s="91" t="str">
        <f>IF(Table645[[#This Row],[Column10]]+Table645[[#This Row],[Column74]]=0,"--",J70*$CB$4*$CB$5/(24*60)+IF(Table645[[#This Row],[Column74]]=0,0,$CB$3*Table645[[#This Row],[Column75]]))</f>
        <v>--</v>
      </c>
      <c r="CD70" s="92">
        <f>IF(Table645[[#This Row],[Column81]]="--",0,Table645[[#This Row],[Column4]]*Table645[[#This Row],[Column81]])</f>
        <v>0</v>
      </c>
      <c r="CE70" s="215"/>
      <c r="CF70" s="91" t="str">
        <f t="shared" si="19"/>
        <v>--</v>
      </c>
      <c r="CG70" s="92">
        <f>IF(Table645[[#This Row],[Column84]]="--",0,Table645[[#This Row],[Column4]]*Table645[[#This Row],[Column84]])</f>
        <v>0</v>
      </c>
      <c r="CH70" s="226"/>
      <c r="CI70" s="216"/>
      <c r="CJ70" s="91" t="str">
        <f>IF(CI70=0,"--",(Table645[[#This Row],[Column86]]*$CI$4*(IF(W70&lt;0.5001,1,IF(W70&lt;2.0001,2,3)))+CI70/$CI$3)/60/24)</f>
        <v>--</v>
      </c>
      <c r="CK70" s="92">
        <f>IF(Table645[[#This Row],[Column88]]="--",0,Table645[[#This Row],[Column4]]*Table645[[#This Row],[Column88]])</f>
        <v>0</v>
      </c>
      <c r="CL70" s="217"/>
      <c r="CM70" s="91" t="str">
        <f>IF(Table645[[#This Row],[Column87]]=0,"--",CJ70*$CL$3)</f>
        <v>--</v>
      </c>
      <c r="CN70" s="92">
        <f>IF(Table645[[#This Row],[Column91]]="--",0,Table645[[#This Row],[Column4]]*Table645[[#This Row],[Column91]])</f>
        <v>0</v>
      </c>
      <c r="CO70" s="217"/>
      <c r="CP70" s="91" t="str">
        <f>IF(Table645[[#This Row],[Column10]]+Table645[[#This Row],[Column87]]=0, "--", IF($D70="", 1, $D70) * IF($J70="", 1, $J70) * $CO$3 * $CO$4 * IF(Table645[[#This Row],[Column95]]="", 1, Table645[[#This Row],[Column95]]) / (24 * 60))</f>
        <v>--</v>
      </c>
      <c r="CQ70" s="164"/>
      <c r="CR70" s="92">
        <f>IF(Table645[[#This Row],[Column94]]="--",0,Table645[[#This Row],[Column4]]*Table645[[#This Row],[Column94]])</f>
        <v>0</v>
      </c>
      <c r="CS70" s="218" t="str">
        <f>IF(Table645[[#This Row],[Column87]]="","",Table645[[#This Row],[Column87]])</f>
        <v/>
      </c>
      <c r="CT70" s="91" t="str">
        <f>IF(Table645[[#This Row],[Column97]]="","--",Table645[[#This Row],[Column97]]/$CS$3/60/24)</f>
        <v>--</v>
      </c>
      <c r="CU70" s="92">
        <f>IF(Table645[[#This Row],[Column98]]="--",0,Table645[[#This Row],[Column4]]*Table645[[#This Row],[Column98]])</f>
        <v>0</v>
      </c>
      <c r="CV70" s="93"/>
      <c r="CW70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70" s="91" t="str">
        <f>IF(OR(Table645[[#This Row],[Column74]]&gt;0,Table645[[#This Row],[Column87]]&gt;0),(Table645[[#This Row],[Column73]]+Table645[[#This Row],[Column86]]+1)*$CW$3/60/24,"--")</f>
        <v>--</v>
      </c>
      <c r="CY70" s="92">
        <f>IF(Table645[[#This Row],[Column102]]="--",0,Table645[[#This Row],[Column4]]*Table645[[#This Row],[Column102]])</f>
        <v>0</v>
      </c>
      <c r="CZ70" s="158" t="str">
        <f t="shared" si="60"/>
        <v>--</v>
      </c>
      <c r="DA70" s="153"/>
      <c r="DB70" s="160">
        <f>IF(Table645[[#This Row],[Column104]]="--",0,Table645[[#This Row],[Column4]]*Table645[[#This Row],[Column104]])</f>
        <v>0</v>
      </c>
      <c r="DC70" s="219"/>
      <c r="DD70" s="220" t="str">
        <f>IF(DC70=0,"--",1/$DC$3*1000/(60*60*24)*Table645[[#This Row],[Column107]])</f>
        <v>--</v>
      </c>
      <c r="DE70" s="160">
        <f>IF(Table645[[#This Row],[Column108]]="--",0,Table645[[#This Row],[Column4]]*Table645[[#This Row],[Column108]])</f>
        <v>0</v>
      </c>
      <c r="DF70" s="101" t="s">
        <v>70</v>
      </c>
      <c r="DG70" s="91" t="str">
        <f t="shared" si="61"/>
        <v>--</v>
      </c>
      <c r="DH70" s="89">
        <f>IF(Table645[[#This Row],[Column111]]="--",0,Table645[[#This Row],[Column4]]*Table645[[#This Row],[Column111]])</f>
        <v>0</v>
      </c>
      <c r="DI70" s="96"/>
      <c r="DJ70" s="96"/>
      <c r="DK70" s="96"/>
      <c r="DL70" s="96"/>
      <c r="DM70" s="96"/>
      <c r="DN70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70" s="89">
        <f>IF(Table645[[#This Row],[Column118]]="--",0,Table645[[#This Row],[Column4]]*Table645[[#This Row],[Column118]])</f>
        <v>0</v>
      </c>
      <c r="DP70" s="96"/>
      <c r="DQ70" s="96"/>
      <c r="DR70" s="91" t="str">
        <f t="shared" si="62"/>
        <v>--</v>
      </c>
      <c r="DS70" s="89">
        <f>IF(Table645[[#This Row],[Column122]]="--",0,Table645[[#This Row],[Column4]]*Table645[[#This Row],[Column122]])</f>
        <v>0</v>
      </c>
      <c r="DT70" t="str">
        <f>IF(Table645[[#This Row],[Column125]]=0,"--",Table645[[#This Row],[Column125]]*Table645[[#This Row],[Column126]]*Table645[[#This Row],[Column127]]/1000000000)</f>
        <v>--</v>
      </c>
      <c r="DU70" s="53"/>
      <c r="DV70" s="53"/>
      <c r="DW70" s="53"/>
      <c r="DX70" s="91" t="str">
        <f t="shared" si="63"/>
        <v>--</v>
      </c>
      <c r="DY70" s="89">
        <f>IF(Table645[[#This Row],[Column128]]="--",0,Table645[[#This Row],[Column4]]*Table645[[#This Row],[Column128]])</f>
        <v>0</v>
      </c>
      <c r="EA70" s="89">
        <f>IF(Table645[[#This Row],[Column128]]="--",0,Table645[[#This Row],[Column4]]*Table645[[#This Row],[Column128]])</f>
        <v>0</v>
      </c>
      <c r="EC70" s="89">
        <f>IF(Table645[[#This Row],[Column128]]="--",0,Table645[[#This Row],[Column4]]*Table645[[#This Row],[Column128]])</f>
        <v>0</v>
      </c>
      <c r="EE70" s="89">
        <f>IF(Table645[[#This Row],[Column128]]="--",0,Table645[[#This Row],[Column4]]*Table645[[#This Row],[Column128]])</f>
        <v>0</v>
      </c>
      <c r="EG70" s="89">
        <f>IF(Table645[[#This Row],[Column128]]="--",0,Table645[[#This Row],[Column4]]*Table645[[#This Row],[Column128]])</f>
        <v>0</v>
      </c>
      <c r="EI70" s="89">
        <f>IF(Table645[[#This Row],[Column128]]="--",0,Table645[[#This Row],[Column4]]*Table645[[#This Row],[Column128]])</f>
        <v>0</v>
      </c>
    </row>
    <row r="71" spans="1:139" x14ac:dyDescent="0.25">
      <c r="A71" s="140"/>
      <c r="B71" s="79"/>
      <c r="C71" s="140"/>
      <c r="D71" s="167"/>
      <c r="E71" s="52"/>
      <c r="F71" s="81"/>
      <c r="G71" s="81"/>
      <c r="H71" s="102" t="str">
        <f t="shared" si="54"/>
        <v>--</v>
      </c>
      <c r="I71" s="100">
        <f>IF(Table645[[#This Row],[Column8]]="--",0,Table645[[#This Row],[Column4]]*Table645[[#This Row],[Column8]])</f>
        <v>0</v>
      </c>
      <c r="J71" s="169"/>
      <c r="K71" s="85">
        <f>Table645[[#This Row],[Column4]]*Table645[[#This Row],[Column10]]</f>
        <v>0</v>
      </c>
      <c r="L71" s="170" t="str">
        <f t="shared" si="55"/>
        <v>--</v>
      </c>
      <c r="M71" s="214">
        <f>IF(Table645[[#This Row],[Column10]]=0,0,Table645[[#This Row],[Column4]]*Table645[[#This Row],[Column12]])</f>
        <v>0</v>
      </c>
      <c r="N71" s="87" t="str">
        <f t="shared" si="56"/>
        <v>--</v>
      </c>
      <c r="O71" s="138"/>
      <c r="AZ71" s="89">
        <f>IF(Table645[[#This Row],[Column14]]="--",0,Table645[[#This Row],[Column4]]*Table645[[#This Row],[Column14]])</f>
        <v>0</v>
      </c>
      <c r="BA71" s="90"/>
      <c r="BB71" s="91" t="str">
        <f>IF(BA71=0,"--",BA71*$BA$3*IF(Table645[[#This Row],[Column5]]&lt;4.1,1,2)/60/24)</f>
        <v>--</v>
      </c>
      <c r="BC71" s="92">
        <f>IF(Table645[[#This Row],[Column54]]="--",0,Table645[[#This Row],[Column4]]*Table645[[#This Row],[Column54]])</f>
        <v>0</v>
      </c>
      <c r="BD71" s="119"/>
      <c r="BE71" s="119"/>
      <c r="BF71" s="119"/>
      <c r="BG71" s="91" t="str">
        <f>IF(BD71+Table645[[#This Row],[Column58]]=0,"--",(BD71*$BF$3*Table645[[#This Row],[Column57]]+Table645[[#This Row],[Column58]]*$BF$4)/60/24)</f>
        <v>--</v>
      </c>
      <c r="BH71" s="92">
        <f>IF(Table645[[#This Row],[Column59]]="--",0,Table645[[#This Row],[Column4]]*Table645[[#This Row],[Column59]])</f>
        <v>0</v>
      </c>
      <c r="BI71" s="119"/>
      <c r="BJ71" s="91" t="str">
        <f t="shared" si="15"/>
        <v>--</v>
      </c>
      <c r="BK71" s="92">
        <f>IF(Table645[[#This Row],[Column62]]="--",0,Table645[[#This Row],[Column4]]*Table645[[#This Row],[Column62]])</f>
        <v>0</v>
      </c>
      <c r="BL71" s="93"/>
      <c r="BM71" s="91" t="str">
        <f t="shared" si="57"/>
        <v>--</v>
      </c>
      <c r="BN71" s="89">
        <f>IF(Table645[[#This Row],[Column65]]="--",0,Table645[[#This Row],[Column4]]*Table645[[#This Row],[Column65]])</f>
        <v>0</v>
      </c>
      <c r="BO71" s="163"/>
      <c r="BP71" s="164" t="str">
        <f t="shared" si="58"/>
        <v>--</v>
      </c>
      <c r="BQ71" s="160">
        <f>IF(Table645[[#This Row],[Column68]]="--",0,Table645[[#This Row],[Column4]]*Table645[[#This Row],[Column68]])</f>
        <v>0</v>
      </c>
      <c r="BR71" s="94"/>
      <c r="BS71" s="91" t="str">
        <f t="shared" si="59"/>
        <v>--</v>
      </c>
      <c r="BT71" s="92">
        <f>IF(Table645[[#This Row],[Column71]]="--",0,Table645[[#This Row],[Column4]]*Table645[[#This Row],[Column71]])</f>
        <v>0</v>
      </c>
      <c r="BU71" s="44"/>
      <c r="BV71" s="90"/>
      <c r="BW71" s="91" t="str">
        <f>IF(BV71=0,"--",(Table645[[#This Row],[Column73]]*$BV$4*(IF(J71&lt;0.5001,1,IF(J71&lt;2.0001,2,3)))+BV71/$BV$3)/60/24)</f>
        <v>--</v>
      </c>
      <c r="BX71" s="92">
        <f>IF(Table645[[#This Row],[Column75]]="--",0,Table645[[#This Row],[Column4]]*Table645[[#This Row],[Column75]])</f>
        <v>0</v>
      </c>
      <c r="BY71" s="95" t="s">
        <v>70</v>
      </c>
      <c r="BZ71" s="91" t="str">
        <f>IF(Table645[[#This Row],[Column74]]=0,"--",BW71*$BY$3)</f>
        <v>--</v>
      </c>
      <c r="CA71" s="89">
        <f>IF(Table645[[#This Row],[Column78]]="--",0,Table645[[#This Row],[Column4]]*Table645[[#This Row],[Column78]])</f>
        <v>0</v>
      </c>
      <c r="CB71" s="95" t="s">
        <v>70</v>
      </c>
      <c r="CC71" s="91" t="str">
        <f>IF(Table645[[#This Row],[Column10]]+Table645[[#This Row],[Column74]]=0,"--",J71*$CB$4*$CB$5/(24*60)+IF(Table645[[#This Row],[Column74]]=0,0,$CB$3*Table645[[#This Row],[Column75]]))</f>
        <v>--</v>
      </c>
      <c r="CD71" s="92">
        <f>IF(Table645[[#This Row],[Column81]]="--",0,Table645[[#This Row],[Column4]]*Table645[[#This Row],[Column81]])</f>
        <v>0</v>
      </c>
      <c r="CE71" s="215"/>
      <c r="CF71" s="91" t="str">
        <f t="shared" si="19"/>
        <v>--</v>
      </c>
      <c r="CG71" s="92">
        <f>IF(Table645[[#This Row],[Column84]]="--",0,Table645[[#This Row],[Column4]]*Table645[[#This Row],[Column84]])</f>
        <v>0</v>
      </c>
      <c r="CH71" s="226"/>
      <c r="CI71" s="216"/>
      <c r="CJ71" s="91" t="str">
        <f>IF(CI71=0,"--",(Table645[[#This Row],[Column86]]*$CI$4*(IF(W71&lt;0.5001,1,IF(W71&lt;2.0001,2,3)))+CI71/$CI$3)/60/24)</f>
        <v>--</v>
      </c>
      <c r="CK71" s="92">
        <f>IF(Table645[[#This Row],[Column88]]="--",0,Table645[[#This Row],[Column4]]*Table645[[#This Row],[Column88]])</f>
        <v>0</v>
      </c>
      <c r="CL71" s="217"/>
      <c r="CM71" s="91" t="str">
        <f>IF(Table645[[#This Row],[Column87]]=0,"--",CJ71*$CL$3)</f>
        <v>--</v>
      </c>
      <c r="CN71" s="92">
        <f>IF(Table645[[#This Row],[Column91]]="--",0,Table645[[#This Row],[Column4]]*Table645[[#This Row],[Column91]])</f>
        <v>0</v>
      </c>
      <c r="CO71" s="217"/>
      <c r="CP71" s="91" t="str">
        <f>IF(Table645[[#This Row],[Column10]]+Table645[[#This Row],[Column87]]=0, "--", IF($D71="", 1, $D71) * IF($J71="", 1, $J71) * $CO$3 * $CO$4 * IF(Table645[[#This Row],[Column95]]="", 1, Table645[[#This Row],[Column95]]) / (24 * 60))</f>
        <v>--</v>
      </c>
      <c r="CQ71" s="164"/>
      <c r="CR71" s="92">
        <f>IF(Table645[[#This Row],[Column94]]="--",0,Table645[[#This Row],[Column4]]*Table645[[#This Row],[Column94]])</f>
        <v>0</v>
      </c>
      <c r="CS71" s="218" t="str">
        <f>IF(Table645[[#This Row],[Column87]]="","",Table645[[#This Row],[Column87]])</f>
        <v/>
      </c>
      <c r="CT71" s="91" t="str">
        <f>IF(Table645[[#This Row],[Column97]]="","--",Table645[[#This Row],[Column97]]/$CS$3/60/24)</f>
        <v>--</v>
      </c>
      <c r="CU71" s="92">
        <f>IF(Table645[[#This Row],[Column98]]="--",0,Table645[[#This Row],[Column4]]*Table645[[#This Row],[Column98]])</f>
        <v>0</v>
      </c>
      <c r="CV71" s="93"/>
      <c r="CW71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71" s="91" t="str">
        <f>IF(OR(Table645[[#This Row],[Column74]]&gt;0,Table645[[#This Row],[Column87]]&gt;0),(Table645[[#This Row],[Column73]]+Table645[[#This Row],[Column86]]+1)*$CW$3/60/24,"--")</f>
        <v>--</v>
      </c>
      <c r="CY71" s="92">
        <f>IF(Table645[[#This Row],[Column102]]="--",0,Table645[[#This Row],[Column4]]*Table645[[#This Row],[Column102]])</f>
        <v>0</v>
      </c>
      <c r="CZ71" s="158" t="str">
        <f t="shared" si="60"/>
        <v>--</v>
      </c>
      <c r="DA71" s="153"/>
      <c r="DB71" s="160">
        <f>IF(Table645[[#This Row],[Column104]]="--",0,Table645[[#This Row],[Column4]]*Table645[[#This Row],[Column104]])</f>
        <v>0</v>
      </c>
      <c r="DC71" s="219"/>
      <c r="DD71" s="220" t="str">
        <f>IF(DC71=0,"--",1/$DC$3*1000/(60*60*24)*Table645[[#This Row],[Column107]])</f>
        <v>--</v>
      </c>
      <c r="DE71" s="160">
        <f>IF(Table645[[#This Row],[Column108]]="--",0,Table645[[#This Row],[Column4]]*Table645[[#This Row],[Column108]])</f>
        <v>0</v>
      </c>
      <c r="DF71" s="101" t="s">
        <v>70</v>
      </c>
      <c r="DG71" s="91" t="str">
        <f t="shared" si="61"/>
        <v>--</v>
      </c>
      <c r="DH71" s="89">
        <f>IF(Table645[[#This Row],[Column111]]="--",0,Table645[[#This Row],[Column4]]*Table645[[#This Row],[Column111]])</f>
        <v>0</v>
      </c>
      <c r="DI71" s="96"/>
      <c r="DJ71" s="96"/>
      <c r="DK71" s="96"/>
      <c r="DL71" s="96"/>
      <c r="DM71" s="96"/>
      <c r="DN71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71" s="89">
        <f>IF(Table645[[#This Row],[Column118]]="--",0,Table645[[#This Row],[Column4]]*Table645[[#This Row],[Column118]])</f>
        <v>0</v>
      </c>
      <c r="DP71" s="96"/>
      <c r="DQ71" s="96"/>
      <c r="DR71" s="91" t="str">
        <f t="shared" si="62"/>
        <v>--</v>
      </c>
      <c r="DS71" s="89">
        <f>IF(Table645[[#This Row],[Column122]]="--",0,Table645[[#This Row],[Column4]]*Table645[[#This Row],[Column122]])</f>
        <v>0</v>
      </c>
      <c r="DT71" t="str">
        <f>IF(Table645[[#This Row],[Column125]]=0,"--",Table645[[#This Row],[Column125]]*Table645[[#This Row],[Column126]]*Table645[[#This Row],[Column127]]/1000000000)</f>
        <v>--</v>
      </c>
      <c r="DU71" s="53"/>
      <c r="DV71" s="53"/>
      <c r="DW71" s="53"/>
      <c r="DX71" s="91" t="str">
        <f t="shared" si="63"/>
        <v>--</v>
      </c>
      <c r="DY71" s="89">
        <f>IF(Table645[[#This Row],[Column128]]="--",0,Table645[[#This Row],[Column4]]*Table645[[#This Row],[Column128]])</f>
        <v>0</v>
      </c>
      <c r="EA71" s="89">
        <f>IF(Table645[[#This Row],[Column128]]="--",0,Table645[[#This Row],[Column4]]*Table645[[#This Row],[Column128]])</f>
        <v>0</v>
      </c>
      <c r="EC71" s="89">
        <f>IF(Table645[[#This Row],[Column128]]="--",0,Table645[[#This Row],[Column4]]*Table645[[#This Row],[Column128]])</f>
        <v>0</v>
      </c>
      <c r="EE71" s="89">
        <f>IF(Table645[[#This Row],[Column128]]="--",0,Table645[[#This Row],[Column4]]*Table645[[#This Row],[Column128]])</f>
        <v>0</v>
      </c>
      <c r="EG71" s="89">
        <f>IF(Table645[[#This Row],[Column128]]="--",0,Table645[[#This Row],[Column4]]*Table645[[#This Row],[Column128]])</f>
        <v>0</v>
      </c>
      <c r="EI71" s="89">
        <f>IF(Table645[[#This Row],[Column128]]="--",0,Table645[[#This Row],[Column4]]*Table645[[#This Row],[Column128]])</f>
        <v>0</v>
      </c>
    </row>
    <row r="72" spans="1:139" x14ac:dyDescent="0.25">
      <c r="A72" s="140"/>
      <c r="B72" s="79"/>
      <c r="C72" s="140"/>
      <c r="D72" s="167"/>
      <c r="E72" s="52"/>
      <c r="F72" s="81"/>
      <c r="G72" s="81"/>
      <c r="H72" s="102" t="str">
        <f t="shared" si="54"/>
        <v>--</v>
      </c>
      <c r="I72" s="100">
        <f>IF(Table645[[#This Row],[Column8]]="--",0,Table645[[#This Row],[Column4]]*Table645[[#This Row],[Column8]])</f>
        <v>0</v>
      </c>
      <c r="J72" s="169"/>
      <c r="K72" s="85">
        <f>Table645[[#This Row],[Column4]]*Table645[[#This Row],[Column10]]</f>
        <v>0</v>
      </c>
      <c r="L72" s="170" t="str">
        <f t="shared" si="55"/>
        <v>--</v>
      </c>
      <c r="M72" s="214">
        <f>IF(Table645[[#This Row],[Column10]]=0,0,Table645[[#This Row],[Column4]]*Table645[[#This Row],[Column12]])</f>
        <v>0</v>
      </c>
      <c r="N72" s="87" t="str">
        <f t="shared" si="56"/>
        <v>--</v>
      </c>
      <c r="O72" s="138"/>
      <c r="AZ72" s="89">
        <f>IF(Table645[[#This Row],[Column14]]="--",0,Table645[[#This Row],[Column4]]*Table645[[#This Row],[Column14]])</f>
        <v>0</v>
      </c>
      <c r="BA72" s="90"/>
      <c r="BB72" s="91" t="str">
        <f>IF(BA72=0,"--",BA72*$BA$3*IF(Table645[[#This Row],[Column5]]&lt;4.1,1,2)/60/24)</f>
        <v>--</v>
      </c>
      <c r="BC72" s="92">
        <f>IF(Table645[[#This Row],[Column54]]="--",0,Table645[[#This Row],[Column4]]*Table645[[#This Row],[Column54]])</f>
        <v>0</v>
      </c>
      <c r="BD72" s="119"/>
      <c r="BE72" s="119"/>
      <c r="BF72" s="119"/>
      <c r="BG72" s="91" t="str">
        <f>IF(BD72+Table645[[#This Row],[Column58]]=0,"--",(BD72*$BF$3*Table645[[#This Row],[Column57]]+Table645[[#This Row],[Column58]]*$BF$4)/60/24)</f>
        <v>--</v>
      </c>
      <c r="BH72" s="92">
        <f>IF(Table645[[#This Row],[Column59]]="--",0,Table645[[#This Row],[Column4]]*Table645[[#This Row],[Column59]])</f>
        <v>0</v>
      </c>
      <c r="BI72" s="119"/>
      <c r="BJ72" s="91" t="str">
        <f t="shared" si="15"/>
        <v>--</v>
      </c>
      <c r="BK72" s="92">
        <f>IF(Table645[[#This Row],[Column62]]="--",0,Table645[[#This Row],[Column4]]*Table645[[#This Row],[Column62]])</f>
        <v>0</v>
      </c>
      <c r="BL72" s="93"/>
      <c r="BM72" s="91" t="str">
        <f t="shared" si="57"/>
        <v>--</v>
      </c>
      <c r="BN72" s="89">
        <f>IF(Table645[[#This Row],[Column65]]="--",0,Table645[[#This Row],[Column4]]*Table645[[#This Row],[Column65]])</f>
        <v>0</v>
      </c>
      <c r="BO72" s="163"/>
      <c r="BP72" s="164" t="str">
        <f t="shared" si="58"/>
        <v>--</v>
      </c>
      <c r="BQ72" s="160">
        <f>IF(Table645[[#This Row],[Column68]]="--",0,Table645[[#This Row],[Column4]]*Table645[[#This Row],[Column68]])</f>
        <v>0</v>
      </c>
      <c r="BR72" s="94"/>
      <c r="BS72" s="91" t="str">
        <f t="shared" si="59"/>
        <v>--</v>
      </c>
      <c r="BT72" s="92">
        <f>IF(Table645[[#This Row],[Column71]]="--",0,Table645[[#This Row],[Column4]]*Table645[[#This Row],[Column71]])</f>
        <v>0</v>
      </c>
      <c r="BU72" s="44"/>
      <c r="BV72" s="90"/>
      <c r="BW72" s="91" t="str">
        <f>IF(BV72=0,"--",(Table645[[#This Row],[Column73]]*$BV$4*(IF(J72&lt;0.5001,1,IF(J72&lt;2.0001,2,3)))+BV72/$BV$3)/60/24)</f>
        <v>--</v>
      </c>
      <c r="BX72" s="92">
        <f>IF(Table645[[#This Row],[Column75]]="--",0,Table645[[#This Row],[Column4]]*Table645[[#This Row],[Column75]])</f>
        <v>0</v>
      </c>
      <c r="BY72" s="95" t="s">
        <v>70</v>
      </c>
      <c r="BZ72" s="91" t="str">
        <f>IF(Table645[[#This Row],[Column74]]=0,"--",BW72*$BY$3)</f>
        <v>--</v>
      </c>
      <c r="CA72" s="89">
        <f>IF(Table645[[#This Row],[Column78]]="--",0,Table645[[#This Row],[Column4]]*Table645[[#This Row],[Column78]])</f>
        <v>0</v>
      </c>
      <c r="CB72" s="95" t="s">
        <v>70</v>
      </c>
      <c r="CC72" s="91" t="str">
        <f>IF(Table645[[#This Row],[Column10]]+Table645[[#This Row],[Column74]]=0,"--",J72*$CB$4*$CB$5/(24*60)+IF(Table645[[#This Row],[Column74]]=0,0,$CB$3*Table645[[#This Row],[Column75]]))</f>
        <v>--</v>
      </c>
      <c r="CD72" s="92">
        <f>IF(Table645[[#This Row],[Column81]]="--",0,Table645[[#This Row],[Column4]]*Table645[[#This Row],[Column81]])</f>
        <v>0</v>
      </c>
      <c r="CE72" s="215"/>
      <c r="CF72" s="91" t="str">
        <f t="shared" si="19"/>
        <v>--</v>
      </c>
      <c r="CG72" s="92">
        <f>IF(Table645[[#This Row],[Column84]]="--",0,Table645[[#This Row],[Column4]]*Table645[[#This Row],[Column84]])</f>
        <v>0</v>
      </c>
      <c r="CH72" s="226"/>
      <c r="CI72" s="216"/>
      <c r="CJ72" s="91" t="str">
        <f>IF(CI72=0,"--",(Table645[[#This Row],[Column86]]*$CI$4*(IF(W72&lt;0.5001,1,IF(W72&lt;2.0001,2,3)))+CI72/$CI$3)/60/24)</f>
        <v>--</v>
      </c>
      <c r="CK72" s="92">
        <f>IF(Table645[[#This Row],[Column88]]="--",0,Table645[[#This Row],[Column4]]*Table645[[#This Row],[Column88]])</f>
        <v>0</v>
      </c>
      <c r="CL72" s="217"/>
      <c r="CM72" s="91" t="str">
        <f>IF(Table645[[#This Row],[Column87]]=0,"--",CJ72*$CL$3)</f>
        <v>--</v>
      </c>
      <c r="CN72" s="92">
        <f>IF(Table645[[#This Row],[Column91]]="--",0,Table645[[#This Row],[Column4]]*Table645[[#This Row],[Column91]])</f>
        <v>0</v>
      </c>
      <c r="CO72" s="217"/>
      <c r="CP72" s="91" t="str">
        <f>IF(Table645[[#This Row],[Column10]]+Table645[[#This Row],[Column87]]=0, "--", IF($D72="", 1, $D72) * IF($J72="", 1, $J72) * $CO$3 * $CO$4 * IF(Table645[[#This Row],[Column95]]="", 1, Table645[[#This Row],[Column95]]) / (24 * 60))</f>
        <v>--</v>
      </c>
      <c r="CQ72" s="164"/>
      <c r="CR72" s="92">
        <f>IF(Table645[[#This Row],[Column94]]="--",0,Table645[[#This Row],[Column4]]*Table645[[#This Row],[Column94]])</f>
        <v>0</v>
      </c>
      <c r="CS72" s="218" t="str">
        <f>IF(Table645[[#This Row],[Column87]]="","",Table645[[#This Row],[Column87]])</f>
        <v/>
      </c>
      <c r="CT72" s="91" t="str">
        <f>IF(Table645[[#This Row],[Column97]]="","--",Table645[[#This Row],[Column97]]/$CS$3/60/24)</f>
        <v>--</v>
      </c>
      <c r="CU72" s="92">
        <f>IF(Table645[[#This Row],[Column98]]="--",0,Table645[[#This Row],[Column4]]*Table645[[#This Row],[Column98]])</f>
        <v>0</v>
      </c>
      <c r="CV72" s="93"/>
      <c r="CW72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72" s="91" t="str">
        <f>IF(OR(Table645[[#This Row],[Column74]]&gt;0,Table645[[#This Row],[Column87]]&gt;0),(Table645[[#This Row],[Column73]]+Table645[[#This Row],[Column86]]+1)*$CW$3/60/24,"--")</f>
        <v>--</v>
      </c>
      <c r="CY72" s="92">
        <f>IF(Table645[[#This Row],[Column102]]="--",0,Table645[[#This Row],[Column4]]*Table645[[#This Row],[Column102]])</f>
        <v>0</v>
      </c>
      <c r="CZ72" s="158" t="str">
        <f t="shared" si="60"/>
        <v>--</v>
      </c>
      <c r="DA72" s="153"/>
      <c r="DB72" s="160">
        <f>IF(Table645[[#This Row],[Column104]]="--",0,Table645[[#This Row],[Column4]]*Table645[[#This Row],[Column104]])</f>
        <v>0</v>
      </c>
      <c r="DC72" s="219"/>
      <c r="DD72" s="220" t="str">
        <f>IF(DC72=0,"--",1/$DC$3*1000/(60*60*24)*Table645[[#This Row],[Column107]])</f>
        <v>--</v>
      </c>
      <c r="DE72" s="160">
        <f>IF(Table645[[#This Row],[Column108]]="--",0,Table645[[#This Row],[Column4]]*Table645[[#This Row],[Column108]])</f>
        <v>0</v>
      </c>
      <c r="DF72" s="101" t="s">
        <v>70</v>
      </c>
      <c r="DG72" s="91" t="str">
        <f t="shared" si="61"/>
        <v>--</v>
      </c>
      <c r="DH72" s="89">
        <f>IF(Table645[[#This Row],[Column111]]="--",0,Table645[[#This Row],[Column4]]*Table645[[#This Row],[Column111]])</f>
        <v>0</v>
      </c>
      <c r="DI72" s="96"/>
      <c r="DJ72" s="96"/>
      <c r="DK72" s="96"/>
      <c r="DL72" s="96"/>
      <c r="DM72" s="96"/>
      <c r="DN72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72" s="89">
        <f>IF(Table645[[#This Row],[Column118]]="--",0,Table645[[#This Row],[Column4]]*Table645[[#This Row],[Column118]])</f>
        <v>0</v>
      </c>
      <c r="DP72" s="96"/>
      <c r="DQ72" s="96"/>
      <c r="DR72" s="91" t="str">
        <f t="shared" si="62"/>
        <v>--</v>
      </c>
      <c r="DS72" s="89">
        <f>IF(Table645[[#This Row],[Column122]]="--",0,Table645[[#This Row],[Column4]]*Table645[[#This Row],[Column122]])</f>
        <v>0</v>
      </c>
      <c r="DT72" t="str">
        <f>IF(Table645[[#This Row],[Column125]]=0,"--",Table645[[#This Row],[Column125]]*Table645[[#This Row],[Column126]]*Table645[[#This Row],[Column127]]/1000000000)</f>
        <v>--</v>
      </c>
      <c r="DU72" s="53"/>
      <c r="DV72" s="53"/>
      <c r="DW72" s="53"/>
      <c r="DX72" s="91" t="str">
        <f t="shared" si="63"/>
        <v>--</v>
      </c>
      <c r="DY72" s="89">
        <f>IF(Table645[[#This Row],[Column128]]="--",0,Table645[[#This Row],[Column4]]*Table645[[#This Row],[Column128]])</f>
        <v>0</v>
      </c>
      <c r="EA72" s="89">
        <f>IF(Table645[[#This Row],[Column128]]="--",0,Table645[[#This Row],[Column4]]*Table645[[#This Row],[Column128]])</f>
        <v>0</v>
      </c>
      <c r="EC72" s="89">
        <f>IF(Table645[[#This Row],[Column128]]="--",0,Table645[[#This Row],[Column4]]*Table645[[#This Row],[Column128]])</f>
        <v>0</v>
      </c>
      <c r="EE72" s="89">
        <f>IF(Table645[[#This Row],[Column128]]="--",0,Table645[[#This Row],[Column4]]*Table645[[#This Row],[Column128]])</f>
        <v>0</v>
      </c>
      <c r="EG72" s="89">
        <f>IF(Table645[[#This Row],[Column128]]="--",0,Table645[[#This Row],[Column4]]*Table645[[#This Row],[Column128]])</f>
        <v>0</v>
      </c>
      <c r="EI72" s="89">
        <f>IF(Table645[[#This Row],[Column128]]="--",0,Table645[[#This Row],[Column4]]*Table645[[#This Row],[Column128]])</f>
        <v>0</v>
      </c>
    </row>
    <row r="73" spans="1:139" x14ac:dyDescent="0.25">
      <c r="A73" s="140"/>
      <c r="B73" s="79"/>
      <c r="C73" s="140"/>
      <c r="D73" s="167"/>
      <c r="E73" s="52"/>
      <c r="F73" s="81"/>
      <c r="G73" s="81"/>
      <c r="H73" s="102" t="str">
        <f t="shared" ref="H73:H87" si="64">IF(E73&gt;0,E73*F73*G73/1000000*8*(1+$H$4),"--")</f>
        <v>--</v>
      </c>
      <c r="I73" s="100">
        <f>IF(Table645[[#This Row],[Column8]]="--",0,Table645[[#This Row],[Column4]]*Table645[[#This Row],[Column8]])</f>
        <v>0</v>
      </c>
      <c r="J73" s="169"/>
      <c r="K73" s="85">
        <f>Table645[[#This Row],[Column4]]*Table645[[#This Row],[Column10]]</f>
        <v>0</v>
      </c>
      <c r="L73" s="170" t="str">
        <f t="shared" ref="L73:L87" si="65">IF(J73=0,"--",J73/$J$3)</f>
        <v>--</v>
      </c>
      <c r="M73" s="214">
        <f>IF(Table645[[#This Row],[Column10]]=0,0,Table645[[#This Row],[Column4]]*Table645[[#This Row],[Column12]])</f>
        <v>0</v>
      </c>
      <c r="N73" s="87" t="str">
        <f t="shared" ref="N73:N87" si="66">IF(SUM(Q73:AX73)=0,"--",(Q73/$Q$4+T73/$T$4+W73/$W$4+Z73/$Z$4+AC73/$AC$4+AF73/$AF$4+AI73/$AI$4+AL73/$AL$4+AO73/$AO$4+AR73/$AR$4+AU73/$AU$4+AX73/$AX$4)/60/24)</f>
        <v>--</v>
      </c>
      <c r="O73" s="138"/>
      <c r="AZ73" s="89">
        <f>IF(Table645[[#This Row],[Column14]]="--",0,Table645[[#This Row],[Column4]]*Table645[[#This Row],[Column14]])</f>
        <v>0</v>
      </c>
      <c r="BA73" s="90"/>
      <c r="BB73" s="91" t="str">
        <f>IF(BA73=0,"--",BA73*$BA$3*IF(Table645[[#This Row],[Column5]]&lt;4.1,1,2)/60/24)</f>
        <v>--</v>
      </c>
      <c r="BC73" s="92">
        <f>IF(Table645[[#This Row],[Column54]]="--",0,Table645[[#This Row],[Column4]]*Table645[[#This Row],[Column54]])</f>
        <v>0</v>
      </c>
      <c r="BD73" s="119"/>
      <c r="BE73" s="119"/>
      <c r="BF73" s="119"/>
      <c r="BG73" s="91" t="str">
        <f>IF(BD73+Table645[[#This Row],[Column58]]=0,"--",(BD73*$BF$3*Table645[[#This Row],[Column57]]+Table645[[#This Row],[Column58]]*$BF$4)/60/24)</f>
        <v>--</v>
      </c>
      <c r="BH73" s="92">
        <f>IF(Table645[[#This Row],[Column59]]="--",0,Table645[[#This Row],[Column4]]*Table645[[#This Row],[Column59]])</f>
        <v>0</v>
      </c>
      <c r="BI73" s="119"/>
      <c r="BJ73" s="91" t="str">
        <f t="shared" si="15"/>
        <v>--</v>
      </c>
      <c r="BK73" s="92">
        <f>IF(Table645[[#This Row],[Column62]]="--",0,Table645[[#This Row],[Column4]]*Table645[[#This Row],[Column62]])</f>
        <v>0</v>
      </c>
      <c r="BL73" s="93"/>
      <c r="BM73" s="91" t="str">
        <f t="shared" ref="BM73:BM87" si="67">IF(BL73=0,"--",BL73*$BL$3/60/60/24)</f>
        <v>--</v>
      </c>
      <c r="BN73" s="89">
        <f>IF(Table645[[#This Row],[Column65]]="--",0,Table645[[#This Row],[Column4]]*Table645[[#This Row],[Column65]])</f>
        <v>0</v>
      </c>
      <c r="BO73" s="163"/>
      <c r="BP73" s="164" t="str">
        <f t="shared" ref="BP73:BP87" si="68">IF(BO73=0,"--",BO73*$BO$3/60/60/24)</f>
        <v>--</v>
      </c>
      <c r="BQ73" s="160">
        <f>IF(Table645[[#This Row],[Column68]]="--",0,Table645[[#This Row],[Column4]]*Table645[[#This Row],[Column68]])</f>
        <v>0</v>
      </c>
      <c r="BR73" s="94"/>
      <c r="BS73" s="91" t="str">
        <f t="shared" ref="BS73:BS87" si="69">IF(BR73=0,"--",BR73*$BR$3/60/60/24)</f>
        <v>--</v>
      </c>
      <c r="BT73" s="92">
        <f>IF(Table645[[#This Row],[Column71]]="--",0,Table645[[#This Row],[Column4]]*Table645[[#This Row],[Column71]])</f>
        <v>0</v>
      </c>
      <c r="BU73" s="44"/>
      <c r="BV73" s="90"/>
      <c r="BW73" s="91" t="str">
        <f>IF(BV73=0,"--",(Table645[[#This Row],[Column73]]*$BV$4*(IF(J73&lt;0.5001,1,IF(J73&lt;2.0001,2,3)))+BV73/$BV$3)/60/24)</f>
        <v>--</v>
      </c>
      <c r="BX73" s="92">
        <f>IF(Table645[[#This Row],[Column75]]="--",0,Table645[[#This Row],[Column4]]*Table645[[#This Row],[Column75]])</f>
        <v>0</v>
      </c>
      <c r="BY73" s="95" t="s">
        <v>70</v>
      </c>
      <c r="BZ73" s="91" t="str">
        <f>IF(Table645[[#This Row],[Column74]]=0,"--",BW73*$BY$3)</f>
        <v>--</v>
      </c>
      <c r="CA73" s="89">
        <f>IF(Table645[[#This Row],[Column78]]="--",0,Table645[[#This Row],[Column4]]*Table645[[#This Row],[Column78]])</f>
        <v>0</v>
      </c>
      <c r="CB73" s="95" t="s">
        <v>70</v>
      </c>
      <c r="CC73" s="91" t="str">
        <f>IF(Table645[[#This Row],[Column10]]+Table645[[#This Row],[Column74]]=0,"--",J73*$CB$4*$CB$5/(24*60)+IF(Table645[[#This Row],[Column74]]=0,0,$CB$3*Table645[[#This Row],[Column75]]))</f>
        <v>--</v>
      </c>
      <c r="CD73" s="92">
        <f>IF(Table645[[#This Row],[Column81]]="--",0,Table645[[#This Row],[Column4]]*Table645[[#This Row],[Column81]])</f>
        <v>0</v>
      </c>
      <c r="CE73" s="215"/>
      <c r="CF73" s="91" t="str">
        <f t="shared" si="19"/>
        <v>--</v>
      </c>
      <c r="CG73" s="92">
        <f>IF(Table645[[#This Row],[Column84]]="--",0,Table645[[#This Row],[Column4]]*Table645[[#This Row],[Column84]])</f>
        <v>0</v>
      </c>
      <c r="CH73" s="226"/>
      <c r="CI73" s="216"/>
      <c r="CJ73" s="91" t="str">
        <f>IF(CI73=0,"--",(Table645[[#This Row],[Column86]]*$CI$4*(IF(W73&lt;0.5001,1,IF(W73&lt;2.0001,2,3)))+CI73/$CI$3)/60/24)</f>
        <v>--</v>
      </c>
      <c r="CK73" s="92">
        <f>IF(Table645[[#This Row],[Column88]]="--",0,Table645[[#This Row],[Column4]]*Table645[[#This Row],[Column88]])</f>
        <v>0</v>
      </c>
      <c r="CL73" s="217"/>
      <c r="CM73" s="91" t="str">
        <f>IF(Table645[[#This Row],[Column87]]=0,"--",CJ73*$CL$3)</f>
        <v>--</v>
      </c>
      <c r="CN73" s="92">
        <f>IF(Table645[[#This Row],[Column91]]="--",0,Table645[[#This Row],[Column4]]*Table645[[#This Row],[Column91]])</f>
        <v>0</v>
      </c>
      <c r="CO73" s="217"/>
      <c r="CP73" s="91" t="str">
        <f>IF(Table645[[#This Row],[Column10]]+Table645[[#This Row],[Column87]]=0, "--", IF($D73="", 1, $D73) * IF($J73="", 1, $J73) * $CO$3 * $CO$4 * IF(Table645[[#This Row],[Column95]]="", 1, Table645[[#This Row],[Column95]]) / (24 * 60))</f>
        <v>--</v>
      </c>
      <c r="CQ73" s="164"/>
      <c r="CR73" s="92">
        <f>IF(Table645[[#This Row],[Column94]]="--",0,Table645[[#This Row],[Column4]]*Table645[[#This Row],[Column94]])</f>
        <v>0</v>
      </c>
      <c r="CS73" s="218" t="str">
        <f>IF(Table645[[#This Row],[Column87]]="","",Table645[[#This Row],[Column87]])</f>
        <v/>
      </c>
      <c r="CT73" s="91" t="str">
        <f>IF(Table645[[#This Row],[Column97]]="","--",Table645[[#This Row],[Column97]]/$CS$3/60/24)</f>
        <v>--</v>
      </c>
      <c r="CU73" s="92">
        <f>IF(Table645[[#This Row],[Column98]]="--",0,Table645[[#This Row],[Column4]]*Table645[[#This Row],[Column98]])</f>
        <v>0</v>
      </c>
      <c r="CV73" s="93"/>
      <c r="CW73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73" s="91" t="str">
        <f>IF(OR(Table645[[#This Row],[Column74]]&gt;0,Table645[[#This Row],[Column87]]&gt;0),(Table645[[#This Row],[Column73]]+Table645[[#This Row],[Column86]]+1)*$CW$3/60/24,"--")</f>
        <v>--</v>
      </c>
      <c r="CY73" s="92">
        <f>IF(Table645[[#This Row],[Column102]]="--",0,Table645[[#This Row],[Column4]]*Table645[[#This Row],[Column102]])</f>
        <v>0</v>
      </c>
      <c r="CZ73" s="158" t="str">
        <f t="shared" ref="CZ73:CZ87" si="70">IF(J73=0,"--",J73/$CZ$3/(24)*DA73)</f>
        <v>--</v>
      </c>
      <c r="DA73" s="153"/>
      <c r="DB73" s="160">
        <f>IF(Table645[[#This Row],[Column104]]="--",0,Table645[[#This Row],[Column4]]*Table645[[#This Row],[Column104]])</f>
        <v>0</v>
      </c>
      <c r="DC73" s="219"/>
      <c r="DD73" s="220" t="str">
        <f>IF(DC73=0,"--",1/$DC$3*1000/(60*60*24)*Table645[[#This Row],[Column107]])</f>
        <v>--</v>
      </c>
      <c r="DE73" s="160">
        <f>IF(Table645[[#This Row],[Column108]]="--",0,Table645[[#This Row],[Column4]]*Table645[[#This Row],[Column108]])</f>
        <v>0</v>
      </c>
      <c r="DF73" s="101" t="s">
        <v>70</v>
      </c>
      <c r="DG73" s="91" t="str">
        <f t="shared" ref="DG73:DG87" si="71">IF(DA73=0,"--",(J73*$DF$3)/60/24)</f>
        <v>--</v>
      </c>
      <c r="DH73" s="89">
        <f>IF(Table645[[#This Row],[Column111]]="--",0,Table645[[#This Row],[Column4]]*Table645[[#This Row],[Column111]])</f>
        <v>0</v>
      </c>
      <c r="DI73" s="96"/>
      <c r="DJ73" s="96"/>
      <c r="DK73" s="96"/>
      <c r="DL73" s="96"/>
      <c r="DM73" s="96"/>
      <c r="DN73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73" s="89">
        <f>IF(Table645[[#This Row],[Column118]]="--",0,Table645[[#This Row],[Column4]]*Table645[[#This Row],[Column118]])</f>
        <v>0</v>
      </c>
      <c r="DP73" s="96"/>
      <c r="DQ73" s="96"/>
      <c r="DR73" s="91" t="str">
        <f t="shared" ref="DR73:DR87" si="72">IF(DP73+DQ73&gt;0,(DP73*$DQ$3+DQ73*$DQ$4)/60/24,IF(DN73="--","--",(DP73*$DQ$3+DQ73*$DQ$4)/60/24))</f>
        <v>--</v>
      </c>
      <c r="DS73" s="89">
        <f>IF(Table645[[#This Row],[Column122]]="--",0,Table645[[#This Row],[Column4]]*Table645[[#This Row],[Column122]])</f>
        <v>0</v>
      </c>
      <c r="DT73" t="str">
        <f>IF(Table645[[#This Row],[Column125]]=0,"--",Table645[[#This Row],[Column125]]*Table645[[#This Row],[Column126]]*Table645[[#This Row],[Column127]]/1000000000)</f>
        <v>--</v>
      </c>
      <c r="DU73" s="53"/>
      <c r="DV73" s="53"/>
      <c r="DW73" s="53"/>
      <c r="DX73" s="91" t="str">
        <f t="shared" ref="DX73:DX87" si="73">IF(DT73="--","--",(1+DT73*$DT$3)/60/24)</f>
        <v>--</v>
      </c>
      <c r="DY73" s="89">
        <f>IF(Table645[[#This Row],[Column128]]="--",0,Table645[[#This Row],[Column4]]*Table645[[#This Row],[Column128]])</f>
        <v>0</v>
      </c>
      <c r="EA73" s="89">
        <f>IF(Table645[[#This Row],[Column128]]="--",0,Table645[[#This Row],[Column4]]*Table645[[#This Row],[Column128]])</f>
        <v>0</v>
      </c>
      <c r="EC73" s="89">
        <f>IF(Table645[[#This Row],[Column128]]="--",0,Table645[[#This Row],[Column4]]*Table645[[#This Row],[Column128]])</f>
        <v>0</v>
      </c>
      <c r="EE73" s="89">
        <f>IF(Table645[[#This Row],[Column128]]="--",0,Table645[[#This Row],[Column4]]*Table645[[#This Row],[Column128]])</f>
        <v>0</v>
      </c>
      <c r="EG73" s="89">
        <f>IF(Table645[[#This Row],[Column128]]="--",0,Table645[[#This Row],[Column4]]*Table645[[#This Row],[Column128]])</f>
        <v>0</v>
      </c>
      <c r="EI73" s="89">
        <f>IF(Table645[[#This Row],[Column128]]="--",0,Table645[[#This Row],[Column4]]*Table645[[#This Row],[Column128]])</f>
        <v>0</v>
      </c>
    </row>
    <row r="74" spans="1:139" x14ac:dyDescent="0.25">
      <c r="A74" s="140"/>
      <c r="B74" s="79"/>
      <c r="C74" s="140"/>
      <c r="D74" s="167"/>
      <c r="E74" s="52"/>
      <c r="F74" s="81"/>
      <c r="G74" s="81"/>
      <c r="H74" s="102" t="str">
        <f t="shared" si="64"/>
        <v>--</v>
      </c>
      <c r="I74" s="100">
        <f>IF(Table645[[#This Row],[Column8]]="--",0,Table645[[#This Row],[Column4]]*Table645[[#This Row],[Column8]])</f>
        <v>0</v>
      </c>
      <c r="J74" s="169"/>
      <c r="K74" s="85">
        <f>Table645[[#This Row],[Column4]]*Table645[[#This Row],[Column10]]</f>
        <v>0</v>
      </c>
      <c r="L74" s="170" t="str">
        <f t="shared" si="65"/>
        <v>--</v>
      </c>
      <c r="M74" s="214">
        <f>IF(Table645[[#This Row],[Column10]]=0,0,Table645[[#This Row],[Column4]]*Table645[[#This Row],[Column12]])</f>
        <v>0</v>
      </c>
      <c r="N74" s="87" t="str">
        <f t="shared" si="66"/>
        <v>--</v>
      </c>
      <c r="O74" s="138"/>
      <c r="AZ74" s="89">
        <f>IF(Table645[[#This Row],[Column14]]="--",0,Table645[[#This Row],[Column4]]*Table645[[#This Row],[Column14]])</f>
        <v>0</v>
      </c>
      <c r="BA74" s="90"/>
      <c r="BB74" s="91" t="str">
        <f>IF(BA74=0,"--",BA74*$BA$3*IF(Table645[[#This Row],[Column5]]&lt;4.1,1,2)/60/24)</f>
        <v>--</v>
      </c>
      <c r="BC74" s="92">
        <f>IF(Table645[[#This Row],[Column54]]="--",0,Table645[[#This Row],[Column4]]*Table645[[#This Row],[Column54]])</f>
        <v>0</v>
      </c>
      <c r="BD74" s="119"/>
      <c r="BE74" s="119"/>
      <c r="BF74" s="119"/>
      <c r="BG74" s="91" t="str">
        <f>IF(BD74+Table645[[#This Row],[Column58]]=0,"--",(BD74*$BF$3*Table645[[#This Row],[Column57]]+Table645[[#This Row],[Column58]]*$BF$4)/60/24)</f>
        <v>--</v>
      </c>
      <c r="BH74" s="92">
        <f>IF(Table645[[#This Row],[Column59]]="--",0,Table645[[#This Row],[Column4]]*Table645[[#This Row],[Column59]])</f>
        <v>0</v>
      </c>
      <c r="BI74" s="119"/>
      <c r="BJ74" s="91" t="str">
        <f t="shared" si="15"/>
        <v>--</v>
      </c>
      <c r="BK74" s="92">
        <f>IF(Table645[[#This Row],[Column62]]="--",0,Table645[[#This Row],[Column4]]*Table645[[#This Row],[Column62]])</f>
        <v>0</v>
      </c>
      <c r="BL74" s="93"/>
      <c r="BM74" s="91" t="str">
        <f t="shared" si="67"/>
        <v>--</v>
      </c>
      <c r="BN74" s="89">
        <f>IF(Table645[[#This Row],[Column65]]="--",0,Table645[[#This Row],[Column4]]*Table645[[#This Row],[Column65]])</f>
        <v>0</v>
      </c>
      <c r="BO74" s="163"/>
      <c r="BP74" s="164" t="str">
        <f t="shared" si="68"/>
        <v>--</v>
      </c>
      <c r="BQ74" s="160">
        <f>IF(Table645[[#This Row],[Column68]]="--",0,Table645[[#This Row],[Column4]]*Table645[[#This Row],[Column68]])</f>
        <v>0</v>
      </c>
      <c r="BR74" s="94"/>
      <c r="BS74" s="91" t="str">
        <f t="shared" si="69"/>
        <v>--</v>
      </c>
      <c r="BT74" s="92">
        <f>IF(Table645[[#This Row],[Column71]]="--",0,Table645[[#This Row],[Column4]]*Table645[[#This Row],[Column71]])</f>
        <v>0</v>
      </c>
      <c r="BU74" s="44"/>
      <c r="BV74" s="90"/>
      <c r="BW74" s="91" t="str">
        <f>IF(BV74=0,"--",(Table645[[#This Row],[Column73]]*$BV$4*(IF(J74&lt;0.5001,1,IF(J74&lt;2.0001,2,3)))+BV74/$BV$3)/60/24)</f>
        <v>--</v>
      </c>
      <c r="BX74" s="92">
        <f>IF(Table645[[#This Row],[Column75]]="--",0,Table645[[#This Row],[Column4]]*Table645[[#This Row],[Column75]])</f>
        <v>0</v>
      </c>
      <c r="BY74" s="95" t="s">
        <v>70</v>
      </c>
      <c r="BZ74" s="91" t="str">
        <f>IF(Table645[[#This Row],[Column74]]=0,"--",BW74*$BY$3)</f>
        <v>--</v>
      </c>
      <c r="CA74" s="89">
        <f>IF(Table645[[#This Row],[Column78]]="--",0,Table645[[#This Row],[Column4]]*Table645[[#This Row],[Column78]])</f>
        <v>0</v>
      </c>
      <c r="CB74" s="95" t="s">
        <v>70</v>
      </c>
      <c r="CC74" s="91" t="str">
        <f>IF(Table645[[#This Row],[Column10]]+Table645[[#This Row],[Column74]]=0,"--",J74*$CB$4*$CB$5/(24*60)+IF(Table645[[#This Row],[Column74]]=0,0,$CB$3*Table645[[#This Row],[Column75]]))</f>
        <v>--</v>
      </c>
      <c r="CD74" s="92">
        <f>IF(Table645[[#This Row],[Column81]]="--",0,Table645[[#This Row],[Column4]]*Table645[[#This Row],[Column81]])</f>
        <v>0</v>
      </c>
      <c r="CE74" s="215"/>
      <c r="CF74" s="91" t="str">
        <f t="shared" si="19"/>
        <v>--</v>
      </c>
      <c r="CG74" s="92">
        <f>IF(Table645[[#This Row],[Column84]]="--",0,Table645[[#This Row],[Column4]]*Table645[[#This Row],[Column84]])</f>
        <v>0</v>
      </c>
      <c r="CH74" s="226"/>
      <c r="CI74" s="216"/>
      <c r="CJ74" s="91" t="str">
        <f>IF(CI74=0,"--",(Table645[[#This Row],[Column86]]*$CI$4*(IF(W74&lt;0.5001,1,IF(W74&lt;2.0001,2,3)))+CI74/$CI$3)/60/24)</f>
        <v>--</v>
      </c>
      <c r="CK74" s="92">
        <f>IF(Table645[[#This Row],[Column88]]="--",0,Table645[[#This Row],[Column4]]*Table645[[#This Row],[Column88]])</f>
        <v>0</v>
      </c>
      <c r="CL74" s="217"/>
      <c r="CM74" s="91" t="str">
        <f>IF(Table645[[#This Row],[Column87]]=0,"--",CJ74*$CL$3)</f>
        <v>--</v>
      </c>
      <c r="CN74" s="92">
        <f>IF(Table645[[#This Row],[Column91]]="--",0,Table645[[#This Row],[Column4]]*Table645[[#This Row],[Column91]])</f>
        <v>0</v>
      </c>
      <c r="CO74" s="217"/>
      <c r="CP74" s="91" t="str">
        <f>IF(Table645[[#This Row],[Column10]]+Table645[[#This Row],[Column87]]=0, "--", IF($D74="", 1, $D74) * IF($J74="", 1, $J74) * $CO$3 * $CO$4 * IF(Table645[[#This Row],[Column95]]="", 1, Table645[[#This Row],[Column95]]) / (24 * 60))</f>
        <v>--</v>
      </c>
      <c r="CQ74" s="164"/>
      <c r="CR74" s="92">
        <f>IF(Table645[[#This Row],[Column94]]="--",0,Table645[[#This Row],[Column4]]*Table645[[#This Row],[Column94]])</f>
        <v>0</v>
      </c>
      <c r="CS74" s="218" t="str">
        <f>IF(Table645[[#This Row],[Column87]]="","",Table645[[#This Row],[Column87]])</f>
        <v/>
      </c>
      <c r="CT74" s="91" t="str">
        <f>IF(Table645[[#This Row],[Column97]]="","--",Table645[[#This Row],[Column97]]/$CS$3/60/24)</f>
        <v>--</v>
      </c>
      <c r="CU74" s="92">
        <f>IF(Table645[[#This Row],[Column98]]="--",0,Table645[[#This Row],[Column4]]*Table645[[#This Row],[Column98]])</f>
        <v>0</v>
      </c>
      <c r="CV74" s="93"/>
      <c r="CW74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74" s="91" t="str">
        <f>IF(OR(Table645[[#This Row],[Column74]]&gt;0,Table645[[#This Row],[Column87]]&gt;0),(Table645[[#This Row],[Column73]]+Table645[[#This Row],[Column86]]+1)*$CW$3/60/24,"--")</f>
        <v>--</v>
      </c>
      <c r="CY74" s="92">
        <f>IF(Table645[[#This Row],[Column102]]="--",0,Table645[[#This Row],[Column4]]*Table645[[#This Row],[Column102]])</f>
        <v>0</v>
      </c>
      <c r="CZ74" s="158" t="str">
        <f t="shared" si="70"/>
        <v>--</v>
      </c>
      <c r="DA74" s="153"/>
      <c r="DB74" s="160">
        <f>IF(Table645[[#This Row],[Column104]]="--",0,Table645[[#This Row],[Column4]]*Table645[[#This Row],[Column104]])</f>
        <v>0</v>
      </c>
      <c r="DC74" s="219"/>
      <c r="DD74" s="220" t="str">
        <f>IF(DC74=0,"--",1/$DC$3*1000/(60*60*24)*Table645[[#This Row],[Column107]])</f>
        <v>--</v>
      </c>
      <c r="DE74" s="160">
        <f>IF(Table645[[#This Row],[Column108]]="--",0,Table645[[#This Row],[Column4]]*Table645[[#This Row],[Column108]])</f>
        <v>0</v>
      </c>
      <c r="DF74" s="101" t="s">
        <v>70</v>
      </c>
      <c r="DG74" s="91" t="str">
        <f t="shared" si="71"/>
        <v>--</v>
      </c>
      <c r="DH74" s="89">
        <f>IF(Table645[[#This Row],[Column111]]="--",0,Table645[[#This Row],[Column4]]*Table645[[#This Row],[Column111]])</f>
        <v>0</v>
      </c>
      <c r="DI74" s="96"/>
      <c r="DJ74" s="96"/>
      <c r="DK74" s="96"/>
      <c r="DL74" s="96"/>
      <c r="DM74" s="96"/>
      <c r="DN74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74" s="89">
        <f>IF(Table645[[#This Row],[Column118]]="--",0,Table645[[#This Row],[Column4]]*Table645[[#This Row],[Column118]])</f>
        <v>0</v>
      </c>
      <c r="DP74" s="96"/>
      <c r="DQ74" s="96"/>
      <c r="DR74" s="91" t="str">
        <f t="shared" si="72"/>
        <v>--</v>
      </c>
      <c r="DS74" s="89">
        <f>IF(Table645[[#This Row],[Column122]]="--",0,Table645[[#This Row],[Column4]]*Table645[[#This Row],[Column122]])</f>
        <v>0</v>
      </c>
      <c r="DT74" t="str">
        <f>IF(Table645[[#This Row],[Column125]]=0,"--",Table645[[#This Row],[Column125]]*Table645[[#This Row],[Column126]]*Table645[[#This Row],[Column127]]/1000000000)</f>
        <v>--</v>
      </c>
      <c r="DU74" s="53"/>
      <c r="DV74" s="53"/>
      <c r="DW74" s="53"/>
      <c r="DX74" s="91" t="str">
        <f t="shared" si="73"/>
        <v>--</v>
      </c>
      <c r="DY74" s="89">
        <f>IF(Table645[[#This Row],[Column128]]="--",0,Table645[[#This Row],[Column4]]*Table645[[#This Row],[Column128]])</f>
        <v>0</v>
      </c>
      <c r="EA74" s="89">
        <f>IF(Table645[[#This Row],[Column128]]="--",0,Table645[[#This Row],[Column4]]*Table645[[#This Row],[Column128]])</f>
        <v>0</v>
      </c>
      <c r="EC74" s="89">
        <f>IF(Table645[[#This Row],[Column128]]="--",0,Table645[[#This Row],[Column4]]*Table645[[#This Row],[Column128]])</f>
        <v>0</v>
      </c>
      <c r="EE74" s="89">
        <f>IF(Table645[[#This Row],[Column128]]="--",0,Table645[[#This Row],[Column4]]*Table645[[#This Row],[Column128]])</f>
        <v>0</v>
      </c>
      <c r="EG74" s="89">
        <f>IF(Table645[[#This Row],[Column128]]="--",0,Table645[[#This Row],[Column4]]*Table645[[#This Row],[Column128]])</f>
        <v>0</v>
      </c>
      <c r="EI74" s="89">
        <f>IF(Table645[[#This Row],[Column128]]="--",0,Table645[[#This Row],[Column4]]*Table645[[#This Row],[Column128]])</f>
        <v>0</v>
      </c>
    </row>
    <row r="75" spans="1:139" x14ac:dyDescent="0.25">
      <c r="A75" s="140"/>
      <c r="B75" s="79"/>
      <c r="C75" s="140"/>
      <c r="D75" s="167"/>
      <c r="E75" s="52"/>
      <c r="F75" s="81"/>
      <c r="G75" s="81"/>
      <c r="H75" s="102" t="str">
        <f t="shared" si="64"/>
        <v>--</v>
      </c>
      <c r="I75" s="100">
        <f>IF(Table645[[#This Row],[Column8]]="--",0,Table645[[#This Row],[Column4]]*Table645[[#This Row],[Column8]])</f>
        <v>0</v>
      </c>
      <c r="J75" s="169"/>
      <c r="K75" s="85">
        <f>Table645[[#This Row],[Column4]]*Table645[[#This Row],[Column10]]</f>
        <v>0</v>
      </c>
      <c r="L75" s="170" t="str">
        <f t="shared" si="65"/>
        <v>--</v>
      </c>
      <c r="M75" s="214">
        <f>IF(Table645[[#This Row],[Column10]]=0,0,Table645[[#This Row],[Column4]]*Table645[[#This Row],[Column12]])</f>
        <v>0</v>
      </c>
      <c r="N75" s="87" t="str">
        <f t="shared" si="66"/>
        <v>--</v>
      </c>
      <c r="O75" s="138"/>
      <c r="AZ75" s="89">
        <f>IF(Table645[[#This Row],[Column14]]="--",0,Table645[[#This Row],[Column4]]*Table645[[#This Row],[Column14]])</f>
        <v>0</v>
      </c>
      <c r="BA75" s="90"/>
      <c r="BB75" s="91" t="str">
        <f>IF(BA75=0,"--",BA75*$BA$3*IF(Table645[[#This Row],[Column5]]&lt;4.1,1,2)/60/24)</f>
        <v>--</v>
      </c>
      <c r="BC75" s="92">
        <f>IF(Table645[[#This Row],[Column54]]="--",0,Table645[[#This Row],[Column4]]*Table645[[#This Row],[Column54]])</f>
        <v>0</v>
      </c>
      <c r="BD75" s="119"/>
      <c r="BE75" s="119"/>
      <c r="BF75" s="119"/>
      <c r="BG75" s="91" t="str">
        <f>IF(BD75+Table645[[#This Row],[Column58]]=0,"--",(BD75*$BF$3*Table645[[#This Row],[Column57]]+Table645[[#This Row],[Column58]]*$BF$4)/60/24)</f>
        <v>--</v>
      </c>
      <c r="BH75" s="92">
        <f>IF(Table645[[#This Row],[Column59]]="--",0,Table645[[#This Row],[Column4]]*Table645[[#This Row],[Column59]])</f>
        <v>0</v>
      </c>
      <c r="BI75" s="119"/>
      <c r="BJ75" s="91" t="str">
        <f t="shared" si="15"/>
        <v>--</v>
      </c>
      <c r="BK75" s="92">
        <f>IF(Table645[[#This Row],[Column62]]="--",0,Table645[[#This Row],[Column4]]*Table645[[#This Row],[Column62]])</f>
        <v>0</v>
      </c>
      <c r="BL75" s="93"/>
      <c r="BM75" s="91" t="str">
        <f t="shared" si="67"/>
        <v>--</v>
      </c>
      <c r="BN75" s="89">
        <f>IF(Table645[[#This Row],[Column65]]="--",0,Table645[[#This Row],[Column4]]*Table645[[#This Row],[Column65]])</f>
        <v>0</v>
      </c>
      <c r="BO75" s="163"/>
      <c r="BP75" s="164" t="str">
        <f t="shared" si="68"/>
        <v>--</v>
      </c>
      <c r="BQ75" s="160">
        <f>IF(Table645[[#This Row],[Column68]]="--",0,Table645[[#This Row],[Column4]]*Table645[[#This Row],[Column68]])</f>
        <v>0</v>
      </c>
      <c r="BR75" s="94"/>
      <c r="BS75" s="91" t="str">
        <f t="shared" si="69"/>
        <v>--</v>
      </c>
      <c r="BT75" s="92">
        <f>IF(Table645[[#This Row],[Column71]]="--",0,Table645[[#This Row],[Column4]]*Table645[[#This Row],[Column71]])</f>
        <v>0</v>
      </c>
      <c r="BU75" s="44"/>
      <c r="BV75" s="90"/>
      <c r="BW75" s="91" t="str">
        <f>IF(BV75=0,"--",(Table645[[#This Row],[Column73]]*$BV$4*(IF(J75&lt;0.5001,1,IF(J75&lt;2.0001,2,3)))+BV75/$BV$3)/60/24)</f>
        <v>--</v>
      </c>
      <c r="BX75" s="92">
        <f>IF(Table645[[#This Row],[Column75]]="--",0,Table645[[#This Row],[Column4]]*Table645[[#This Row],[Column75]])</f>
        <v>0</v>
      </c>
      <c r="BY75" s="95" t="s">
        <v>70</v>
      </c>
      <c r="BZ75" s="91" t="str">
        <f>IF(Table645[[#This Row],[Column74]]=0,"--",BW75*$BY$3)</f>
        <v>--</v>
      </c>
      <c r="CA75" s="89">
        <f>IF(Table645[[#This Row],[Column78]]="--",0,Table645[[#This Row],[Column4]]*Table645[[#This Row],[Column78]])</f>
        <v>0</v>
      </c>
      <c r="CB75" s="95" t="s">
        <v>70</v>
      </c>
      <c r="CC75" s="91" t="str">
        <f>IF(Table645[[#This Row],[Column10]]+Table645[[#This Row],[Column74]]=0,"--",J75*$CB$4*$CB$5/(24*60)+IF(Table645[[#This Row],[Column74]]=0,0,$CB$3*Table645[[#This Row],[Column75]]))</f>
        <v>--</v>
      </c>
      <c r="CD75" s="92">
        <f>IF(Table645[[#This Row],[Column81]]="--",0,Table645[[#This Row],[Column4]]*Table645[[#This Row],[Column81]])</f>
        <v>0</v>
      </c>
      <c r="CE75" s="215"/>
      <c r="CF75" s="91" t="str">
        <f t="shared" si="19"/>
        <v>--</v>
      </c>
      <c r="CG75" s="92">
        <f>IF(Table645[[#This Row],[Column84]]="--",0,Table645[[#This Row],[Column4]]*Table645[[#This Row],[Column84]])</f>
        <v>0</v>
      </c>
      <c r="CH75" s="226"/>
      <c r="CI75" s="216"/>
      <c r="CJ75" s="91" t="str">
        <f>IF(CI75=0,"--",(Table645[[#This Row],[Column86]]*$CI$4*(IF(W75&lt;0.5001,1,IF(W75&lt;2.0001,2,3)))+CI75/$CI$3)/60/24)</f>
        <v>--</v>
      </c>
      <c r="CK75" s="92">
        <f>IF(Table645[[#This Row],[Column88]]="--",0,Table645[[#This Row],[Column4]]*Table645[[#This Row],[Column88]])</f>
        <v>0</v>
      </c>
      <c r="CL75" s="217"/>
      <c r="CM75" s="91" t="str">
        <f>IF(Table645[[#This Row],[Column87]]=0,"--",CJ75*$CL$3)</f>
        <v>--</v>
      </c>
      <c r="CN75" s="92">
        <f>IF(Table645[[#This Row],[Column91]]="--",0,Table645[[#This Row],[Column4]]*Table645[[#This Row],[Column91]])</f>
        <v>0</v>
      </c>
      <c r="CO75" s="217"/>
      <c r="CP75" s="91" t="str">
        <f>IF(Table645[[#This Row],[Column10]]+Table645[[#This Row],[Column87]]=0, "--", IF($D75="", 1, $D75) * IF($J75="", 1, $J75) * $CO$3 * $CO$4 * IF(Table645[[#This Row],[Column95]]="", 1, Table645[[#This Row],[Column95]]) / (24 * 60))</f>
        <v>--</v>
      </c>
      <c r="CQ75" s="164"/>
      <c r="CR75" s="92">
        <f>IF(Table645[[#This Row],[Column94]]="--",0,Table645[[#This Row],[Column4]]*Table645[[#This Row],[Column94]])</f>
        <v>0</v>
      </c>
      <c r="CS75" s="218" t="str">
        <f>IF(Table645[[#This Row],[Column87]]="","",Table645[[#This Row],[Column87]])</f>
        <v/>
      </c>
      <c r="CT75" s="91" t="str">
        <f>IF(Table645[[#This Row],[Column97]]="","--",Table645[[#This Row],[Column97]]/$CS$3/60/24)</f>
        <v>--</v>
      </c>
      <c r="CU75" s="92">
        <f>IF(Table645[[#This Row],[Column98]]="--",0,Table645[[#This Row],[Column4]]*Table645[[#This Row],[Column98]])</f>
        <v>0</v>
      </c>
      <c r="CV75" s="93"/>
      <c r="CW75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75" s="91" t="str">
        <f>IF(OR(Table645[[#This Row],[Column74]]&gt;0,Table645[[#This Row],[Column87]]&gt;0),(Table645[[#This Row],[Column73]]+Table645[[#This Row],[Column86]]+1)*$CW$3/60/24,"--")</f>
        <v>--</v>
      </c>
      <c r="CY75" s="92">
        <f>IF(Table645[[#This Row],[Column102]]="--",0,Table645[[#This Row],[Column4]]*Table645[[#This Row],[Column102]])</f>
        <v>0</v>
      </c>
      <c r="CZ75" s="158" t="str">
        <f t="shared" si="70"/>
        <v>--</v>
      </c>
      <c r="DA75" s="153"/>
      <c r="DB75" s="160">
        <f>IF(Table645[[#This Row],[Column104]]="--",0,Table645[[#This Row],[Column4]]*Table645[[#This Row],[Column104]])</f>
        <v>0</v>
      </c>
      <c r="DC75" s="219"/>
      <c r="DD75" s="220" t="str">
        <f>IF(DC75=0,"--",1/$DC$3*1000/(60*60*24)*Table645[[#This Row],[Column107]])</f>
        <v>--</v>
      </c>
      <c r="DE75" s="160">
        <f>IF(Table645[[#This Row],[Column108]]="--",0,Table645[[#This Row],[Column4]]*Table645[[#This Row],[Column108]])</f>
        <v>0</v>
      </c>
      <c r="DF75" s="101" t="s">
        <v>70</v>
      </c>
      <c r="DG75" s="91" t="str">
        <f t="shared" si="71"/>
        <v>--</v>
      </c>
      <c r="DH75" s="89">
        <f>IF(Table645[[#This Row],[Column111]]="--",0,Table645[[#This Row],[Column4]]*Table645[[#This Row],[Column111]])</f>
        <v>0</v>
      </c>
      <c r="DI75" s="96"/>
      <c r="DJ75" s="96"/>
      <c r="DK75" s="96"/>
      <c r="DL75" s="96"/>
      <c r="DM75" s="96"/>
      <c r="DN75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75" s="89">
        <f>IF(Table645[[#This Row],[Column118]]="--",0,Table645[[#This Row],[Column4]]*Table645[[#This Row],[Column118]])</f>
        <v>0</v>
      </c>
      <c r="DP75" s="96"/>
      <c r="DQ75" s="96"/>
      <c r="DR75" s="91" t="str">
        <f t="shared" si="72"/>
        <v>--</v>
      </c>
      <c r="DS75" s="89">
        <f>IF(Table645[[#This Row],[Column122]]="--",0,Table645[[#This Row],[Column4]]*Table645[[#This Row],[Column122]])</f>
        <v>0</v>
      </c>
      <c r="DT75" t="str">
        <f>IF(Table645[[#This Row],[Column125]]=0,"--",Table645[[#This Row],[Column125]]*Table645[[#This Row],[Column126]]*Table645[[#This Row],[Column127]]/1000000000)</f>
        <v>--</v>
      </c>
      <c r="DU75" s="53"/>
      <c r="DV75" s="53"/>
      <c r="DW75" s="53"/>
      <c r="DX75" s="91" t="str">
        <f t="shared" si="73"/>
        <v>--</v>
      </c>
      <c r="DY75" s="89">
        <f>IF(Table645[[#This Row],[Column128]]="--",0,Table645[[#This Row],[Column4]]*Table645[[#This Row],[Column128]])</f>
        <v>0</v>
      </c>
      <c r="EA75" s="89">
        <f>IF(Table645[[#This Row],[Column128]]="--",0,Table645[[#This Row],[Column4]]*Table645[[#This Row],[Column128]])</f>
        <v>0</v>
      </c>
      <c r="EC75" s="89">
        <f>IF(Table645[[#This Row],[Column128]]="--",0,Table645[[#This Row],[Column4]]*Table645[[#This Row],[Column128]])</f>
        <v>0</v>
      </c>
      <c r="EE75" s="89">
        <f>IF(Table645[[#This Row],[Column128]]="--",0,Table645[[#This Row],[Column4]]*Table645[[#This Row],[Column128]])</f>
        <v>0</v>
      </c>
      <c r="EG75" s="89">
        <f>IF(Table645[[#This Row],[Column128]]="--",0,Table645[[#This Row],[Column4]]*Table645[[#This Row],[Column128]])</f>
        <v>0</v>
      </c>
      <c r="EI75" s="89">
        <f>IF(Table645[[#This Row],[Column128]]="--",0,Table645[[#This Row],[Column4]]*Table645[[#This Row],[Column128]])</f>
        <v>0</v>
      </c>
    </row>
    <row r="76" spans="1:139" x14ac:dyDescent="0.25">
      <c r="A76" s="140"/>
      <c r="B76" s="79"/>
      <c r="C76" s="140"/>
      <c r="D76" s="167"/>
      <c r="E76" s="52"/>
      <c r="F76" s="81"/>
      <c r="G76" s="81"/>
      <c r="H76" s="102" t="str">
        <f t="shared" si="64"/>
        <v>--</v>
      </c>
      <c r="I76" s="100">
        <f>IF(Table645[[#This Row],[Column8]]="--",0,Table645[[#This Row],[Column4]]*Table645[[#This Row],[Column8]])</f>
        <v>0</v>
      </c>
      <c r="J76" s="169"/>
      <c r="K76" s="85">
        <f>Table645[[#This Row],[Column4]]*Table645[[#This Row],[Column10]]</f>
        <v>0</v>
      </c>
      <c r="L76" s="170" t="str">
        <f t="shared" si="65"/>
        <v>--</v>
      </c>
      <c r="M76" s="214">
        <f>IF(Table645[[#This Row],[Column10]]=0,0,Table645[[#This Row],[Column4]]*Table645[[#This Row],[Column12]])</f>
        <v>0</v>
      </c>
      <c r="N76" s="87" t="str">
        <f t="shared" si="66"/>
        <v>--</v>
      </c>
      <c r="O76" s="138"/>
      <c r="AZ76" s="89">
        <f>IF(Table645[[#This Row],[Column14]]="--",0,Table645[[#This Row],[Column4]]*Table645[[#This Row],[Column14]])</f>
        <v>0</v>
      </c>
      <c r="BA76" s="90"/>
      <c r="BB76" s="91" t="str">
        <f>IF(BA76=0,"--",BA76*$BA$3*IF(Table645[[#This Row],[Column5]]&lt;4.1,1,2)/60/24)</f>
        <v>--</v>
      </c>
      <c r="BC76" s="92">
        <f>IF(Table645[[#This Row],[Column54]]="--",0,Table645[[#This Row],[Column4]]*Table645[[#This Row],[Column54]])</f>
        <v>0</v>
      </c>
      <c r="BD76" s="119"/>
      <c r="BE76" s="119"/>
      <c r="BF76" s="119"/>
      <c r="BG76" s="91" t="str">
        <f>IF(BD76+Table645[[#This Row],[Column58]]=0,"--",(BD76*$BF$3*Table645[[#This Row],[Column57]]+Table645[[#This Row],[Column58]]*$BF$4)/60/24)</f>
        <v>--</v>
      </c>
      <c r="BH76" s="92">
        <f>IF(Table645[[#This Row],[Column59]]="--",0,Table645[[#This Row],[Column4]]*Table645[[#This Row],[Column59]])</f>
        <v>0</v>
      </c>
      <c r="BI76" s="119"/>
      <c r="BJ76" s="91" t="str">
        <f t="shared" si="15"/>
        <v>--</v>
      </c>
      <c r="BK76" s="92">
        <f>IF(Table645[[#This Row],[Column62]]="--",0,Table645[[#This Row],[Column4]]*Table645[[#This Row],[Column62]])</f>
        <v>0</v>
      </c>
      <c r="BL76" s="93"/>
      <c r="BM76" s="91" t="str">
        <f t="shared" si="67"/>
        <v>--</v>
      </c>
      <c r="BN76" s="89">
        <f>IF(Table645[[#This Row],[Column65]]="--",0,Table645[[#This Row],[Column4]]*Table645[[#This Row],[Column65]])</f>
        <v>0</v>
      </c>
      <c r="BO76" s="163"/>
      <c r="BP76" s="164" t="str">
        <f t="shared" si="68"/>
        <v>--</v>
      </c>
      <c r="BQ76" s="160">
        <f>IF(Table645[[#This Row],[Column68]]="--",0,Table645[[#This Row],[Column4]]*Table645[[#This Row],[Column68]])</f>
        <v>0</v>
      </c>
      <c r="BR76" s="94"/>
      <c r="BS76" s="91" t="str">
        <f t="shared" si="69"/>
        <v>--</v>
      </c>
      <c r="BT76" s="92">
        <f>IF(Table645[[#This Row],[Column71]]="--",0,Table645[[#This Row],[Column4]]*Table645[[#This Row],[Column71]])</f>
        <v>0</v>
      </c>
      <c r="BU76" s="44"/>
      <c r="BV76" s="90"/>
      <c r="BW76" s="91" t="str">
        <f>IF(BV76=0,"--",(Table645[[#This Row],[Column73]]*$BV$4*(IF(J76&lt;0.5001,1,IF(J76&lt;2.0001,2,3)))+BV76/$BV$3)/60/24)</f>
        <v>--</v>
      </c>
      <c r="BX76" s="92">
        <f>IF(Table645[[#This Row],[Column75]]="--",0,Table645[[#This Row],[Column4]]*Table645[[#This Row],[Column75]])</f>
        <v>0</v>
      </c>
      <c r="BY76" s="95" t="s">
        <v>70</v>
      </c>
      <c r="BZ76" s="91" t="str">
        <f>IF(Table645[[#This Row],[Column74]]=0,"--",BW76*$BY$3)</f>
        <v>--</v>
      </c>
      <c r="CA76" s="89">
        <f>IF(Table645[[#This Row],[Column78]]="--",0,Table645[[#This Row],[Column4]]*Table645[[#This Row],[Column78]])</f>
        <v>0</v>
      </c>
      <c r="CB76" s="95" t="s">
        <v>70</v>
      </c>
      <c r="CC76" s="91" t="str">
        <f>IF(Table645[[#This Row],[Column10]]+Table645[[#This Row],[Column74]]=0,"--",J76*$CB$4*$CB$5/(24*60)+IF(Table645[[#This Row],[Column74]]=0,0,$CB$3*Table645[[#This Row],[Column75]]))</f>
        <v>--</v>
      </c>
      <c r="CD76" s="92">
        <f>IF(Table645[[#This Row],[Column81]]="--",0,Table645[[#This Row],[Column4]]*Table645[[#This Row],[Column81]])</f>
        <v>0</v>
      </c>
      <c r="CE76" s="215"/>
      <c r="CF76" s="91" t="str">
        <f t="shared" si="19"/>
        <v>--</v>
      </c>
      <c r="CG76" s="92">
        <f>IF(Table645[[#This Row],[Column84]]="--",0,Table645[[#This Row],[Column4]]*Table645[[#This Row],[Column84]])</f>
        <v>0</v>
      </c>
      <c r="CH76" s="226"/>
      <c r="CI76" s="216"/>
      <c r="CJ76" s="91" t="str">
        <f>IF(CI76=0,"--",(Table645[[#This Row],[Column86]]*$CI$4*(IF(W76&lt;0.5001,1,IF(W76&lt;2.0001,2,3)))+CI76/$CI$3)/60/24)</f>
        <v>--</v>
      </c>
      <c r="CK76" s="92">
        <f>IF(Table645[[#This Row],[Column88]]="--",0,Table645[[#This Row],[Column4]]*Table645[[#This Row],[Column88]])</f>
        <v>0</v>
      </c>
      <c r="CL76" s="217"/>
      <c r="CM76" s="91" t="str">
        <f>IF(Table645[[#This Row],[Column87]]=0,"--",CJ76*$CL$3)</f>
        <v>--</v>
      </c>
      <c r="CN76" s="92">
        <f>IF(Table645[[#This Row],[Column91]]="--",0,Table645[[#This Row],[Column4]]*Table645[[#This Row],[Column91]])</f>
        <v>0</v>
      </c>
      <c r="CO76" s="217"/>
      <c r="CP76" s="91" t="str">
        <f>IF(Table645[[#This Row],[Column10]]+Table645[[#This Row],[Column87]]=0, "--", IF($D76="", 1, $D76) * IF($J76="", 1, $J76) * $CO$3 * $CO$4 * IF(Table645[[#This Row],[Column95]]="", 1, Table645[[#This Row],[Column95]]) / (24 * 60))</f>
        <v>--</v>
      </c>
      <c r="CQ76" s="164"/>
      <c r="CR76" s="92">
        <f>IF(Table645[[#This Row],[Column94]]="--",0,Table645[[#This Row],[Column4]]*Table645[[#This Row],[Column94]])</f>
        <v>0</v>
      </c>
      <c r="CS76" s="218" t="str">
        <f>IF(Table645[[#This Row],[Column87]]="","",Table645[[#This Row],[Column87]])</f>
        <v/>
      </c>
      <c r="CT76" s="91" t="str">
        <f>IF(Table645[[#This Row],[Column97]]="","--",Table645[[#This Row],[Column97]]/$CS$3/60/24)</f>
        <v>--</v>
      </c>
      <c r="CU76" s="92">
        <f>IF(Table645[[#This Row],[Column98]]="--",0,Table645[[#This Row],[Column4]]*Table645[[#This Row],[Column98]])</f>
        <v>0</v>
      </c>
      <c r="CV76" s="93"/>
      <c r="CW76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76" s="91" t="str">
        <f>IF(OR(Table645[[#This Row],[Column74]]&gt;0,Table645[[#This Row],[Column87]]&gt;0),(Table645[[#This Row],[Column73]]+Table645[[#This Row],[Column86]]+1)*$CW$3/60/24,"--")</f>
        <v>--</v>
      </c>
      <c r="CY76" s="92">
        <f>IF(Table645[[#This Row],[Column102]]="--",0,Table645[[#This Row],[Column4]]*Table645[[#This Row],[Column102]])</f>
        <v>0</v>
      </c>
      <c r="CZ76" s="158" t="str">
        <f t="shared" si="70"/>
        <v>--</v>
      </c>
      <c r="DA76" s="153"/>
      <c r="DB76" s="160">
        <f>IF(Table645[[#This Row],[Column104]]="--",0,Table645[[#This Row],[Column4]]*Table645[[#This Row],[Column104]])</f>
        <v>0</v>
      </c>
      <c r="DC76" s="219"/>
      <c r="DD76" s="220" t="str">
        <f>IF(DC76=0,"--",1/$DC$3*1000/(60*60*24)*Table645[[#This Row],[Column107]])</f>
        <v>--</v>
      </c>
      <c r="DE76" s="160">
        <f>IF(Table645[[#This Row],[Column108]]="--",0,Table645[[#This Row],[Column4]]*Table645[[#This Row],[Column108]])</f>
        <v>0</v>
      </c>
      <c r="DF76" s="101" t="s">
        <v>70</v>
      </c>
      <c r="DG76" s="91" t="str">
        <f t="shared" si="71"/>
        <v>--</v>
      </c>
      <c r="DH76" s="89">
        <f>IF(Table645[[#This Row],[Column111]]="--",0,Table645[[#This Row],[Column4]]*Table645[[#This Row],[Column111]])</f>
        <v>0</v>
      </c>
      <c r="DI76" s="96"/>
      <c r="DJ76" s="96"/>
      <c r="DK76" s="96"/>
      <c r="DL76" s="96"/>
      <c r="DM76" s="96"/>
      <c r="DN76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76" s="89">
        <f>IF(Table645[[#This Row],[Column118]]="--",0,Table645[[#This Row],[Column4]]*Table645[[#This Row],[Column118]])</f>
        <v>0</v>
      </c>
      <c r="DP76" s="96"/>
      <c r="DQ76" s="96"/>
      <c r="DR76" s="91" t="str">
        <f t="shared" si="72"/>
        <v>--</v>
      </c>
      <c r="DS76" s="89">
        <f>IF(Table645[[#This Row],[Column122]]="--",0,Table645[[#This Row],[Column4]]*Table645[[#This Row],[Column122]])</f>
        <v>0</v>
      </c>
      <c r="DT76" t="str">
        <f>IF(Table645[[#This Row],[Column125]]=0,"--",Table645[[#This Row],[Column125]]*Table645[[#This Row],[Column126]]*Table645[[#This Row],[Column127]]/1000000000)</f>
        <v>--</v>
      </c>
      <c r="DU76" s="53"/>
      <c r="DV76" s="53"/>
      <c r="DW76" s="53"/>
      <c r="DX76" s="91" t="str">
        <f t="shared" si="73"/>
        <v>--</v>
      </c>
      <c r="DY76" s="89">
        <f>IF(Table645[[#This Row],[Column128]]="--",0,Table645[[#This Row],[Column4]]*Table645[[#This Row],[Column128]])</f>
        <v>0</v>
      </c>
      <c r="EA76" s="89">
        <f>IF(Table645[[#This Row],[Column128]]="--",0,Table645[[#This Row],[Column4]]*Table645[[#This Row],[Column128]])</f>
        <v>0</v>
      </c>
      <c r="EC76" s="89">
        <f>IF(Table645[[#This Row],[Column128]]="--",0,Table645[[#This Row],[Column4]]*Table645[[#This Row],[Column128]])</f>
        <v>0</v>
      </c>
      <c r="EE76" s="89">
        <f>IF(Table645[[#This Row],[Column128]]="--",0,Table645[[#This Row],[Column4]]*Table645[[#This Row],[Column128]])</f>
        <v>0</v>
      </c>
      <c r="EG76" s="89">
        <f>IF(Table645[[#This Row],[Column128]]="--",0,Table645[[#This Row],[Column4]]*Table645[[#This Row],[Column128]])</f>
        <v>0</v>
      </c>
      <c r="EI76" s="89">
        <f>IF(Table645[[#This Row],[Column128]]="--",0,Table645[[#This Row],[Column4]]*Table645[[#This Row],[Column128]])</f>
        <v>0</v>
      </c>
    </row>
    <row r="77" spans="1:139" x14ac:dyDescent="0.25">
      <c r="A77" s="140"/>
      <c r="B77" s="79"/>
      <c r="C77" s="140"/>
      <c r="D77" s="167"/>
      <c r="E77" s="52"/>
      <c r="F77" s="81"/>
      <c r="G77" s="81"/>
      <c r="H77" s="102" t="str">
        <f t="shared" si="64"/>
        <v>--</v>
      </c>
      <c r="I77" s="100">
        <f>IF(Table645[[#This Row],[Column8]]="--",0,Table645[[#This Row],[Column4]]*Table645[[#This Row],[Column8]])</f>
        <v>0</v>
      </c>
      <c r="J77" s="169"/>
      <c r="K77" s="85">
        <f>Table645[[#This Row],[Column4]]*Table645[[#This Row],[Column10]]</f>
        <v>0</v>
      </c>
      <c r="L77" s="170" t="str">
        <f t="shared" si="65"/>
        <v>--</v>
      </c>
      <c r="M77" s="214">
        <f>IF(Table645[[#This Row],[Column10]]=0,0,Table645[[#This Row],[Column4]]*Table645[[#This Row],[Column12]])</f>
        <v>0</v>
      </c>
      <c r="N77" s="87" t="str">
        <f t="shared" si="66"/>
        <v>--</v>
      </c>
      <c r="O77" s="138"/>
      <c r="AZ77" s="89">
        <f>IF(Table645[[#This Row],[Column14]]="--",0,Table645[[#This Row],[Column4]]*Table645[[#This Row],[Column14]])</f>
        <v>0</v>
      </c>
      <c r="BA77" s="90"/>
      <c r="BB77" s="91" t="str">
        <f>IF(BA77=0,"--",BA77*$BA$3*IF(Table645[[#This Row],[Column5]]&lt;4.1,1,2)/60/24)</f>
        <v>--</v>
      </c>
      <c r="BC77" s="92">
        <f>IF(Table645[[#This Row],[Column54]]="--",0,Table645[[#This Row],[Column4]]*Table645[[#This Row],[Column54]])</f>
        <v>0</v>
      </c>
      <c r="BD77" s="119"/>
      <c r="BE77" s="119"/>
      <c r="BF77" s="119"/>
      <c r="BG77" s="91" t="str">
        <f>IF(BD77+Table645[[#This Row],[Column58]]=0,"--",(BD77*$BF$3*Table645[[#This Row],[Column57]]+Table645[[#This Row],[Column58]]*$BF$4)/60/24)</f>
        <v>--</v>
      </c>
      <c r="BH77" s="92">
        <f>IF(Table645[[#This Row],[Column59]]="--",0,Table645[[#This Row],[Column4]]*Table645[[#This Row],[Column59]])</f>
        <v>0</v>
      </c>
      <c r="BI77" s="119"/>
      <c r="BJ77" s="91" t="str">
        <f t="shared" si="15"/>
        <v>--</v>
      </c>
      <c r="BK77" s="92">
        <f>IF(Table645[[#This Row],[Column62]]="--",0,Table645[[#This Row],[Column4]]*Table645[[#This Row],[Column62]])</f>
        <v>0</v>
      </c>
      <c r="BL77" s="93"/>
      <c r="BM77" s="91" t="str">
        <f t="shared" si="67"/>
        <v>--</v>
      </c>
      <c r="BN77" s="89">
        <f>IF(Table645[[#This Row],[Column65]]="--",0,Table645[[#This Row],[Column4]]*Table645[[#This Row],[Column65]])</f>
        <v>0</v>
      </c>
      <c r="BO77" s="163"/>
      <c r="BP77" s="164" t="str">
        <f t="shared" si="68"/>
        <v>--</v>
      </c>
      <c r="BQ77" s="160">
        <f>IF(Table645[[#This Row],[Column68]]="--",0,Table645[[#This Row],[Column4]]*Table645[[#This Row],[Column68]])</f>
        <v>0</v>
      </c>
      <c r="BR77" s="94"/>
      <c r="BS77" s="91" t="str">
        <f t="shared" si="69"/>
        <v>--</v>
      </c>
      <c r="BT77" s="92">
        <f>IF(Table645[[#This Row],[Column71]]="--",0,Table645[[#This Row],[Column4]]*Table645[[#This Row],[Column71]])</f>
        <v>0</v>
      </c>
      <c r="BU77" s="44"/>
      <c r="BV77" s="90"/>
      <c r="BW77" s="91" t="str">
        <f>IF(BV77=0,"--",(Table645[[#This Row],[Column73]]*$BV$4*(IF(J77&lt;0.5001,1,IF(J77&lt;2.0001,2,3)))+BV77/$BV$3)/60/24)</f>
        <v>--</v>
      </c>
      <c r="BX77" s="92">
        <f>IF(Table645[[#This Row],[Column75]]="--",0,Table645[[#This Row],[Column4]]*Table645[[#This Row],[Column75]])</f>
        <v>0</v>
      </c>
      <c r="BY77" s="95" t="s">
        <v>70</v>
      </c>
      <c r="BZ77" s="91" t="str">
        <f>IF(Table645[[#This Row],[Column74]]=0,"--",BW77*$BY$3)</f>
        <v>--</v>
      </c>
      <c r="CA77" s="89">
        <f>IF(Table645[[#This Row],[Column78]]="--",0,Table645[[#This Row],[Column4]]*Table645[[#This Row],[Column78]])</f>
        <v>0</v>
      </c>
      <c r="CB77" s="95" t="s">
        <v>70</v>
      </c>
      <c r="CC77" s="91" t="str">
        <f>IF(Table645[[#This Row],[Column10]]+Table645[[#This Row],[Column74]]=0,"--",J77*$CB$4*$CB$5/(24*60)+IF(Table645[[#This Row],[Column74]]=0,0,$CB$3*Table645[[#This Row],[Column75]]))</f>
        <v>--</v>
      </c>
      <c r="CD77" s="92">
        <f>IF(Table645[[#This Row],[Column81]]="--",0,Table645[[#This Row],[Column4]]*Table645[[#This Row],[Column81]])</f>
        <v>0</v>
      </c>
      <c r="CE77" s="215"/>
      <c r="CF77" s="91" t="str">
        <f t="shared" si="19"/>
        <v>--</v>
      </c>
      <c r="CG77" s="92">
        <f>IF(Table645[[#This Row],[Column84]]="--",0,Table645[[#This Row],[Column4]]*Table645[[#This Row],[Column84]])</f>
        <v>0</v>
      </c>
      <c r="CH77" s="226"/>
      <c r="CI77" s="216"/>
      <c r="CJ77" s="91" t="str">
        <f>IF(CI77=0,"--",(Table645[[#This Row],[Column86]]*$CI$4*(IF(W77&lt;0.5001,1,IF(W77&lt;2.0001,2,3)))+CI77/$CI$3)/60/24)</f>
        <v>--</v>
      </c>
      <c r="CK77" s="92">
        <f>IF(Table645[[#This Row],[Column88]]="--",0,Table645[[#This Row],[Column4]]*Table645[[#This Row],[Column88]])</f>
        <v>0</v>
      </c>
      <c r="CL77" s="217"/>
      <c r="CM77" s="91" t="str">
        <f>IF(Table645[[#This Row],[Column87]]=0,"--",CJ77*$CL$3)</f>
        <v>--</v>
      </c>
      <c r="CN77" s="92">
        <f>IF(Table645[[#This Row],[Column91]]="--",0,Table645[[#This Row],[Column4]]*Table645[[#This Row],[Column91]])</f>
        <v>0</v>
      </c>
      <c r="CO77" s="217"/>
      <c r="CP77" s="91" t="str">
        <f>IF(Table645[[#This Row],[Column10]]+Table645[[#This Row],[Column87]]=0, "--", IF($D77="", 1, $D77) * IF($J77="", 1, $J77) * $CO$3 * $CO$4 * IF(Table645[[#This Row],[Column95]]="", 1, Table645[[#This Row],[Column95]]) / (24 * 60))</f>
        <v>--</v>
      </c>
      <c r="CQ77" s="164"/>
      <c r="CR77" s="92">
        <f>IF(Table645[[#This Row],[Column94]]="--",0,Table645[[#This Row],[Column4]]*Table645[[#This Row],[Column94]])</f>
        <v>0</v>
      </c>
      <c r="CS77" s="218" t="str">
        <f>IF(Table645[[#This Row],[Column87]]="","",Table645[[#This Row],[Column87]])</f>
        <v/>
      </c>
      <c r="CT77" s="91" t="str">
        <f>IF(Table645[[#This Row],[Column97]]="","--",Table645[[#This Row],[Column97]]/$CS$3/60/24)</f>
        <v>--</v>
      </c>
      <c r="CU77" s="92">
        <f>IF(Table645[[#This Row],[Column98]]="--",0,Table645[[#This Row],[Column4]]*Table645[[#This Row],[Column98]])</f>
        <v>0</v>
      </c>
      <c r="CV77" s="93"/>
      <c r="CW77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77" s="91" t="str">
        <f>IF(OR(Table645[[#This Row],[Column74]]&gt;0,Table645[[#This Row],[Column87]]&gt;0),(Table645[[#This Row],[Column73]]+Table645[[#This Row],[Column86]]+1)*$CW$3/60/24,"--")</f>
        <v>--</v>
      </c>
      <c r="CY77" s="92">
        <f>IF(Table645[[#This Row],[Column102]]="--",0,Table645[[#This Row],[Column4]]*Table645[[#This Row],[Column102]])</f>
        <v>0</v>
      </c>
      <c r="CZ77" s="158" t="str">
        <f t="shared" si="70"/>
        <v>--</v>
      </c>
      <c r="DA77" s="153"/>
      <c r="DB77" s="160">
        <f>IF(Table645[[#This Row],[Column104]]="--",0,Table645[[#This Row],[Column4]]*Table645[[#This Row],[Column104]])</f>
        <v>0</v>
      </c>
      <c r="DC77" s="219"/>
      <c r="DD77" s="220" t="str">
        <f>IF(DC77=0,"--",1/$DC$3*1000/(60*60*24)*Table645[[#This Row],[Column107]])</f>
        <v>--</v>
      </c>
      <c r="DE77" s="160">
        <f>IF(Table645[[#This Row],[Column108]]="--",0,Table645[[#This Row],[Column4]]*Table645[[#This Row],[Column108]])</f>
        <v>0</v>
      </c>
      <c r="DF77" s="101" t="s">
        <v>70</v>
      </c>
      <c r="DG77" s="91" t="str">
        <f t="shared" si="71"/>
        <v>--</v>
      </c>
      <c r="DH77" s="89">
        <f>IF(Table645[[#This Row],[Column111]]="--",0,Table645[[#This Row],[Column4]]*Table645[[#This Row],[Column111]])</f>
        <v>0</v>
      </c>
      <c r="DI77" s="96"/>
      <c r="DJ77" s="96"/>
      <c r="DK77" s="96"/>
      <c r="DL77" s="96"/>
      <c r="DM77" s="96"/>
      <c r="DN77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77" s="89">
        <f>IF(Table645[[#This Row],[Column118]]="--",0,Table645[[#This Row],[Column4]]*Table645[[#This Row],[Column118]])</f>
        <v>0</v>
      </c>
      <c r="DP77" s="96"/>
      <c r="DQ77" s="96"/>
      <c r="DR77" s="91" t="str">
        <f t="shared" si="72"/>
        <v>--</v>
      </c>
      <c r="DS77" s="89">
        <f>IF(Table645[[#This Row],[Column122]]="--",0,Table645[[#This Row],[Column4]]*Table645[[#This Row],[Column122]])</f>
        <v>0</v>
      </c>
      <c r="DT77" t="str">
        <f>IF(Table645[[#This Row],[Column125]]=0,"--",Table645[[#This Row],[Column125]]*Table645[[#This Row],[Column126]]*Table645[[#This Row],[Column127]]/1000000000)</f>
        <v>--</v>
      </c>
      <c r="DU77" s="53"/>
      <c r="DV77" s="53"/>
      <c r="DW77" s="53"/>
      <c r="DX77" s="91" t="str">
        <f t="shared" si="73"/>
        <v>--</v>
      </c>
      <c r="DY77" s="89">
        <f>IF(Table645[[#This Row],[Column128]]="--",0,Table645[[#This Row],[Column4]]*Table645[[#This Row],[Column128]])</f>
        <v>0</v>
      </c>
      <c r="EA77" s="89">
        <f>IF(Table645[[#This Row],[Column128]]="--",0,Table645[[#This Row],[Column4]]*Table645[[#This Row],[Column128]])</f>
        <v>0</v>
      </c>
      <c r="EC77" s="89">
        <f>IF(Table645[[#This Row],[Column128]]="--",0,Table645[[#This Row],[Column4]]*Table645[[#This Row],[Column128]])</f>
        <v>0</v>
      </c>
      <c r="EE77" s="89">
        <f>IF(Table645[[#This Row],[Column128]]="--",0,Table645[[#This Row],[Column4]]*Table645[[#This Row],[Column128]])</f>
        <v>0</v>
      </c>
      <c r="EG77" s="89">
        <f>IF(Table645[[#This Row],[Column128]]="--",0,Table645[[#This Row],[Column4]]*Table645[[#This Row],[Column128]])</f>
        <v>0</v>
      </c>
      <c r="EI77" s="89">
        <f>IF(Table645[[#This Row],[Column128]]="--",0,Table645[[#This Row],[Column4]]*Table645[[#This Row],[Column128]])</f>
        <v>0</v>
      </c>
    </row>
    <row r="78" spans="1:139" x14ac:dyDescent="0.25">
      <c r="A78" s="140"/>
      <c r="B78" s="79"/>
      <c r="C78" s="140"/>
      <c r="D78" s="167"/>
      <c r="E78" s="52"/>
      <c r="F78" s="81"/>
      <c r="G78" s="81"/>
      <c r="H78" s="102" t="str">
        <f t="shared" si="64"/>
        <v>--</v>
      </c>
      <c r="I78" s="100">
        <f>IF(Table645[[#This Row],[Column8]]="--",0,Table645[[#This Row],[Column4]]*Table645[[#This Row],[Column8]])</f>
        <v>0</v>
      </c>
      <c r="J78" s="169"/>
      <c r="K78" s="85">
        <f>Table645[[#This Row],[Column4]]*Table645[[#This Row],[Column10]]</f>
        <v>0</v>
      </c>
      <c r="L78" s="170" t="str">
        <f t="shared" si="65"/>
        <v>--</v>
      </c>
      <c r="M78" s="214">
        <f>IF(Table645[[#This Row],[Column10]]=0,0,Table645[[#This Row],[Column4]]*Table645[[#This Row],[Column12]])</f>
        <v>0</v>
      </c>
      <c r="N78" s="87" t="str">
        <f t="shared" si="66"/>
        <v>--</v>
      </c>
      <c r="O78" s="138"/>
      <c r="AZ78" s="89">
        <f>IF(Table645[[#This Row],[Column14]]="--",0,Table645[[#This Row],[Column4]]*Table645[[#This Row],[Column14]])</f>
        <v>0</v>
      </c>
      <c r="BA78" s="90"/>
      <c r="BB78" s="91" t="str">
        <f>IF(BA78=0,"--",BA78*$BA$3*IF(Table645[[#This Row],[Column5]]&lt;4.1,1,2)/60/24)</f>
        <v>--</v>
      </c>
      <c r="BC78" s="92">
        <f>IF(Table645[[#This Row],[Column54]]="--",0,Table645[[#This Row],[Column4]]*Table645[[#This Row],[Column54]])</f>
        <v>0</v>
      </c>
      <c r="BD78" s="119"/>
      <c r="BE78" s="119"/>
      <c r="BF78" s="119"/>
      <c r="BG78" s="91" t="str">
        <f>IF(BD78+Table645[[#This Row],[Column58]]=0,"--",(BD78*$BF$3*Table645[[#This Row],[Column57]]+Table645[[#This Row],[Column58]]*$BF$4)/60/24)</f>
        <v>--</v>
      </c>
      <c r="BH78" s="92">
        <f>IF(Table645[[#This Row],[Column59]]="--",0,Table645[[#This Row],[Column4]]*Table645[[#This Row],[Column59]])</f>
        <v>0</v>
      </c>
      <c r="BI78" s="119"/>
      <c r="BJ78" s="91" t="str">
        <f t="shared" si="15"/>
        <v>--</v>
      </c>
      <c r="BK78" s="92">
        <f>IF(Table645[[#This Row],[Column62]]="--",0,Table645[[#This Row],[Column4]]*Table645[[#This Row],[Column62]])</f>
        <v>0</v>
      </c>
      <c r="BL78" s="93"/>
      <c r="BM78" s="91" t="str">
        <f t="shared" si="67"/>
        <v>--</v>
      </c>
      <c r="BN78" s="89">
        <f>IF(Table645[[#This Row],[Column65]]="--",0,Table645[[#This Row],[Column4]]*Table645[[#This Row],[Column65]])</f>
        <v>0</v>
      </c>
      <c r="BO78" s="163"/>
      <c r="BP78" s="164" t="str">
        <f t="shared" si="68"/>
        <v>--</v>
      </c>
      <c r="BQ78" s="160">
        <f>IF(Table645[[#This Row],[Column68]]="--",0,Table645[[#This Row],[Column4]]*Table645[[#This Row],[Column68]])</f>
        <v>0</v>
      </c>
      <c r="BR78" s="94"/>
      <c r="BS78" s="91" t="str">
        <f t="shared" si="69"/>
        <v>--</v>
      </c>
      <c r="BT78" s="92">
        <f>IF(Table645[[#This Row],[Column71]]="--",0,Table645[[#This Row],[Column4]]*Table645[[#This Row],[Column71]])</f>
        <v>0</v>
      </c>
      <c r="BU78" s="44"/>
      <c r="BV78" s="90"/>
      <c r="BW78" s="91" t="str">
        <f>IF(BV78=0,"--",(Table645[[#This Row],[Column73]]*$BV$4*(IF(J78&lt;0.5001,1,IF(J78&lt;2.0001,2,3)))+BV78/$BV$3)/60/24)</f>
        <v>--</v>
      </c>
      <c r="BX78" s="92">
        <f>IF(Table645[[#This Row],[Column75]]="--",0,Table645[[#This Row],[Column4]]*Table645[[#This Row],[Column75]])</f>
        <v>0</v>
      </c>
      <c r="BY78" s="95" t="s">
        <v>70</v>
      </c>
      <c r="BZ78" s="91" t="str">
        <f>IF(Table645[[#This Row],[Column74]]=0,"--",BW78*$BY$3)</f>
        <v>--</v>
      </c>
      <c r="CA78" s="89">
        <f>IF(Table645[[#This Row],[Column78]]="--",0,Table645[[#This Row],[Column4]]*Table645[[#This Row],[Column78]])</f>
        <v>0</v>
      </c>
      <c r="CB78" s="95" t="s">
        <v>70</v>
      </c>
      <c r="CC78" s="91" t="str">
        <f>IF(Table645[[#This Row],[Column10]]+Table645[[#This Row],[Column74]]=0,"--",J78*$CB$4*$CB$5/(24*60)+IF(Table645[[#This Row],[Column74]]=0,0,$CB$3*Table645[[#This Row],[Column75]]))</f>
        <v>--</v>
      </c>
      <c r="CD78" s="92">
        <f>IF(Table645[[#This Row],[Column81]]="--",0,Table645[[#This Row],[Column4]]*Table645[[#This Row],[Column81]])</f>
        <v>0</v>
      </c>
      <c r="CE78" s="215"/>
      <c r="CF78" s="91" t="str">
        <f t="shared" si="19"/>
        <v>--</v>
      </c>
      <c r="CG78" s="92">
        <f>IF(Table645[[#This Row],[Column84]]="--",0,Table645[[#This Row],[Column4]]*Table645[[#This Row],[Column84]])</f>
        <v>0</v>
      </c>
      <c r="CH78" s="226"/>
      <c r="CI78" s="216"/>
      <c r="CJ78" s="91" t="str">
        <f>IF(CI78=0,"--",(Table645[[#This Row],[Column86]]*$CI$4*(IF(W78&lt;0.5001,1,IF(W78&lt;2.0001,2,3)))+CI78/$CI$3)/60/24)</f>
        <v>--</v>
      </c>
      <c r="CK78" s="92">
        <f>IF(Table645[[#This Row],[Column88]]="--",0,Table645[[#This Row],[Column4]]*Table645[[#This Row],[Column88]])</f>
        <v>0</v>
      </c>
      <c r="CL78" s="217"/>
      <c r="CM78" s="91" t="str">
        <f>IF(Table645[[#This Row],[Column87]]=0,"--",CJ78*$CL$3)</f>
        <v>--</v>
      </c>
      <c r="CN78" s="92">
        <f>IF(Table645[[#This Row],[Column91]]="--",0,Table645[[#This Row],[Column4]]*Table645[[#This Row],[Column91]])</f>
        <v>0</v>
      </c>
      <c r="CO78" s="217"/>
      <c r="CP78" s="91" t="str">
        <f>IF(Table645[[#This Row],[Column10]]+Table645[[#This Row],[Column87]]=0, "--", IF($D78="", 1, $D78) * IF($J78="", 1, $J78) * $CO$3 * $CO$4 * IF(Table645[[#This Row],[Column95]]="", 1, Table645[[#This Row],[Column95]]) / (24 * 60))</f>
        <v>--</v>
      </c>
      <c r="CQ78" s="164"/>
      <c r="CR78" s="92">
        <f>IF(Table645[[#This Row],[Column94]]="--",0,Table645[[#This Row],[Column4]]*Table645[[#This Row],[Column94]])</f>
        <v>0</v>
      </c>
      <c r="CS78" s="218" t="str">
        <f>IF(Table645[[#This Row],[Column87]]="","",Table645[[#This Row],[Column87]])</f>
        <v/>
      </c>
      <c r="CT78" s="91" t="str">
        <f>IF(Table645[[#This Row],[Column97]]="","--",Table645[[#This Row],[Column97]]/$CS$3/60/24)</f>
        <v>--</v>
      </c>
      <c r="CU78" s="92">
        <f>IF(Table645[[#This Row],[Column98]]="--",0,Table645[[#This Row],[Column4]]*Table645[[#This Row],[Column98]])</f>
        <v>0</v>
      </c>
      <c r="CV78" s="93"/>
      <c r="CW78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78" s="91" t="str">
        <f>IF(OR(Table645[[#This Row],[Column74]]&gt;0,Table645[[#This Row],[Column87]]&gt;0),(Table645[[#This Row],[Column73]]+Table645[[#This Row],[Column86]]+1)*$CW$3/60/24,"--")</f>
        <v>--</v>
      </c>
      <c r="CY78" s="92">
        <f>IF(Table645[[#This Row],[Column102]]="--",0,Table645[[#This Row],[Column4]]*Table645[[#This Row],[Column102]])</f>
        <v>0</v>
      </c>
      <c r="CZ78" s="158" t="str">
        <f t="shared" si="70"/>
        <v>--</v>
      </c>
      <c r="DA78" s="153"/>
      <c r="DB78" s="160">
        <f>IF(Table645[[#This Row],[Column104]]="--",0,Table645[[#This Row],[Column4]]*Table645[[#This Row],[Column104]])</f>
        <v>0</v>
      </c>
      <c r="DC78" s="219"/>
      <c r="DD78" s="220" t="str">
        <f>IF(DC78=0,"--",1/$DC$3*1000/(60*60*24)*Table645[[#This Row],[Column107]])</f>
        <v>--</v>
      </c>
      <c r="DE78" s="160">
        <f>IF(Table645[[#This Row],[Column108]]="--",0,Table645[[#This Row],[Column4]]*Table645[[#This Row],[Column108]])</f>
        <v>0</v>
      </c>
      <c r="DF78" s="101" t="s">
        <v>70</v>
      </c>
      <c r="DG78" s="91" t="str">
        <f t="shared" si="71"/>
        <v>--</v>
      </c>
      <c r="DH78" s="89">
        <f>IF(Table645[[#This Row],[Column111]]="--",0,Table645[[#This Row],[Column4]]*Table645[[#This Row],[Column111]])</f>
        <v>0</v>
      </c>
      <c r="DI78" s="96"/>
      <c r="DJ78" s="96"/>
      <c r="DK78" s="96"/>
      <c r="DL78" s="96"/>
      <c r="DM78" s="96"/>
      <c r="DN78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78" s="89">
        <f>IF(Table645[[#This Row],[Column118]]="--",0,Table645[[#This Row],[Column4]]*Table645[[#This Row],[Column118]])</f>
        <v>0</v>
      </c>
      <c r="DP78" s="96"/>
      <c r="DQ78" s="96"/>
      <c r="DR78" s="91" t="str">
        <f t="shared" si="72"/>
        <v>--</v>
      </c>
      <c r="DS78" s="89">
        <f>IF(Table645[[#This Row],[Column122]]="--",0,Table645[[#This Row],[Column4]]*Table645[[#This Row],[Column122]])</f>
        <v>0</v>
      </c>
      <c r="DT78" t="str">
        <f>IF(Table645[[#This Row],[Column125]]=0,"--",Table645[[#This Row],[Column125]]*Table645[[#This Row],[Column126]]*Table645[[#This Row],[Column127]]/1000000000)</f>
        <v>--</v>
      </c>
      <c r="DU78" s="53"/>
      <c r="DV78" s="53"/>
      <c r="DW78" s="53"/>
      <c r="DX78" s="91" t="str">
        <f t="shared" si="73"/>
        <v>--</v>
      </c>
      <c r="DY78" s="89">
        <f>IF(Table645[[#This Row],[Column128]]="--",0,Table645[[#This Row],[Column4]]*Table645[[#This Row],[Column128]])</f>
        <v>0</v>
      </c>
      <c r="EA78" s="89">
        <f>IF(Table645[[#This Row],[Column128]]="--",0,Table645[[#This Row],[Column4]]*Table645[[#This Row],[Column128]])</f>
        <v>0</v>
      </c>
      <c r="EC78" s="89">
        <f>IF(Table645[[#This Row],[Column128]]="--",0,Table645[[#This Row],[Column4]]*Table645[[#This Row],[Column128]])</f>
        <v>0</v>
      </c>
      <c r="EE78" s="89">
        <f>IF(Table645[[#This Row],[Column128]]="--",0,Table645[[#This Row],[Column4]]*Table645[[#This Row],[Column128]])</f>
        <v>0</v>
      </c>
      <c r="EG78" s="89">
        <f>IF(Table645[[#This Row],[Column128]]="--",0,Table645[[#This Row],[Column4]]*Table645[[#This Row],[Column128]])</f>
        <v>0</v>
      </c>
      <c r="EI78" s="89">
        <f>IF(Table645[[#This Row],[Column128]]="--",0,Table645[[#This Row],[Column4]]*Table645[[#This Row],[Column128]])</f>
        <v>0</v>
      </c>
    </row>
    <row r="79" spans="1:139" x14ac:dyDescent="0.25">
      <c r="A79" s="140"/>
      <c r="B79" s="79"/>
      <c r="C79" s="140"/>
      <c r="D79" s="167"/>
      <c r="E79" s="52"/>
      <c r="F79" s="81"/>
      <c r="G79" s="81"/>
      <c r="H79" s="102" t="str">
        <f t="shared" si="64"/>
        <v>--</v>
      </c>
      <c r="I79" s="100">
        <f>IF(Table645[[#This Row],[Column8]]="--",0,Table645[[#This Row],[Column4]]*Table645[[#This Row],[Column8]])</f>
        <v>0</v>
      </c>
      <c r="J79" s="169"/>
      <c r="K79" s="85">
        <f>Table645[[#This Row],[Column4]]*Table645[[#This Row],[Column10]]</f>
        <v>0</v>
      </c>
      <c r="L79" s="170" t="str">
        <f t="shared" si="65"/>
        <v>--</v>
      </c>
      <c r="M79" s="214">
        <f>IF(Table645[[#This Row],[Column10]]=0,0,Table645[[#This Row],[Column4]]*Table645[[#This Row],[Column12]])</f>
        <v>0</v>
      </c>
      <c r="N79" s="87" t="str">
        <f t="shared" si="66"/>
        <v>--</v>
      </c>
      <c r="O79" s="138"/>
      <c r="AZ79" s="89">
        <f>IF(Table645[[#This Row],[Column14]]="--",0,Table645[[#This Row],[Column4]]*Table645[[#This Row],[Column14]])</f>
        <v>0</v>
      </c>
      <c r="BA79" s="90"/>
      <c r="BB79" s="91" t="str">
        <f>IF(BA79=0,"--",BA79*$BA$3*IF(Table645[[#This Row],[Column5]]&lt;4.1,1,2)/60/24)</f>
        <v>--</v>
      </c>
      <c r="BC79" s="92">
        <f>IF(Table645[[#This Row],[Column54]]="--",0,Table645[[#This Row],[Column4]]*Table645[[#This Row],[Column54]])</f>
        <v>0</v>
      </c>
      <c r="BD79" s="119"/>
      <c r="BE79" s="119"/>
      <c r="BF79" s="119"/>
      <c r="BG79" s="91" t="str">
        <f>IF(BD79+Table645[[#This Row],[Column58]]=0,"--",(BD79*$BF$3*Table645[[#This Row],[Column57]]+Table645[[#This Row],[Column58]]*$BF$4)/60/24)</f>
        <v>--</v>
      </c>
      <c r="BH79" s="92">
        <f>IF(Table645[[#This Row],[Column59]]="--",0,Table645[[#This Row],[Column4]]*Table645[[#This Row],[Column59]])</f>
        <v>0</v>
      </c>
      <c r="BI79" s="119"/>
      <c r="BJ79" s="91" t="str">
        <f t="shared" si="15"/>
        <v>--</v>
      </c>
      <c r="BK79" s="92">
        <f>IF(Table645[[#This Row],[Column62]]="--",0,Table645[[#This Row],[Column4]]*Table645[[#This Row],[Column62]])</f>
        <v>0</v>
      </c>
      <c r="BL79" s="93"/>
      <c r="BM79" s="91" t="str">
        <f t="shared" si="67"/>
        <v>--</v>
      </c>
      <c r="BN79" s="89">
        <f>IF(Table645[[#This Row],[Column65]]="--",0,Table645[[#This Row],[Column4]]*Table645[[#This Row],[Column65]])</f>
        <v>0</v>
      </c>
      <c r="BO79" s="163"/>
      <c r="BP79" s="164" t="str">
        <f t="shared" si="68"/>
        <v>--</v>
      </c>
      <c r="BQ79" s="160">
        <f>IF(Table645[[#This Row],[Column68]]="--",0,Table645[[#This Row],[Column4]]*Table645[[#This Row],[Column68]])</f>
        <v>0</v>
      </c>
      <c r="BR79" s="94"/>
      <c r="BS79" s="91" t="str">
        <f t="shared" si="69"/>
        <v>--</v>
      </c>
      <c r="BT79" s="92">
        <f>IF(Table645[[#This Row],[Column71]]="--",0,Table645[[#This Row],[Column4]]*Table645[[#This Row],[Column71]])</f>
        <v>0</v>
      </c>
      <c r="BU79" s="44"/>
      <c r="BV79" s="90"/>
      <c r="BW79" s="91" t="str">
        <f>IF(BV79=0,"--",(Table645[[#This Row],[Column73]]*$BV$4*(IF(J79&lt;0.5001,1,IF(J79&lt;2.0001,2,3)))+BV79/$BV$3)/60/24)</f>
        <v>--</v>
      </c>
      <c r="BX79" s="92">
        <f>IF(Table645[[#This Row],[Column75]]="--",0,Table645[[#This Row],[Column4]]*Table645[[#This Row],[Column75]])</f>
        <v>0</v>
      </c>
      <c r="BY79" s="95" t="s">
        <v>70</v>
      </c>
      <c r="BZ79" s="91" t="str">
        <f>IF(Table645[[#This Row],[Column74]]=0,"--",BW79*$BY$3)</f>
        <v>--</v>
      </c>
      <c r="CA79" s="89">
        <f>IF(Table645[[#This Row],[Column78]]="--",0,Table645[[#This Row],[Column4]]*Table645[[#This Row],[Column78]])</f>
        <v>0</v>
      </c>
      <c r="CB79" s="95" t="s">
        <v>70</v>
      </c>
      <c r="CC79" s="91" t="str">
        <f>IF(Table645[[#This Row],[Column10]]+Table645[[#This Row],[Column74]]=0,"--",J79*$CB$4*$CB$5/(24*60)+IF(Table645[[#This Row],[Column74]]=0,0,$CB$3*Table645[[#This Row],[Column75]]))</f>
        <v>--</v>
      </c>
      <c r="CD79" s="92">
        <f>IF(Table645[[#This Row],[Column81]]="--",0,Table645[[#This Row],[Column4]]*Table645[[#This Row],[Column81]])</f>
        <v>0</v>
      </c>
      <c r="CE79" s="215"/>
      <c r="CF79" s="91" t="str">
        <f t="shared" si="19"/>
        <v>--</v>
      </c>
      <c r="CG79" s="92">
        <f>IF(Table645[[#This Row],[Column84]]="--",0,Table645[[#This Row],[Column4]]*Table645[[#This Row],[Column84]])</f>
        <v>0</v>
      </c>
      <c r="CH79" s="226"/>
      <c r="CI79" s="216"/>
      <c r="CJ79" s="91" t="str">
        <f>IF(CI79=0,"--",(Table645[[#This Row],[Column86]]*$CI$4*(IF(W79&lt;0.5001,1,IF(W79&lt;2.0001,2,3)))+CI79/$CI$3)/60/24)</f>
        <v>--</v>
      </c>
      <c r="CK79" s="92">
        <f>IF(Table645[[#This Row],[Column88]]="--",0,Table645[[#This Row],[Column4]]*Table645[[#This Row],[Column88]])</f>
        <v>0</v>
      </c>
      <c r="CL79" s="217"/>
      <c r="CM79" s="91" t="str">
        <f>IF(Table645[[#This Row],[Column87]]=0,"--",CJ79*$CL$3)</f>
        <v>--</v>
      </c>
      <c r="CN79" s="92">
        <f>IF(Table645[[#This Row],[Column91]]="--",0,Table645[[#This Row],[Column4]]*Table645[[#This Row],[Column91]])</f>
        <v>0</v>
      </c>
      <c r="CO79" s="217"/>
      <c r="CP79" s="91" t="str">
        <f>IF(Table645[[#This Row],[Column10]]+Table645[[#This Row],[Column87]]=0, "--", IF($D79="", 1, $D79) * IF($J79="", 1, $J79) * $CO$3 * $CO$4 * IF(Table645[[#This Row],[Column95]]="", 1, Table645[[#This Row],[Column95]]) / (24 * 60))</f>
        <v>--</v>
      </c>
      <c r="CQ79" s="164"/>
      <c r="CR79" s="92">
        <f>IF(Table645[[#This Row],[Column94]]="--",0,Table645[[#This Row],[Column4]]*Table645[[#This Row],[Column94]])</f>
        <v>0</v>
      </c>
      <c r="CS79" s="218" t="str">
        <f>IF(Table645[[#This Row],[Column87]]="","",Table645[[#This Row],[Column87]])</f>
        <v/>
      </c>
      <c r="CT79" s="91" t="str">
        <f>IF(Table645[[#This Row],[Column97]]="","--",Table645[[#This Row],[Column97]]/$CS$3/60/24)</f>
        <v>--</v>
      </c>
      <c r="CU79" s="92">
        <f>IF(Table645[[#This Row],[Column98]]="--",0,Table645[[#This Row],[Column4]]*Table645[[#This Row],[Column98]])</f>
        <v>0</v>
      </c>
      <c r="CV79" s="93"/>
      <c r="CW79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79" s="91" t="str">
        <f>IF(OR(Table645[[#This Row],[Column74]]&gt;0,Table645[[#This Row],[Column87]]&gt;0),(Table645[[#This Row],[Column73]]+Table645[[#This Row],[Column86]]+1)*$CW$3/60/24,"--")</f>
        <v>--</v>
      </c>
      <c r="CY79" s="92">
        <f>IF(Table645[[#This Row],[Column102]]="--",0,Table645[[#This Row],[Column4]]*Table645[[#This Row],[Column102]])</f>
        <v>0</v>
      </c>
      <c r="CZ79" s="158" t="str">
        <f t="shared" si="70"/>
        <v>--</v>
      </c>
      <c r="DA79" s="153"/>
      <c r="DB79" s="160">
        <f>IF(Table645[[#This Row],[Column104]]="--",0,Table645[[#This Row],[Column4]]*Table645[[#This Row],[Column104]])</f>
        <v>0</v>
      </c>
      <c r="DC79" s="219"/>
      <c r="DD79" s="220" t="str">
        <f>IF(DC79=0,"--",1/$DC$3*1000/(60*60*24)*Table645[[#This Row],[Column107]])</f>
        <v>--</v>
      </c>
      <c r="DE79" s="160">
        <f>IF(Table645[[#This Row],[Column108]]="--",0,Table645[[#This Row],[Column4]]*Table645[[#This Row],[Column108]])</f>
        <v>0</v>
      </c>
      <c r="DF79" s="101" t="s">
        <v>70</v>
      </c>
      <c r="DG79" s="91" t="str">
        <f t="shared" si="71"/>
        <v>--</v>
      </c>
      <c r="DH79" s="89">
        <f>IF(Table645[[#This Row],[Column111]]="--",0,Table645[[#This Row],[Column4]]*Table645[[#This Row],[Column111]])</f>
        <v>0</v>
      </c>
      <c r="DI79" s="96"/>
      <c r="DJ79" s="96"/>
      <c r="DK79" s="96"/>
      <c r="DL79" s="96"/>
      <c r="DM79" s="96"/>
      <c r="DN79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79" s="89">
        <f>IF(Table645[[#This Row],[Column118]]="--",0,Table645[[#This Row],[Column4]]*Table645[[#This Row],[Column118]])</f>
        <v>0</v>
      </c>
      <c r="DP79" s="96"/>
      <c r="DQ79" s="96"/>
      <c r="DR79" s="91" t="str">
        <f t="shared" si="72"/>
        <v>--</v>
      </c>
      <c r="DS79" s="89">
        <f>IF(Table645[[#This Row],[Column122]]="--",0,Table645[[#This Row],[Column4]]*Table645[[#This Row],[Column122]])</f>
        <v>0</v>
      </c>
      <c r="DT79" t="str">
        <f>IF(Table645[[#This Row],[Column125]]=0,"--",Table645[[#This Row],[Column125]]*Table645[[#This Row],[Column126]]*Table645[[#This Row],[Column127]]/1000000000)</f>
        <v>--</v>
      </c>
      <c r="DU79" s="53"/>
      <c r="DV79" s="53"/>
      <c r="DW79" s="53"/>
      <c r="DX79" s="91" t="str">
        <f t="shared" si="73"/>
        <v>--</v>
      </c>
      <c r="DY79" s="89">
        <f>IF(Table645[[#This Row],[Column128]]="--",0,Table645[[#This Row],[Column4]]*Table645[[#This Row],[Column128]])</f>
        <v>0</v>
      </c>
      <c r="EA79" s="89">
        <f>IF(Table645[[#This Row],[Column128]]="--",0,Table645[[#This Row],[Column4]]*Table645[[#This Row],[Column128]])</f>
        <v>0</v>
      </c>
      <c r="EC79" s="89">
        <f>IF(Table645[[#This Row],[Column128]]="--",0,Table645[[#This Row],[Column4]]*Table645[[#This Row],[Column128]])</f>
        <v>0</v>
      </c>
      <c r="EE79" s="89">
        <f>IF(Table645[[#This Row],[Column128]]="--",0,Table645[[#This Row],[Column4]]*Table645[[#This Row],[Column128]])</f>
        <v>0</v>
      </c>
      <c r="EG79" s="89">
        <f>IF(Table645[[#This Row],[Column128]]="--",0,Table645[[#This Row],[Column4]]*Table645[[#This Row],[Column128]])</f>
        <v>0</v>
      </c>
      <c r="EI79" s="89">
        <f>IF(Table645[[#This Row],[Column128]]="--",0,Table645[[#This Row],[Column4]]*Table645[[#This Row],[Column128]])</f>
        <v>0</v>
      </c>
    </row>
    <row r="80" spans="1:139" x14ac:dyDescent="0.25">
      <c r="A80" s="140"/>
      <c r="B80" s="79"/>
      <c r="C80" s="140"/>
      <c r="D80" s="167"/>
      <c r="E80" s="52"/>
      <c r="F80" s="81"/>
      <c r="G80" s="81"/>
      <c r="H80" s="102" t="str">
        <f t="shared" si="64"/>
        <v>--</v>
      </c>
      <c r="I80" s="100">
        <f>IF(Table645[[#This Row],[Column8]]="--",0,Table645[[#This Row],[Column4]]*Table645[[#This Row],[Column8]])</f>
        <v>0</v>
      </c>
      <c r="J80" s="169"/>
      <c r="K80" s="85">
        <f>Table645[[#This Row],[Column4]]*Table645[[#This Row],[Column10]]</f>
        <v>0</v>
      </c>
      <c r="L80" s="170" t="str">
        <f t="shared" si="65"/>
        <v>--</v>
      </c>
      <c r="M80" s="214">
        <f>IF(Table645[[#This Row],[Column10]]=0,0,Table645[[#This Row],[Column4]]*Table645[[#This Row],[Column12]])</f>
        <v>0</v>
      </c>
      <c r="N80" s="87" t="str">
        <f t="shared" si="66"/>
        <v>--</v>
      </c>
      <c r="O80" s="138"/>
      <c r="AZ80" s="89">
        <f>IF(Table645[[#This Row],[Column14]]="--",0,Table645[[#This Row],[Column4]]*Table645[[#This Row],[Column14]])</f>
        <v>0</v>
      </c>
      <c r="BA80" s="90"/>
      <c r="BB80" s="91" t="str">
        <f>IF(BA80=0,"--",BA80*$BA$3*IF(Table645[[#This Row],[Column5]]&lt;4.1,1,2)/60/24)</f>
        <v>--</v>
      </c>
      <c r="BC80" s="92">
        <f>IF(Table645[[#This Row],[Column54]]="--",0,Table645[[#This Row],[Column4]]*Table645[[#This Row],[Column54]])</f>
        <v>0</v>
      </c>
      <c r="BD80" s="119"/>
      <c r="BE80" s="119"/>
      <c r="BF80" s="119"/>
      <c r="BG80" s="91" t="str">
        <f>IF(BD80+Table645[[#This Row],[Column58]]=0,"--",(BD80*$BF$3*Table645[[#This Row],[Column57]]+Table645[[#This Row],[Column58]]*$BF$4)/60/24)</f>
        <v>--</v>
      </c>
      <c r="BH80" s="92">
        <f>IF(Table645[[#This Row],[Column59]]="--",0,Table645[[#This Row],[Column4]]*Table645[[#This Row],[Column59]])</f>
        <v>0</v>
      </c>
      <c r="BI80" s="119"/>
      <c r="BJ80" s="91" t="str">
        <f t="shared" si="15"/>
        <v>--</v>
      </c>
      <c r="BK80" s="92">
        <f>IF(Table645[[#This Row],[Column62]]="--",0,Table645[[#This Row],[Column4]]*Table645[[#This Row],[Column62]])</f>
        <v>0</v>
      </c>
      <c r="BL80" s="93"/>
      <c r="BM80" s="91" t="str">
        <f t="shared" si="67"/>
        <v>--</v>
      </c>
      <c r="BN80" s="89">
        <f>IF(Table645[[#This Row],[Column65]]="--",0,Table645[[#This Row],[Column4]]*Table645[[#This Row],[Column65]])</f>
        <v>0</v>
      </c>
      <c r="BO80" s="163"/>
      <c r="BP80" s="164" t="str">
        <f t="shared" si="68"/>
        <v>--</v>
      </c>
      <c r="BQ80" s="160">
        <f>IF(Table645[[#This Row],[Column68]]="--",0,Table645[[#This Row],[Column4]]*Table645[[#This Row],[Column68]])</f>
        <v>0</v>
      </c>
      <c r="BR80" s="94"/>
      <c r="BS80" s="91" t="str">
        <f t="shared" si="69"/>
        <v>--</v>
      </c>
      <c r="BT80" s="92">
        <f>IF(Table645[[#This Row],[Column71]]="--",0,Table645[[#This Row],[Column4]]*Table645[[#This Row],[Column71]])</f>
        <v>0</v>
      </c>
      <c r="BU80" s="44"/>
      <c r="BV80" s="90"/>
      <c r="BW80" s="91" t="str">
        <f>IF(BV80=0,"--",(Table645[[#This Row],[Column73]]*$BV$4*(IF(J80&lt;0.5001,1,IF(J80&lt;2.0001,2,3)))+BV80/$BV$3)/60/24)</f>
        <v>--</v>
      </c>
      <c r="BX80" s="92">
        <f>IF(Table645[[#This Row],[Column75]]="--",0,Table645[[#This Row],[Column4]]*Table645[[#This Row],[Column75]])</f>
        <v>0</v>
      </c>
      <c r="BY80" s="95" t="s">
        <v>70</v>
      </c>
      <c r="BZ80" s="91" t="str">
        <f>IF(Table645[[#This Row],[Column74]]=0,"--",BW80*$BY$3)</f>
        <v>--</v>
      </c>
      <c r="CA80" s="89">
        <f>IF(Table645[[#This Row],[Column78]]="--",0,Table645[[#This Row],[Column4]]*Table645[[#This Row],[Column78]])</f>
        <v>0</v>
      </c>
      <c r="CB80" s="95" t="s">
        <v>70</v>
      </c>
      <c r="CC80" s="91" t="str">
        <f>IF(Table645[[#This Row],[Column10]]+Table645[[#This Row],[Column74]]=0,"--",J80*$CB$4*$CB$5/(24*60)+IF(Table645[[#This Row],[Column74]]=0,0,$CB$3*Table645[[#This Row],[Column75]]))</f>
        <v>--</v>
      </c>
      <c r="CD80" s="92">
        <f>IF(Table645[[#This Row],[Column81]]="--",0,Table645[[#This Row],[Column4]]*Table645[[#This Row],[Column81]])</f>
        <v>0</v>
      </c>
      <c r="CE80" s="215"/>
      <c r="CF80" s="91" t="str">
        <f t="shared" si="19"/>
        <v>--</v>
      </c>
      <c r="CG80" s="92">
        <f>IF(Table645[[#This Row],[Column84]]="--",0,Table645[[#This Row],[Column4]]*Table645[[#This Row],[Column84]])</f>
        <v>0</v>
      </c>
      <c r="CH80" s="226"/>
      <c r="CI80" s="216"/>
      <c r="CJ80" s="91" t="str">
        <f>IF(CI80=0,"--",(Table645[[#This Row],[Column86]]*$CI$4*(IF(W80&lt;0.5001,1,IF(W80&lt;2.0001,2,3)))+CI80/$CI$3)/60/24)</f>
        <v>--</v>
      </c>
      <c r="CK80" s="92">
        <f>IF(Table645[[#This Row],[Column88]]="--",0,Table645[[#This Row],[Column4]]*Table645[[#This Row],[Column88]])</f>
        <v>0</v>
      </c>
      <c r="CL80" s="217"/>
      <c r="CM80" s="91" t="str">
        <f>IF(Table645[[#This Row],[Column87]]=0,"--",CJ80*$CL$3)</f>
        <v>--</v>
      </c>
      <c r="CN80" s="92">
        <f>IF(Table645[[#This Row],[Column91]]="--",0,Table645[[#This Row],[Column4]]*Table645[[#This Row],[Column91]])</f>
        <v>0</v>
      </c>
      <c r="CO80" s="217"/>
      <c r="CP80" s="91" t="str">
        <f>IF(Table645[[#This Row],[Column10]]+Table645[[#This Row],[Column87]]=0, "--", IF($D80="", 1, $D80) * IF($J80="", 1, $J80) * $CO$3 * $CO$4 * IF(Table645[[#This Row],[Column95]]="", 1, Table645[[#This Row],[Column95]]) / (24 * 60))</f>
        <v>--</v>
      </c>
      <c r="CQ80" s="164"/>
      <c r="CR80" s="92">
        <f>IF(Table645[[#This Row],[Column94]]="--",0,Table645[[#This Row],[Column4]]*Table645[[#This Row],[Column94]])</f>
        <v>0</v>
      </c>
      <c r="CS80" s="218" t="str">
        <f>IF(Table645[[#This Row],[Column87]]="","",Table645[[#This Row],[Column87]])</f>
        <v/>
      </c>
      <c r="CT80" s="91" t="str">
        <f>IF(Table645[[#This Row],[Column97]]="","--",Table645[[#This Row],[Column97]]/$CS$3/60/24)</f>
        <v>--</v>
      </c>
      <c r="CU80" s="92">
        <f>IF(Table645[[#This Row],[Column98]]="--",0,Table645[[#This Row],[Column4]]*Table645[[#This Row],[Column98]])</f>
        <v>0</v>
      </c>
      <c r="CV80" s="93"/>
      <c r="CW80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80" s="91" t="str">
        <f>IF(OR(Table645[[#This Row],[Column74]]&gt;0,Table645[[#This Row],[Column87]]&gt;0),(Table645[[#This Row],[Column73]]+Table645[[#This Row],[Column86]]+1)*$CW$3/60/24,"--")</f>
        <v>--</v>
      </c>
      <c r="CY80" s="92">
        <f>IF(Table645[[#This Row],[Column102]]="--",0,Table645[[#This Row],[Column4]]*Table645[[#This Row],[Column102]])</f>
        <v>0</v>
      </c>
      <c r="CZ80" s="158" t="str">
        <f t="shared" si="70"/>
        <v>--</v>
      </c>
      <c r="DA80" s="153"/>
      <c r="DB80" s="160">
        <f>IF(Table645[[#This Row],[Column104]]="--",0,Table645[[#This Row],[Column4]]*Table645[[#This Row],[Column104]])</f>
        <v>0</v>
      </c>
      <c r="DC80" s="219"/>
      <c r="DD80" s="220" t="str">
        <f>IF(DC80=0,"--",1/$DC$3*1000/(60*60*24)*Table645[[#This Row],[Column107]])</f>
        <v>--</v>
      </c>
      <c r="DE80" s="160">
        <f>IF(Table645[[#This Row],[Column108]]="--",0,Table645[[#This Row],[Column4]]*Table645[[#This Row],[Column108]])</f>
        <v>0</v>
      </c>
      <c r="DF80" s="101" t="s">
        <v>70</v>
      </c>
      <c r="DG80" s="91" t="str">
        <f t="shared" si="71"/>
        <v>--</v>
      </c>
      <c r="DH80" s="89">
        <f>IF(Table645[[#This Row],[Column111]]="--",0,Table645[[#This Row],[Column4]]*Table645[[#This Row],[Column111]])</f>
        <v>0</v>
      </c>
      <c r="DI80" s="96"/>
      <c r="DJ80" s="96"/>
      <c r="DK80" s="96"/>
      <c r="DL80" s="96"/>
      <c r="DM80" s="96"/>
      <c r="DN80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80" s="89">
        <f>IF(Table645[[#This Row],[Column118]]="--",0,Table645[[#This Row],[Column4]]*Table645[[#This Row],[Column118]])</f>
        <v>0</v>
      </c>
      <c r="DP80" s="96"/>
      <c r="DQ80" s="96"/>
      <c r="DR80" s="91" t="str">
        <f t="shared" si="72"/>
        <v>--</v>
      </c>
      <c r="DS80" s="89">
        <f>IF(Table645[[#This Row],[Column122]]="--",0,Table645[[#This Row],[Column4]]*Table645[[#This Row],[Column122]])</f>
        <v>0</v>
      </c>
      <c r="DT80" t="str">
        <f>IF(Table645[[#This Row],[Column125]]=0,"--",Table645[[#This Row],[Column125]]*Table645[[#This Row],[Column126]]*Table645[[#This Row],[Column127]]/1000000000)</f>
        <v>--</v>
      </c>
      <c r="DU80" s="53"/>
      <c r="DV80" s="53"/>
      <c r="DW80" s="53"/>
      <c r="DX80" s="91" t="str">
        <f t="shared" si="73"/>
        <v>--</v>
      </c>
      <c r="DY80" s="89">
        <f>IF(Table645[[#This Row],[Column128]]="--",0,Table645[[#This Row],[Column4]]*Table645[[#This Row],[Column128]])</f>
        <v>0</v>
      </c>
      <c r="EA80" s="89">
        <f>IF(Table645[[#This Row],[Column128]]="--",0,Table645[[#This Row],[Column4]]*Table645[[#This Row],[Column128]])</f>
        <v>0</v>
      </c>
      <c r="EC80" s="89">
        <f>IF(Table645[[#This Row],[Column128]]="--",0,Table645[[#This Row],[Column4]]*Table645[[#This Row],[Column128]])</f>
        <v>0</v>
      </c>
      <c r="EE80" s="89">
        <f>IF(Table645[[#This Row],[Column128]]="--",0,Table645[[#This Row],[Column4]]*Table645[[#This Row],[Column128]])</f>
        <v>0</v>
      </c>
      <c r="EG80" s="89">
        <f>IF(Table645[[#This Row],[Column128]]="--",0,Table645[[#This Row],[Column4]]*Table645[[#This Row],[Column128]])</f>
        <v>0</v>
      </c>
      <c r="EI80" s="89">
        <f>IF(Table645[[#This Row],[Column128]]="--",0,Table645[[#This Row],[Column4]]*Table645[[#This Row],[Column128]])</f>
        <v>0</v>
      </c>
    </row>
    <row r="81" spans="1:139" x14ac:dyDescent="0.25">
      <c r="A81" s="140"/>
      <c r="B81" s="79"/>
      <c r="C81" s="140"/>
      <c r="D81" s="167"/>
      <c r="E81" s="52"/>
      <c r="F81" s="81"/>
      <c r="G81" s="81"/>
      <c r="H81" s="102" t="str">
        <f t="shared" si="64"/>
        <v>--</v>
      </c>
      <c r="I81" s="100">
        <f>IF(Table645[[#This Row],[Column8]]="--",0,Table645[[#This Row],[Column4]]*Table645[[#This Row],[Column8]])</f>
        <v>0</v>
      </c>
      <c r="J81" s="169"/>
      <c r="K81" s="85">
        <f>Table645[[#This Row],[Column4]]*Table645[[#This Row],[Column10]]</f>
        <v>0</v>
      </c>
      <c r="L81" s="170" t="str">
        <f t="shared" si="65"/>
        <v>--</v>
      </c>
      <c r="M81" s="214">
        <f>IF(Table645[[#This Row],[Column10]]=0,0,Table645[[#This Row],[Column4]]*Table645[[#This Row],[Column12]])</f>
        <v>0</v>
      </c>
      <c r="N81" s="87" t="str">
        <f t="shared" si="66"/>
        <v>--</v>
      </c>
      <c r="O81" s="138"/>
      <c r="AZ81" s="89">
        <f>IF(Table645[[#This Row],[Column14]]="--",0,Table645[[#This Row],[Column4]]*Table645[[#This Row],[Column14]])</f>
        <v>0</v>
      </c>
      <c r="BA81" s="90"/>
      <c r="BB81" s="91" t="str">
        <f>IF(BA81=0,"--",BA81*$BA$3*IF(Table645[[#This Row],[Column5]]&lt;4.1,1,2)/60/24)</f>
        <v>--</v>
      </c>
      <c r="BC81" s="92">
        <f>IF(Table645[[#This Row],[Column54]]="--",0,Table645[[#This Row],[Column4]]*Table645[[#This Row],[Column54]])</f>
        <v>0</v>
      </c>
      <c r="BD81" s="119"/>
      <c r="BE81" s="119"/>
      <c r="BF81" s="119"/>
      <c r="BG81" s="91" t="str">
        <f>IF(BD81+Table645[[#This Row],[Column58]]=0,"--",(BD81*$BF$3*Table645[[#This Row],[Column57]]+Table645[[#This Row],[Column58]]*$BF$4)/60/24)</f>
        <v>--</v>
      </c>
      <c r="BH81" s="92">
        <f>IF(Table645[[#This Row],[Column59]]="--",0,Table645[[#This Row],[Column4]]*Table645[[#This Row],[Column59]])</f>
        <v>0</v>
      </c>
      <c r="BI81" s="119"/>
      <c r="BJ81" s="91" t="str">
        <f t="shared" si="15"/>
        <v>--</v>
      </c>
      <c r="BK81" s="92">
        <f>IF(Table645[[#This Row],[Column62]]="--",0,Table645[[#This Row],[Column4]]*Table645[[#This Row],[Column62]])</f>
        <v>0</v>
      </c>
      <c r="BL81" s="93"/>
      <c r="BM81" s="91" t="str">
        <f t="shared" si="67"/>
        <v>--</v>
      </c>
      <c r="BN81" s="89">
        <f>IF(Table645[[#This Row],[Column65]]="--",0,Table645[[#This Row],[Column4]]*Table645[[#This Row],[Column65]])</f>
        <v>0</v>
      </c>
      <c r="BO81" s="163"/>
      <c r="BP81" s="164" t="str">
        <f t="shared" si="68"/>
        <v>--</v>
      </c>
      <c r="BQ81" s="160">
        <f>IF(Table645[[#This Row],[Column68]]="--",0,Table645[[#This Row],[Column4]]*Table645[[#This Row],[Column68]])</f>
        <v>0</v>
      </c>
      <c r="BR81" s="94"/>
      <c r="BS81" s="91" t="str">
        <f t="shared" si="69"/>
        <v>--</v>
      </c>
      <c r="BT81" s="92">
        <f>IF(Table645[[#This Row],[Column71]]="--",0,Table645[[#This Row],[Column4]]*Table645[[#This Row],[Column71]])</f>
        <v>0</v>
      </c>
      <c r="BU81" s="44"/>
      <c r="BV81" s="90"/>
      <c r="BW81" s="91" t="str">
        <f>IF(BV81=0,"--",(Table645[[#This Row],[Column73]]*$BV$4*(IF(J81&lt;0.5001,1,IF(J81&lt;2.0001,2,3)))+BV81/$BV$3)/60/24)</f>
        <v>--</v>
      </c>
      <c r="BX81" s="92">
        <f>IF(Table645[[#This Row],[Column75]]="--",0,Table645[[#This Row],[Column4]]*Table645[[#This Row],[Column75]])</f>
        <v>0</v>
      </c>
      <c r="BY81" s="95" t="s">
        <v>70</v>
      </c>
      <c r="BZ81" s="91" t="str">
        <f>IF(Table645[[#This Row],[Column74]]=0,"--",BW81*$BY$3)</f>
        <v>--</v>
      </c>
      <c r="CA81" s="89">
        <f>IF(Table645[[#This Row],[Column78]]="--",0,Table645[[#This Row],[Column4]]*Table645[[#This Row],[Column78]])</f>
        <v>0</v>
      </c>
      <c r="CB81" s="95" t="s">
        <v>70</v>
      </c>
      <c r="CC81" s="91" t="str">
        <f>IF(Table645[[#This Row],[Column10]]+Table645[[#This Row],[Column74]]=0,"--",J81*$CB$4*$CB$5/(24*60)+IF(Table645[[#This Row],[Column74]]=0,0,$CB$3*Table645[[#This Row],[Column75]]))</f>
        <v>--</v>
      </c>
      <c r="CD81" s="92">
        <f>IF(Table645[[#This Row],[Column81]]="--",0,Table645[[#This Row],[Column4]]*Table645[[#This Row],[Column81]])</f>
        <v>0</v>
      </c>
      <c r="CE81" s="215"/>
      <c r="CF81" s="91" t="str">
        <f t="shared" si="19"/>
        <v>--</v>
      </c>
      <c r="CG81" s="92">
        <f>IF(Table645[[#This Row],[Column84]]="--",0,Table645[[#This Row],[Column4]]*Table645[[#This Row],[Column84]])</f>
        <v>0</v>
      </c>
      <c r="CH81" s="226"/>
      <c r="CI81" s="216"/>
      <c r="CJ81" s="91" t="str">
        <f>IF(CI81=0,"--",(Table645[[#This Row],[Column86]]*$CI$4*(IF(W81&lt;0.5001,1,IF(W81&lt;2.0001,2,3)))+CI81/$CI$3)/60/24)</f>
        <v>--</v>
      </c>
      <c r="CK81" s="92">
        <f>IF(Table645[[#This Row],[Column88]]="--",0,Table645[[#This Row],[Column4]]*Table645[[#This Row],[Column88]])</f>
        <v>0</v>
      </c>
      <c r="CL81" s="217"/>
      <c r="CM81" s="91" t="str">
        <f>IF(Table645[[#This Row],[Column87]]=0,"--",CJ81*$CL$3)</f>
        <v>--</v>
      </c>
      <c r="CN81" s="92">
        <f>IF(Table645[[#This Row],[Column91]]="--",0,Table645[[#This Row],[Column4]]*Table645[[#This Row],[Column91]])</f>
        <v>0</v>
      </c>
      <c r="CO81" s="217"/>
      <c r="CP81" s="91" t="str">
        <f>IF(Table645[[#This Row],[Column10]]+Table645[[#This Row],[Column87]]=0, "--", IF($D81="", 1, $D81) * IF($J81="", 1, $J81) * $CO$3 * $CO$4 * IF(Table645[[#This Row],[Column95]]="", 1, Table645[[#This Row],[Column95]]) / (24 * 60))</f>
        <v>--</v>
      </c>
      <c r="CQ81" s="164"/>
      <c r="CR81" s="92">
        <f>IF(Table645[[#This Row],[Column94]]="--",0,Table645[[#This Row],[Column4]]*Table645[[#This Row],[Column94]])</f>
        <v>0</v>
      </c>
      <c r="CS81" s="218" t="str">
        <f>IF(Table645[[#This Row],[Column87]]="","",Table645[[#This Row],[Column87]])</f>
        <v/>
      </c>
      <c r="CT81" s="91" t="str">
        <f>IF(Table645[[#This Row],[Column97]]="","--",Table645[[#This Row],[Column97]]/$CS$3/60/24)</f>
        <v>--</v>
      </c>
      <c r="CU81" s="92">
        <f>IF(Table645[[#This Row],[Column98]]="--",0,Table645[[#This Row],[Column4]]*Table645[[#This Row],[Column98]])</f>
        <v>0</v>
      </c>
      <c r="CV81" s="93"/>
      <c r="CW81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81" s="91" t="str">
        <f>IF(OR(Table645[[#This Row],[Column74]]&gt;0,Table645[[#This Row],[Column87]]&gt;0),(Table645[[#This Row],[Column73]]+Table645[[#This Row],[Column86]]+1)*$CW$3/60/24,"--")</f>
        <v>--</v>
      </c>
      <c r="CY81" s="92">
        <f>IF(Table645[[#This Row],[Column102]]="--",0,Table645[[#This Row],[Column4]]*Table645[[#This Row],[Column102]])</f>
        <v>0</v>
      </c>
      <c r="CZ81" s="158" t="str">
        <f t="shared" si="70"/>
        <v>--</v>
      </c>
      <c r="DA81" s="153"/>
      <c r="DB81" s="160">
        <f>IF(Table645[[#This Row],[Column104]]="--",0,Table645[[#This Row],[Column4]]*Table645[[#This Row],[Column104]])</f>
        <v>0</v>
      </c>
      <c r="DC81" s="219"/>
      <c r="DD81" s="220" t="str">
        <f>IF(DC81=0,"--",1/$DC$3*1000/(60*60*24)*Table645[[#This Row],[Column107]])</f>
        <v>--</v>
      </c>
      <c r="DE81" s="160">
        <f>IF(Table645[[#This Row],[Column108]]="--",0,Table645[[#This Row],[Column4]]*Table645[[#This Row],[Column108]])</f>
        <v>0</v>
      </c>
      <c r="DF81" s="101" t="s">
        <v>70</v>
      </c>
      <c r="DG81" s="91" t="str">
        <f t="shared" si="71"/>
        <v>--</v>
      </c>
      <c r="DH81" s="89">
        <f>IF(Table645[[#This Row],[Column111]]="--",0,Table645[[#This Row],[Column4]]*Table645[[#This Row],[Column111]])</f>
        <v>0</v>
      </c>
      <c r="DI81" s="96"/>
      <c r="DJ81" s="96"/>
      <c r="DK81" s="96"/>
      <c r="DL81" s="96"/>
      <c r="DM81" s="96"/>
      <c r="DN81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81" s="89">
        <f>IF(Table645[[#This Row],[Column118]]="--",0,Table645[[#This Row],[Column4]]*Table645[[#This Row],[Column118]])</f>
        <v>0</v>
      </c>
      <c r="DP81" s="96"/>
      <c r="DQ81" s="96"/>
      <c r="DR81" s="91" t="str">
        <f t="shared" si="72"/>
        <v>--</v>
      </c>
      <c r="DS81" s="89">
        <f>IF(Table645[[#This Row],[Column122]]="--",0,Table645[[#This Row],[Column4]]*Table645[[#This Row],[Column122]])</f>
        <v>0</v>
      </c>
      <c r="DT81" t="str">
        <f>IF(Table645[[#This Row],[Column125]]=0,"--",Table645[[#This Row],[Column125]]*Table645[[#This Row],[Column126]]*Table645[[#This Row],[Column127]]/1000000000)</f>
        <v>--</v>
      </c>
      <c r="DU81" s="53"/>
      <c r="DV81" s="53"/>
      <c r="DW81" s="53"/>
      <c r="DX81" s="91" t="str">
        <f t="shared" si="73"/>
        <v>--</v>
      </c>
      <c r="DY81" s="89">
        <f>IF(Table645[[#This Row],[Column128]]="--",0,Table645[[#This Row],[Column4]]*Table645[[#This Row],[Column128]])</f>
        <v>0</v>
      </c>
      <c r="EA81" s="89">
        <f>IF(Table645[[#This Row],[Column128]]="--",0,Table645[[#This Row],[Column4]]*Table645[[#This Row],[Column128]])</f>
        <v>0</v>
      </c>
      <c r="EC81" s="89">
        <f>IF(Table645[[#This Row],[Column128]]="--",0,Table645[[#This Row],[Column4]]*Table645[[#This Row],[Column128]])</f>
        <v>0</v>
      </c>
      <c r="EE81" s="89">
        <f>IF(Table645[[#This Row],[Column128]]="--",0,Table645[[#This Row],[Column4]]*Table645[[#This Row],[Column128]])</f>
        <v>0</v>
      </c>
      <c r="EG81" s="89">
        <f>IF(Table645[[#This Row],[Column128]]="--",0,Table645[[#This Row],[Column4]]*Table645[[#This Row],[Column128]])</f>
        <v>0</v>
      </c>
      <c r="EI81" s="89">
        <f>IF(Table645[[#This Row],[Column128]]="--",0,Table645[[#This Row],[Column4]]*Table645[[#This Row],[Column128]])</f>
        <v>0</v>
      </c>
    </row>
    <row r="82" spans="1:139" x14ac:dyDescent="0.25">
      <c r="A82" s="140"/>
      <c r="B82" s="79"/>
      <c r="C82" s="140"/>
      <c r="D82" s="167"/>
      <c r="E82" s="52"/>
      <c r="F82" s="81"/>
      <c r="G82" s="81"/>
      <c r="H82" s="102" t="str">
        <f t="shared" si="64"/>
        <v>--</v>
      </c>
      <c r="I82" s="100">
        <f>IF(Table645[[#This Row],[Column8]]="--",0,Table645[[#This Row],[Column4]]*Table645[[#This Row],[Column8]])</f>
        <v>0</v>
      </c>
      <c r="J82" s="169"/>
      <c r="K82" s="85">
        <f>Table645[[#This Row],[Column4]]*Table645[[#This Row],[Column10]]</f>
        <v>0</v>
      </c>
      <c r="L82" s="170" t="str">
        <f t="shared" si="65"/>
        <v>--</v>
      </c>
      <c r="M82" s="214">
        <f>IF(Table645[[#This Row],[Column10]]=0,0,Table645[[#This Row],[Column4]]*Table645[[#This Row],[Column12]])</f>
        <v>0</v>
      </c>
      <c r="N82" s="87" t="str">
        <f t="shared" si="66"/>
        <v>--</v>
      </c>
      <c r="O82" s="138"/>
      <c r="AZ82" s="89">
        <f>IF(Table645[[#This Row],[Column14]]="--",0,Table645[[#This Row],[Column4]]*Table645[[#This Row],[Column14]])</f>
        <v>0</v>
      </c>
      <c r="BA82" s="90"/>
      <c r="BB82" s="91" t="str">
        <f>IF(BA82=0,"--",BA82*$BA$3*IF(Table645[[#This Row],[Column5]]&lt;4.1,1,2)/60/24)</f>
        <v>--</v>
      </c>
      <c r="BC82" s="92">
        <f>IF(Table645[[#This Row],[Column54]]="--",0,Table645[[#This Row],[Column4]]*Table645[[#This Row],[Column54]])</f>
        <v>0</v>
      </c>
      <c r="BD82" s="119"/>
      <c r="BE82" s="119"/>
      <c r="BF82" s="119"/>
      <c r="BG82" s="91" t="str">
        <f>IF(BD82+Table645[[#This Row],[Column58]]=0,"--",(BD82*$BF$3*Table645[[#This Row],[Column57]]+Table645[[#This Row],[Column58]]*$BF$4)/60/24)</f>
        <v>--</v>
      </c>
      <c r="BH82" s="92">
        <f>IF(Table645[[#This Row],[Column59]]="--",0,Table645[[#This Row],[Column4]]*Table645[[#This Row],[Column59]])</f>
        <v>0</v>
      </c>
      <c r="BI82" s="119"/>
      <c r="BJ82" s="91" t="str">
        <f t="shared" si="15"/>
        <v>--</v>
      </c>
      <c r="BK82" s="92">
        <f>IF(Table645[[#This Row],[Column62]]="--",0,Table645[[#This Row],[Column4]]*Table645[[#This Row],[Column62]])</f>
        <v>0</v>
      </c>
      <c r="BL82" s="93"/>
      <c r="BM82" s="91" t="str">
        <f t="shared" si="67"/>
        <v>--</v>
      </c>
      <c r="BN82" s="89">
        <f>IF(Table645[[#This Row],[Column65]]="--",0,Table645[[#This Row],[Column4]]*Table645[[#This Row],[Column65]])</f>
        <v>0</v>
      </c>
      <c r="BO82" s="163"/>
      <c r="BP82" s="164" t="str">
        <f t="shared" si="68"/>
        <v>--</v>
      </c>
      <c r="BQ82" s="160">
        <f>IF(Table645[[#This Row],[Column68]]="--",0,Table645[[#This Row],[Column4]]*Table645[[#This Row],[Column68]])</f>
        <v>0</v>
      </c>
      <c r="BR82" s="94"/>
      <c r="BS82" s="91" t="str">
        <f t="shared" si="69"/>
        <v>--</v>
      </c>
      <c r="BT82" s="92">
        <f>IF(Table645[[#This Row],[Column71]]="--",0,Table645[[#This Row],[Column4]]*Table645[[#This Row],[Column71]])</f>
        <v>0</v>
      </c>
      <c r="BU82" s="44"/>
      <c r="BV82" s="90"/>
      <c r="BW82" s="91" t="str">
        <f>IF(BV82=0,"--",(Table645[[#This Row],[Column73]]*$BV$4*(IF(J82&lt;0.5001,1,IF(J82&lt;2.0001,2,3)))+BV82/$BV$3)/60/24)</f>
        <v>--</v>
      </c>
      <c r="BX82" s="92">
        <f>IF(Table645[[#This Row],[Column75]]="--",0,Table645[[#This Row],[Column4]]*Table645[[#This Row],[Column75]])</f>
        <v>0</v>
      </c>
      <c r="BY82" s="95" t="s">
        <v>70</v>
      </c>
      <c r="BZ82" s="91" t="str">
        <f>IF(Table645[[#This Row],[Column74]]=0,"--",BW82*$BY$3)</f>
        <v>--</v>
      </c>
      <c r="CA82" s="89">
        <f>IF(Table645[[#This Row],[Column78]]="--",0,Table645[[#This Row],[Column4]]*Table645[[#This Row],[Column78]])</f>
        <v>0</v>
      </c>
      <c r="CB82" s="95" t="s">
        <v>70</v>
      </c>
      <c r="CC82" s="91" t="str">
        <f>IF(Table645[[#This Row],[Column10]]+Table645[[#This Row],[Column74]]=0,"--",J82*$CB$4*$CB$5/(24*60)+IF(Table645[[#This Row],[Column74]]=0,0,$CB$3*Table645[[#This Row],[Column75]]))</f>
        <v>--</v>
      </c>
      <c r="CD82" s="92">
        <f>IF(Table645[[#This Row],[Column81]]="--",0,Table645[[#This Row],[Column4]]*Table645[[#This Row],[Column81]])</f>
        <v>0</v>
      </c>
      <c r="CE82" s="215"/>
      <c r="CF82" s="91" t="str">
        <f t="shared" si="19"/>
        <v>--</v>
      </c>
      <c r="CG82" s="92">
        <f>IF(Table645[[#This Row],[Column84]]="--",0,Table645[[#This Row],[Column4]]*Table645[[#This Row],[Column84]])</f>
        <v>0</v>
      </c>
      <c r="CH82" s="226"/>
      <c r="CI82" s="216"/>
      <c r="CJ82" s="91" t="str">
        <f>IF(CI82=0,"--",(Table645[[#This Row],[Column86]]*$CI$4*(IF(W82&lt;0.5001,1,IF(W82&lt;2.0001,2,3)))+CI82/$CI$3)/60/24)</f>
        <v>--</v>
      </c>
      <c r="CK82" s="92">
        <f>IF(Table645[[#This Row],[Column88]]="--",0,Table645[[#This Row],[Column4]]*Table645[[#This Row],[Column88]])</f>
        <v>0</v>
      </c>
      <c r="CL82" s="217"/>
      <c r="CM82" s="91" t="str">
        <f>IF(Table645[[#This Row],[Column87]]=0,"--",CJ82*$CL$3)</f>
        <v>--</v>
      </c>
      <c r="CN82" s="92">
        <f>IF(Table645[[#This Row],[Column91]]="--",0,Table645[[#This Row],[Column4]]*Table645[[#This Row],[Column91]])</f>
        <v>0</v>
      </c>
      <c r="CO82" s="217"/>
      <c r="CP82" s="91" t="str">
        <f>IF(Table645[[#This Row],[Column10]]+Table645[[#This Row],[Column87]]=0, "--", IF($D82="", 1, $D82) * IF($J82="", 1, $J82) * $CO$3 * $CO$4 * IF(Table645[[#This Row],[Column95]]="", 1, Table645[[#This Row],[Column95]]) / (24 * 60))</f>
        <v>--</v>
      </c>
      <c r="CQ82" s="164"/>
      <c r="CR82" s="92">
        <f>IF(Table645[[#This Row],[Column94]]="--",0,Table645[[#This Row],[Column4]]*Table645[[#This Row],[Column94]])</f>
        <v>0</v>
      </c>
      <c r="CS82" s="218" t="str">
        <f>IF(Table645[[#This Row],[Column87]]="","",Table645[[#This Row],[Column87]])</f>
        <v/>
      </c>
      <c r="CT82" s="91" t="str">
        <f>IF(Table645[[#This Row],[Column97]]="","--",Table645[[#This Row],[Column97]]/$CS$3/60/24)</f>
        <v>--</v>
      </c>
      <c r="CU82" s="92">
        <f>IF(Table645[[#This Row],[Column98]]="--",0,Table645[[#This Row],[Column4]]*Table645[[#This Row],[Column98]])</f>
        <v>0</v>
      </c>
      <c r="CV82" s="93"/>
      <c r="CW82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82" s="91" t="str">
        <f>IF(OR(Table645[[#This Row],[Column74]]&gt;0,Table645[[#This Row],[Column87]]&gt;0),(Table645[[#This Row],[Column73]]+Table645[[#This Row],[Column86]]+1)*$CW$3/60/24,"--")</f>
        <v>--</v>
      </c>
      <c r="CY82" s="92">
        <f>IF(Table645[[#This Row],[Column102]]="--",0,Table645[[#This Row],[Column4]]*Table645[[#This Row],[Column102]])</f>
        <v>0</v>
      </c>
      <c r="CZ82" s="158" t="str">
        <f t="shared" si="70"/>
        <v>--</v>
      </c>
      <c r="DA82" s="153"/>
      <c r="DB82" s="160">
        <f>IF(Table645[[#This Row],[Column104]]="--",0,Table645[[#This Row],[Column4]]*Table645[[#This Row],[Column104]])</f>
        <v>0</v>
      </c>
      <c r="DC82" s="219"/>
      <c r="DD82" s="220" t="str">
        <f>IF(DC82=0,"--",1/$DC$3*1000/(60*60*24)*Table645[[#This Row],[Column107]])</f>
        <v>--</v>
      </c>
      <c r="DE82" s="160">
        <f>IF(Table645[[#This Row],[Column108]]="--",0,Table645[[#This Row],[Column4]]*Table645[[#This Row],[Column108]])</f>
        <v>0</v>
      </c>
      <c r="DF82" s="101" t="s">
        <v>70</v>
      </c>
      <c r="DG82" s="91" t="str">
        <f t="shared" si="71"/>
        <v>--</v>
      </c>
      <c r="DH82" s="89">
        <f>IF(Table645[[#This Row],[Column111]]="--",0,Table645[[#This Row],[Column4]]*Table645[[#This Row],[Column111]])</f>
        <v>0</v>
      </c>
      <c r="DI82" s="96"/>
      <c r="DJ82" s="96"/>
      <c r="DK82" s="96"/>
      <c r="DL82" s="96"/>
      <c r="DM82" s="96"/>
      <c r="DN82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82" s="89">
        <f>IF(Table645[[#This Row],[Column118]]="--",0,Table645[[#This Row],[Column4]]*Table645[[#This Row],[Column118]])</f>
        <v>0</v>
      </c>
      <c r="DP82" s="96"/>
      <c r="DQ82" s="96"/>
      <c r="DR82" s="91" t="str">
        <f t="shared" si="72"/>
        <v>--</v>
      </c>
      <c r="DS82" s="89">
        <f>IF(Table645[[#This Row],[Column122]]="--",0,Table645[[#This Row],[Column4]]*Table645[[#This Row],[Column122]])</f>
        <v>0</v>
      </c>
      <c r="DT82" t="str">
        <f>IF(Table645[[#This Row],[Column125]]=0,"--",Table645[[#This Row],[Column125]]*Table645[[#This Row],[Column126]]*Table645[[#This Row],[Column127]]/1000000000)</f>
        <v>--</v>
      </c>
      <c r="DU82" s="53"/>
      <c r="DV82" s="53"/>
      <c r="DW82" s="53"/>
      <c r="DX82" s="91" t="str">
        <f t="shared" si="73"/>
        <v>--</v>
      </c>
      <c r="DY82" s="89">
        <f>IF(Table645[[#This Row],[Column128]]="--",0,Table645[[#This Row],[Column4]]*Table645[[#This Row],[Column128]])</f>
        <v>0</v>
      </c>
      <c r="EA82" s="89">
        <f>IF(Table645[[#This Row],[Column128]]="--",0,Table645[[#This Row],[Column4]]*Table645[[#This Row],[Column128]])</f>
        <v>0</v>
      </c>
      <c r="EC82" s="89">
        <f>IF(Table645[[#This Row],[Column128]]="--",0,Table645[[#This Row],[Column4]]*Table645[[#This Row],[Column128]])</f>
        <v>0</v>
      </c>
      <c r="EE82" s="89">
        <f>IF(Table645[[#This Row],[Column128]]="--",0,Table645[[#This Row],[Column4]]*Table645[[#This Row],[Column128]])</f>
        <v>0</v>
      </c>
      <c r="EG82" s="89">
        <f>IF(Table645[[#This Row],[Column128]]="--",0,Table645[[#This Row],[Column4]]*Table645[[#This Row],[Column128]])</f>
        <v>0</v>
      </c>
      <c r="EI82" s="89">
        <f>IF(Table645[[#This Row],[Column128]]="--",0,Table645[[#This Row],[Column4]]*Table645[[#This Row],[Column128]])</f>
        <v>0</v>
      </c>
    </row>
    <row r="83" spans="1:139" x14ac:dyDescent="0.25">
      <c r="A83" s="140"/>
      <c r="B83" s="79"/>
      <c r="C83" s="140"/>
      <c r="D83" s="167"/>
      <c r="E83" s="52"/>
      <c r="F83" s="81"/>
      <c r="G83" s="81"/>
      <c r="H83" s="102" t="str">
        <f t="shared" si="64"/>
        <v>--</v>
      </c>
      <c r="I83" s="100">
        <f>IF(Table645[[#This Row],[Column8]]="--",0,Table645[[#This Row],[Column4]]*Table645[[#This Row],[Column8]])</f>
        <v>0</v>
      </c>
      <c r="J83" s="169"/>
      <c r="K83" s="85">
        <f>Table645[[#This Row],[Column4]]*Table645[[#This Row],[Column10]]</f>
        <v>0</v>
      </c>
      <c r="L83" s="170" t="str">
        <f t="shared" si="65"/>
        <v>--</v>
      </c>
      <c r="M83" s="214">
        <f>IF(Table645[[#This Row],[Column10]]=0,0,Table645[[#This Row],[Column4]]*Table645[[#This Row],[Column12]])</f>
        <v>0</v>
      </c>
      <c r="N83" s="87" t="str">
        <f t="shared" si="66"/>
        <v>--</v>
      </c>
      <c r="O83" s="138"/>
      <c r="AZ83" s="89">
        <f>IF(Table645[[#This Row],[Column14]]="--",0,Table645[[#This Row],[Column4]]*Table645[[#This Row],[Column14]])</f>
        <v>0</v>
      </c>
      <c r="BA83" s="90"/>
      <c r="BB83" s="91" t="str">
        <f>IF(BA83=0,"--",BA83*$BA$3*IF(Table645[[#This Row],[Column5]]&lt;4.1,1,2)/60/24)</f>
        <v>--</v>
      </c>
      <c r="BC83" s="92">
        <f>IF(Table645[[#This Row],[Column54]]="--",0,Table645[[#This Row],[Column4]]*Table645[[#This Row],[Column54]])</f>
        <v>0</v>
      </c>
      <c r="BD83" s="119"/>
      <c r="BE83" s="119"/>
      <c r="BF83" s="119"/>
      <c r="BG83" s="91" t="str">
        <f>IF(BD83+Table645[[#This Row],[Column58]]=0,"--",(BD83*$BF$3*Table645[[#This Row],[Column57]]+Table645[[#This Row],[Column58]]*$BF$4)/60/24)</f>
        <v>--</v>
      </c>
      <c r="BH83" s="92">
        <f>IF(Table645[[#This Row],[Column59]]="--",0,Table645[[#This Row],[Column4]]*Table645[[#This Row],[Column59]])</f>
        <v>0</v>
      </c>
      <c r="BI83" s="119"/>
      <c r="BJ83" s="91" t="str">
        <f t="shared" si="15"/>
        <v>--</v>
      </c>
      <c r="BK83" s="92">
        <f>IF(Table645[[#This Row],[Column62]]="--",0,Table645[[#This Row],[Column4]]*Table645[[#This Row],[Column62]])</f>
        <v>0</v>
      </c>
      <c r="BL83" s="93"/>
      <c r="BM83" s="91" t="str">
        <f t="shared" si="67"/>
        <v>--</v>
      </c>
      <c r="BN83" s="89">
        <f>IF(Table645[[#This Row],[Column65]]="--",0,Table645[[#This Row],[Column4]]*Table645[[#This Row],[Column65]])</f>
        <v>0</v>
      </c>
      <c r="BO83" s="163"/>
      <c r="BP83" s="164" t="str">
        <f t="shared" si="68"/>
        <v>--</v>
      </c>
      <c r="BQ83" s="160">
        <f>IF(Table645[[#This Row],[Column68]]="--",0,Table645[[#This Row],[Column4]]*Table645[[#This Row],[Column68]])</f>
        <v>0</v>
      </c>
      <c r="BR83" s="94"/>
      <c r="BS83" s="91" t="str">
        <f t="shared" si="69"/>
        <v>--</v>
      </c>
      <c r="BT83" s="92">
        <f>IF(Table645[[#This Row],[Column71]]="--",0,Table645[[#This Row],[Column4]]*Table645[[#This Row],[Column71]])</f>
        <v>0</v>
      </c>
      <c r="BU83" s="44"/>
      <c r="BV83" s="90"/>
      <c r="BW83" s="91" t="str">
        <f>IF(BV83=0,"--",(Table645[[#This Row],[Column73]]*$BV$4*(IF(J83&lt;0.5001,1,IF(J83&lt;2.0001,2,3)))+BV83/$BV$3)/60/24)</f>
        <v>--</v>
      </c>
      <c r="BX83" s="92">
        <f>IF(Table645[[#This Row],[Column75]]="--",0,Table645[[#This Row],[Column4]]*Table645[[#This Row],[Column75]])</f>
        <v>0</v>
      </c>
      <c r="BY83" s="95" t="s">
        <v>70</v>
      </c>
      <c r="BZ83" s="91" t="str">
        <f>IF(Table645[[#This Row],[Column74]]=0,"--",BW83*$BY$3)</f>
        <v>--</v>
      </c>
      <c r="CA83" s="89">
        <f>IF(Table645[[#This Row],[Column78]]="--",0,Table645[[#This Row],[Column4]]*Table645[[#This Row],[Column78]])</f>
        <v>0</v>
      </c>
      <c r="CB83" s="95" t="s">
        <v>70</v>
      </c>
      <c r="CC83" s="91" t="str">
        <f>IF(Table645[[#This Row],[Column10]]+Table645[[#This Row],[Column74]]=0,"--",J83*$CB$4*$CB$5/(24*60)+IF(Table645[[#This Row],[Column74]]=0,0,$CB$3*Table645[[#This Row],[Column75]]))</f>
        <v>--</v>
      </c>
      <c r="CD83" s="92">
        <f>IF(Table645[[#This Row],[Column81]]="--",0,Table645[[#This Row],[Column4]]*Table645[[#This Row],[Column81]])</f>
        <v>0</v>
      </c>
      <c r="CE83" s="215"/>
      <c r="CF83" s="91" t="str">
        <f t="shared" si="19"/>
        <v>--</v>
      </c>
      <c r="CG83" s="92">
        <f>IF(Table645[[#This Row],[Column84]]="--",0,Table645[[#This Row],[Column4]]*Table645[[#This Row],[Column84]])</f>
        <v>0</v>
      </c>
      <c r="CH83" s="226"/>
      <c r="CI83" s="216"/>
      <c r="CJ83" s="91" t="str">
        <f>IF(CI83=0,"--",(Table645[[#This Row],[Column86]]*$CI$4*(IF(W83&lt;0.5001,1,IF(W83&lt;2.0001,2,3)))+CI83/$CI$3)/60/24)</f>
        <v>--</v>
      </c>
      <c r="CK83" s="92">
        <f>IF(Table645[[#This Row],[Column88]]="--",0,Table645[[#This Row],[Column4]]*Table645[[#This Row],[Column88]])</f>
        <v>0</v>
      </c>
      <c r="CL83" s="217"/>
      <c r="CM83" s="91" t="str">
        <f>IF(Table645[[#This Row],[Column87]]=0,"--",CJ83*$CL$3)</f>
        <v>--</v>
      </c>
      <c r="CN83" s="92">
        <f>IF(Table645[[#This Row],[Column91]]="--",0,Table645[[#This Row],[Column4]]*Table645[[#This Row],[Column91]])</f>
        <v>0</v>
      </c>
      <c r="CO83" s="217"/>
      <c r="CP83" s="91" t="str">
        <f>IF(Table645[[#This Row],[Column10]]+Table645[[#This Row],[Column87]]=0, "--", IF($D83="", 1, $D83) * IF($J83="", 1, $J83) * $CO$3 * $CO$4 * IF(Table645[[#This Row],[Column95]]="", 1, Table645[[#This Row],[Column95]]) / (24 * 60))</f>
        <v>--</v>
      </c>
      <c r="CQ83" s="164"/>
      <c r="CR83" s="92">
        <f>IF(Table645[[#This Row],[Column94]]="--",0,Table645[[#This Row],[Column4]]*Table645[[#This Row],[Column94]])</f>
        <v>0</v>
      </c>
      <c r="CS83" s="218" t="str">
        <f>IF(Table645[[#This Row],[Column87]]="","",Table645[[#This Row],[Column87]])</f>
        <v/>
      </c>
      <c r="CT83" s="91" t="str">
        <f>IF(Table645[[#This Row],[Column97]]="","--",Table645[[#This Row],[Column97]]/$CS$3/60/24)</f>
        <v>--</v>
      </c>
      <c r="CU83" s="92">
        <f>IF(Table645[[#This Row],[Column98]]="--",0,Table645[[#This Row],[Column4]]*Table645[[#This Row],[Column98]])</f>
        <v>0</v>
      </c>
      <c r="CV83" s="93"/>
      <c r="CW83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83" s="91" t="str">
        <f>IF(OR(Table645[[#This Row],[Column74]]&gt;0,Table645[[#This Row],[Column87]]&gt;0),(Table645[[#This Row],[Column73]]+Table645[[#This Row],[Column86]]+1)*$CW$3/60/24,"--")</f>
        <v>--</v>
      </c>
      <c r="CY83" s="92">
        <f>IF(Table645[[#This Row],[Column102]]="--",0,Table645[[#This Row],[Column4]]*Table645[[#This Row],[Column102]])</f>
        <v>0</v>
      </c>
      <c r="CZ83" s="158" t="str">
        <f t="shared" si="70"/>
        <v>--</v>
      </c>
      <c r="DA83" s="153"/>
      <c r="DB83" s="160">
        <f>IF(Table645[[#This Row],[Column104]]="--",0,Table645[[#This Row],[Column4]]*Table645[[#This Row],[Column104]])</f>
        <v>0</v>
      </c>
      <c r="DC83" s="219"/>
      <c r="DD83" s="220" t="str">
        <f>IF(DC83=0,"--",1/$DC$3*1000/(60*60*24)*Table645[[#This Row],[Column107]])</f>
        <v>--</v>
      </c>
      <c r="DE83" s="160">
        <f>IF(Table645[[#This Row],[Column108]]="--",0,Table645[[#This Row],[Column4]]*Table645[[#This Row],[Column108]])</f>
        <v>0</v>
      </c>
      <c r="DF83" s="101" t="s">
        <v>70</v>
      </c>
      <c r="DG83" s="91" t="str">
        <f t="shared" si="71"/>
        <v>--</v>
      </c>
      <c r="DH83" s="89">
        <f>IF(Table645[[#This Row],[Column111]]="--",0,Table645[[#This Row],[Column4]]*Table645[[#This Row],[Column111]])</f>
        <v>0</v>
      </c>
      <c r="DI83" s="96"/>
      <c r="DJ83" s="96"/>
      <c r="DK83" s="96"/>
      <c r="DL83" s="96"/>
      <c r="DM83" s="96"/>
      <c r="DN83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83" s="89">
        <f>IF(Table645[[#This Row],[Column118]]="--",0,Table645[[#This Row],[Column4]]*Table645[[#This Row],[Column118]])</f>
        <v>0</v>
      </c>
      <c r="DP83" s="96"/>
      <c r="DQ83" s="96"/>
      <c r="DR83" s="91" t="str">
        <f t="shared" si="72"/>
        <v>--</v>
      </c>
      <c r="DS83" s="89">
        <f>IF(Table645[[#This Row],[Column122]]="--",0,Table645[[#This Row],[Column4]]*Table645[[#This Row],[Column122]])</f>
        <v>0</v>
      </c>
      <c r="DT83" t="str">
        <f>IF(Table645[[#This Row],[Column125]]=0,"--",Table645[[#This Row],[Column125]]*Table645[[#This Row],[Column126]]*Table645[[#This Row],[Column127]]/1000000000)</f>
        <v>--</v>
      </c>
      <c r="DU83" s="53"/>
      <c r="DV83" s="53"/>
      <c r="DW83" s="53"/>
      <c r="DX83" s="91" t="str">
        <f t="shared" si="73"/>
        <v>--</v>
      </c>
      <c r="DY83" s="89">
        <f>IF(Table645[[#This Row],[Column128]]="--",0,Table645[[#This Row],[Column4]]*Table645[[#This Row],[Column128]])</f>
        <v>0</v>
      </c>
      <c r="EA83" s="89">
        <f>IF(Table645[[#This Row],[Column128]]="--",0,Table645[[#This Row],[Column4]]*Table645[[#This Row],[Column128]])</f>
        <v>0</v>
      </c>
      <c r="EC83" s="89">
        <f>IF(Table645[[#This Row],[Column128]]="--",0,Table645[[#This Row],[Column4]]*Table645[[#This Row],[Column128]])</f>
        <v>0</v>
      </c>
      <c r="EE83" s="89">
        <f>IF(Table645[[#This Row],[Column128]]="--",0,Table645[[#This Row],[Column4]]*Table645[[#This Row],[Column128]])</f>
        <v>0</v>
      </c>
      <c r="EG83" s="89">
        <f>IF(Table645[[#This Row],[Column128]]="--",0,Table645[[#This Row],[Column4]]*Table645[[#This Row],[Column128]])</f>
        <v>0</v>
      </c>
      <c r="EI83" s="89">
        <f>IF(Table645[[#This Row],[Column128]]="--",0,Table645[[#This Row],[Column4]]*Table645[[#This Row],[Column128]])</f>
        <v>0</v>
      </c>
    </row>
    <row r="84" spans="1:139" x14ac:dyDescent="0.25">
      <c r="A84" s="140"/>
      <c r="B84" s="79"/>
      <c r="C84" s="140"/>
      <c r="D84" s="167"/>
      <c r="E84" s="52"/>
      <c r="F84" s="81"/>
      <c r="G84" s="81"/>
      <c r="H84" s="102" t="str">
        <f t="shared" si="64"/>
        <v>--</v>
      </c>
      <c r="I84" s="100">
        <f>IF(Table645[[#This Row],[Column8]]="--",0,Table645[[#This Row],[Column4]]*Table645[[#This Row],[Column8]])</f>
        <v>0</v>
      </c>
      <c r="J84" s="169"/>
      <c r="K84" s="85">
        <f>Table645[[#This Row],[Column4]]*Table645[[#This Row],[Column10]]</f>
        <v>0</v>
      </c>
      <c r="L84" s="170" t="str">
        <f t="shared" si="65"/>
        <v>--</v>
      </c>
      <c r="M84" s="214">
        <f>IF(Table645[[#This Row],[Column10]]=0,0,Table645[[#This Row],[Column4]]*Table645[[#This Row],[Column12]])</f>
        <v>0</v>
      </c>
      <c r="N84" s="87" t="str">
        <f t="shared" si="66"/>
        <v>--</v>
      </c>
      <c r="O84" s="138"/>
      <c r="AZ84" s="89">
        <f>IF(Table645[[#This Row],[Column14]]="--",0,Table645[[#This Row],[Column4]]*Table645[[#This Row],[Column14]])</f>
        <v>0</v>
      </c>
      <c r="BA84" s="90"/>
      <c r="BB84" s="91" t="str">
        <f>IF(BA84=0,"--",BA84*$BA$3*IF(Table645[[#This Row],[Column5]]&lt;4.1,1,2)/60/24)</f>
        <v>--</v>
      </c>
      <c r="BC84" s="92">
        <f>IF(Table645[[#This Row],[Column54]]="--",0,Table645[[#This Row],[Column4]]*Table645[[#This Row],[Column54]])</f>
        <v>0</v>
      </c>
      <c r="BD84" s="119"/>
      <c r="BE84" s="119"/>
      <c r="BF84" s="119"/>
      <c r="BG84" s="91" t="str">
        <f>IF(BD84+Table645[[#This Row],[Column58]]=0,"--",(BD84*$BF$3*Table645[[#This Row],[Column57]]+Table645[[#This Row],[Column58]]*$BF$4)/60/24)</f>
        <v>--</v>
      </c>
      <c r="BH84" s="92">
        <f>IF(Table645[[#This Row],[Column59]]="--",0,Table645[[#This Row],[Column4]]*Table645[[#This Row],[Column59]])</f>
        <v>0</v>
      </c>
      <c r="BI84" s="119"/>
      <c r="BJ84" s="91" t="str">
        <f t="shared" si="15"/>
        <v>--</v>
      </c>
      <c r="BK84" s="92">
        <f>IF(Table645[[#This Row],[Column62]]="--",0,Table645[[#This Row],[Column4]]*Table645[[#This Row],[Column62]])</f>
        <v>0</v>
      </c>
      <c r="BL84" s="93"/>
      <c r="BM84" s="91" t="str">
        <f t="shared" si="67"/>
        <v>--</v>
      </c>
      <c r="BN84" s="89">
        <f>IF(Table645[[#This Row],[Column65]]="--",0,Table645[[#This Row],[Column4]]*Table645[[#This Row],[Column65]])</f>
        <v>0</v>
      </c>
      <c r="BO84" s="163"/>
      <c r="BP84" s="164" t="str">
        <f t="shared" si="68"/>
        <v>--</v>
      </c>
      <c r="BQ84" s="160">
        <f>IF(Table645[[#This Row],[Column68]]="--",0,Table645[[#This Row],[Column4]]*Table645[[#This Row],[Column68]])</f>
        <v>0</v>
      </c>
      <c r="BR84" s="94"/>
      <c r="BS84" s="91" t="str">
        <f t="shared" si="69"/>
        <v>--</v>
      </c>
      <c r="BT84" s="92">
        <f>IF(Table645[[#This Row],[Column71]]="--",0,Table645[[#This Row],[Column4]]*Table645[[#This Row],[Column71]])</f>
        <v>0</v>
      </c>
      <c r="BU84" s="44"/>
      <c r="BV84" s="90"/>
      <c r="BW84" s="91" t="str">
        <f>IF(BV84=0,"--",(Table645[[#This Row],[Column73]]*$BV$4*(IF(J84&lt;0.5001,1,IF(J84&lt;2.0001,2,3)))+BV84/$BV$3)/60/24)</f>
        <v>--</v>
      </c>
      <c r="BX84" s="92">
        <f>IF(Table645[[#This Row],[Column75]]="--",0,Table645[[#This Row],[Column4]]*Table645[[#This Row],[Column75]])</f>
        <v>0</v>
      </c>
      <c r="BY84" s="95" t="s">
        <v>70</v>
      </c>
      <c r="BZ84" s="91" t="str">
        <f>IF(Table645[[#This Row],[Column74]]=0,"--",BW84*$BY$3)</f>
        <v>--</v>
      </c>
      <c r="CA84" s="89">
        <f>IF(Table645[[#This Row],[Column78]]="--",0,Table645[[#This Row],[Column4]]*Table645[[#This Row],[Column78]])</f>
        <v>0</v>
      </c>
      <c r="CB84" s="95" t="s">
        <v>70</v>
      </c>
      <c r="CC84" s="91" t="str">
        <f>IF(Table645[[#This Row],[Column10]]+Table645[[#This Row],[Column74]]=0,"--",J84*$CB$4*$CB$5/(24*60)+IF(Table645[[#This Row],[Column74]]=0,0,$CB$3*Table645[[#This Row],[Column75]]))</f>
        <v>--</v>
      </c>
      <c r="CD84" s="92">
        <f>IF(Table645[[#This Row],[Column81]]="--",0,Table645[[#This Row],[Column4]]*Table645[[#This Row],[Column81]])</f>
        <v>0</v>
      </c>
      <c r="CE84" s="215"/>
      <c r="CF84" s="91" t="str">
        <f t="shared" si="19"/>
        <v>--</v>
      </c>
      <c r="CG84" s="92">
        <f>IF(Table645[[#This Row],[Column84]]="--",0,Table645[[#This Row],[Column4]]*Table645[[#This Row],[Column84]])</f>
        <v>0</v>
      </c>
      <c r="CH84" s="226"/>
      <c r="CI84" s="216"/>
      <c r="CJ84" s="91" t="str">
        <f>IF(CI84=0,"--",(Table645[[#This Row],[Column86]]*$CI$4*(IF(W84&lt;0.5001,1,IF(W84&lt;2.0001,2,3)))+CI84/$CI$3)/60/24)</f>
        <v>--</v>
      </c>
      <c r="CK84" s="92">
        <f>IF(Table645[[#This Row],[Column88]]="--",0,Table645[[#This Row],[Column4]]*Table645[[#This Row],[Column88]])</f>
        <v>0</v>
      </c>
      <c r="CL84" s="217"/>
      <c r="CM84" s="91" t="str">
        <f>IF(Table645[[#This Row],[Column87]]=0,"--",CJ84*$CL$3)</f>
        <v>--</v>
      </c>
      <c r="CN84" s="92">
        <f>IF(Table645[[#This Row],[Column91]]="--",0,Table645[[#This Row],[Column4]]*Table645[[#This Row],[Column91]])</f>
        <v>0</v>
      </c>
      <c r="CO84" s="217"/>
      <c r="CP84" s="91" t="str">
        <f>IF(Table645[[#This Row],[Column10]]+Table645[[#This Row],[Column87]]=0, "--", IF($D84="", 1, $D84) * IF($J84="", 1, $J84) * $CO$3 * $CO$4 * IF(Table645[[#This Row],[Column95]]="", 1, Table645[[#This Row],[Column95]]) / (24 * 60))</f>
        <v>--</v>
      </c>
      <c r="CQ84" s="164"/>
      <c r="CR84" s="92">
        <f>IF(Table645[[#This Row],[Column94]]="--",0,Table645[[#This Row],[Column4]]*Table645[[#This Row],[Column94]])</f>
        <v>0</v>
      </c>
      <c r="CS84" s="218" t="str">
        <f>IF(Table645[[#This Row],[Column87]]="","",Table645[[#This Row],[Column87]])</f>
        <v/>
      </c>
      <c r="CT84" s="91" t="str">
        <f>IF(Table645[[#This Row],[Column97]]="","--",Table645[[#This Row],[Column97]]/$CS$3/60/24)</f>
        <v>--</v>
      </c>
      <c r="CU84" s="92">
        <f>IF(Table645[[#This Row],[Column98]]="--",0,Table645[[#This Row],[Column4]]*Table645[[#This Row],[Column98]])</f>
        <v>0</v>
      </c>
      <c r="CV84" s="93"/>
      <c r="CW84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84" s="91" t="str">
        <f>IF(OR(Table645[[#This Row],[Column74]]&gt;0,Table645[[#This Row],[Column87]]&gt;0),(Table645[[#This Row],[Column73]]+Table645[[#This Row],[Column86]]+1)*$CW$3/60/24,"--")</f>
        <v>--</v>
      </c>
      <c r="CY84" s="92">
        <f>IF(Table645[[#This Row],[Column102]]="--",0,Table645[[#This Row],[Column4]]*Table645[[#This Row],[Column102]])</f>
        <v>0</v>
      </c>
      <c r="CZ84" s="158" t="str">
        <f t="shared" si="70"/>
        <v>--</v>
      </c>
      <c r="DA84" s="153"/>
      <c r="DB84" s="160">
        <f>IF(Table645[[#This Row],[Column104]]="--",0,Table645[[#This Row],[Column4]]*Table645[[#This Row],[Column104]])</f>
        <v>0</v>
      </c>
      <c r="DC84" s="219"/>
      <c r="DD84" s="220" t="str">
        <f>IF(DC84=0,"--",1/$DC$3*1000/(60*60*24)*Table645[[#This Row],[Column107]])</f>
        <v>--</v>
      </c>
      <c r="DE84" s="160">
        <f>IF(Table645[[#This Row],[Column108]]="--",0,Table645[[#This Row],[Column4]]*Table645[[#This Row],[Column108]])</f>
        <v>0</v>
      </c>
      <c r="DF84" s="101" t="s">
        <v>70</v>
      </c>
      <c r="DG84" s="91" t="str">
        <f t="shared" si="71"/>
        <v>--</v>
      </c>
      <c r="DH84" s="89">
        <f>IF(Table645[[#This Row],[Column111]]="--",0,Table645[[#This Row],[Column4]]*Table645[[#This Row],[Column111]])</f>
        <v>0</v>
      </c>
      <c r="DI84" s="96"/>
      <c r="DJ84" s="96"/>
      <c r="DK84" s="96"/>
      <c r="DL84" s="96"/>
      <c r="DM84" s="96"/>
      <c r="DN84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84" s="89">
        <f>IF(Table645[[#This Row],[Column118]]="--",0,Table645[[#This Row],[Column4]]*Table645[[#This Row],[Column118]])</f>
        <v>0</v>
      </c>
      <c r="DP84" s="96"/>
      <c r="DQ84" s="96"/>
      <c r="DR84" s="91" t="str">
        <f t="shared" si="72"/>
        <v>--</v>
      </c>
      <c r="DS84" s="89">
        <f>IF(Table645[[#This Row],[Column122]]="--",0,Table645[[#This Row],[Column4]]*Table645[[#This Row],[Column122]])</f>
        <v>0</v>
      </c>
      <c r="DT84" t="str">
        <f>IF(Table645[[#This Row],[Column125]]=0,"--",Table645[[#This Row],[Column125]]*Table645[[#This Row],[Column126]]*Table645[[#This Row],[Column127]]/1000000000)</f>
        <v>--</v>
      </c>
      <c r="DU84" s="53"/>
      <c r="DV84" s="53"/>
      <c r="DW84" s="53"/>
      <c r="DX84" s="91" t="str">
        <f t="shared" si="73"/>
        <v>--</v>
      </c>
      <c r="DY84" s="89">
        <f>IF(Table645[[#This Row],[Column128]]="--",0,Table645[[#This Row],[Column4]]*Table645[[#This Row],[Column128]])</f>
        <v>0</v>
      </c>
      <c r="EA84" s="89">
        <f>IF(Table645[[#This Row],[Column128]]="--",0,Table645[[#This Row],[Column4]]*Table645[[#This Row],[Column128]])</f>
        <v>0</v>
      </c>
      <c r="EC84" s="89">
        <f>IF(Table645[[#This Row],[Column128]]="--",0,Table645[[#This Row],[Column4]]*Table645[[#This Row],[Column128]])</f>
        <v>0</v>
      </c>
      <c r="EE84" s="89">
        <f>IF(Table645[[#This Row],[Column128]]="--",0,Table645[[#This Row],[Column4]]*Table645[[#This Row],[Column128]])</f>
        <v>0</v>
      </c>
      <c r="EG84" s="89">
        <f>IF(Table645[[#This Row],[Column128]]="--",0,Table645[[#This Row],[Column4]]*Table645[[#This Row],[Column128]])</f>
        <v>0</v>
      </c>
      <c r="EI84" s="89">
        <f>IF(Table645[[#This Row],[Column128]]="--",0,Table645[[#This Row],[Column4]]*Table645[[#This Row],[Column128]])</f>
        <v>0</v>
      </c>
    </row>
    <row r="85" spans="1:139" x14ac:dyDescent="0.25">
      <c r="A85" s="140"/>
      <c r="B85" s="79"/>
      <c r="C85" s="140"/>
      <c r="D85" s="167"/>
      <c r="E85" s="52"/>
      <c r="F85" s="81"/>
      <c r="G85" s="81"/>
      <c r="H85" s="102" t="str">
        <f t="shared" si="64"/>
        <v>--</v>
      </c>
      <c r="I85" s="100">
        <f>IF(Table645[[#This Row],[Column8]]="--",0,Table645[[#This Row],[Column4]]*Table645[[#This Row],[Column8]])</f>
        <v>0</v>
      </c>
      <c r="J85" s="169"/>
      <c r="K85" s="85">
        <f>Table645[[#This Row],[Column4]]*Table645[[#This Row],[Column10]]</f>
        <v>0</v>
      </c>
      <c r="L85" s="170" t="str">
        <f t="shared" si="65"/>
        <v>--</v>
      </c>
      <c r="M85" s="214">
        <f>IF(Table645[[#This Row],[Column10]]=0,0,Table645[[#This Row],[Column4]]*Table645[[#This Row],[Column12]])</f>
        <v>0</v>
      </c>
      <c r="N85" s="87" t="str">
        <f t="shared" si="66"/>
        <v>--</v>
      </c>
      <c r="O85" s="138"/>
      <c r="AZ85" s="89">
        <f>IF(Table645[[#This Row],[Column14]]="--",0,Table645[[#This Row],[Column4]]*Table645[[#This Row],[Column14]])</f>
        <v>0</v>
      </c>
      <c r="BA85" s="90"/>
      <c r="BB85" s="91" t="str">
        <f>IF(BA85=0,"--",BA85*$BA$3*IF(Table645[[#This Row],[Column5]]&lt;4.1,1,2)/60/24)</f>
        <v>--</v>
      </c>
      <c r="BC85" s="92">
        <f>IF(Table645[[#This Row],[Column54]]="--",0,Table645[[#This Row],[Column4]]*Table645[[#This Row],[Column54]])</f>
        <v>0</v>
      </c>
      <c r="BD85" s="119"/>
      <c r="BE85" s="119"/>
      <c r="BF85" s="119"/>
      <c r="BG85" s="91" t="str">
        <f>IF(BD85+Table645[[#This Row],[Column58]]=0,"--",(BD85*$BF$3*Table645[[#This Row],[Column57]]+Table645[[#This Row],[Column58]]*$BF$4)/60/24)</f>
        <v>--</v>
      </c>
      <c r="BH85" s="92">
        <f>IF(Table645[[#This Row],[Column59]]="--",0,Table645[[#This Row],[Column4]]*Table645[[#This Row],[Column59]])</f>
        <v>0</v>
      </c>
      <c r="BI85" s="119"/>
      <c r="BJ85" s="91" t="str">
        <f t="shared" si="15"/>
        <v>--</v>
      </c>
      <c r="BK85" s="92">
        <f>IF(Table645[[#This Row],[Column62]]="--",0,Table645[[#This Row],[Column4]]*Table645[[#This Row],[Column62]])</f>
        <v>0</v>
      </c>
      <c r="BL85" s="93"/>
      <c r="BM85" s="91" t="str">
        <f t="shared" si="67"/>
        <v>--</v>
      </c>
      <c r="BN85" s="89">
        <f>IF(Table645[[#This Row],[Column65]]="--",0,Table645[[#This Row],[Column4]]*Table645[[#This Row],[Column65]])</f>
        <v>0</v>
      </c>
      <c r="BO85" s="163"/>
      <c r="BP85" s="164" t="str">
        <f t="shared" si="68"/>
        <v>--</v>
      </c>
      <c r="BQ85" s="160">
        <f>IF(Table645[[#This Row],[Column68]]="--",0,Table645[[#This Row],[Column4]]*Table645[[#This Row],[Column68]])</f>
        <v>0</v>
      </c>
      <c r="BR85" s="94"/>
      <c r="BS85" s="91" t="str">
        <f t="shared" si="69"/>
        <v>--</v>
      </c>
      <c r="BT85" s="92">
        <f>IF(Table645[[#This Row],[Column71]]="--",0,Table645[[#This Row],[Column4]]*Table645[[#This Row],[Column71]])</f>
        <v>0</v>
      </c>
      <c r="BU85" s="44"/>
      <c r="BV85" s="90"/>
      <c r="BW85" s="91" t="str">
        <f>IF(BV85=0,"--",(Table645[[#This Row],[Column73]]*$BV$4*(IF(J85&lt;0.5001,1,IF(J85&lt;2.0001,2,3)))+BV85/$BV$3)/60/24)</f>
        <v>--</v>
      </c>
      <c r="BX85" s="92">
        <f>IF(Table645[[#This Row],[Column75]]="--",0,Table645[[#This Row],[Column4]]*Table645[[#This Row],[Column75]])</f>
        <v>0</v>
      </c>
      <c r="BY85" s="95" t="s">
        <v>70</v>
      </c>
      <c r="BZ85" s="91" t="str">
        <f>IF(Table645[[#This Row],[Column74]]=0,"--",BW85*$BY$3)</f>
        <v>--</v>
      </c>
      <c r="CA85" s="89">
        <f>IF(Table645[[#This Row],[Column78]]="--",0,Table645[[#This Row],[Column4]]*Table645[[#This Row],[Column78]])</f>
        <v>0</v>
      </c>
      <c r="CB85" s="95" t="s">
        <v>70</v>
      </c>
      <c r="CC85" s="91" t="str">
        <f>IF(Table645[[#This Row],[Column10]]+Table645[[#This Row],[Column74]]=0,"--",J85*$CB$4*$CB$5/(24*60)+IF(Table645[[#This Row],[Column74]]=0,0,$CB$3*Table645[[#This Row],[Column75]]))</f>
        <v>--</v>
      </c>
      <c r="CD85" s="92">
        <f>IF(Table645[[#This Row],[Column81]]="--",0,Table645[[#This Row],[Column4]]*Table645[[#This Row],[Column81]])</f>
        <v>0</v>
      </c>
      <c r="CE85" s="215"/>
      <c r="CF85" s="91" t="str">
        <f t="shared" si="19"/>
        <v>--</v>
      </c>
      <c r="CG85" s="92">
        <f>IF(Table645[[#This Row],[Column84]]="--",0,Table645[[#This Row],[Column4]]*Table645[[#This Row],[Column84]])</f>
        <v>0</v>
      </c>
      <c r="CH85" s="226"/>
      <c r="CI85" s="216"/>
      <c r="CJ85" s="91" t="str">
        <f>IF(CI85=0,"--",(Table645[[#This Row],[Column86]]*$CI$4*(IF(W85&lt;0.5001,1,IF(W85&lt;2.0001,2,3)))+CI85/$CI$3)/60/24)</f>
        <v>--</v>
      </c>
      <c r="CK85" s="92">
        <f>IF(Table645[[#This Row],[Column88]]="--",0,Table645[[#This Row],[Column4]]*Table645[[#This Row],[Column88]])</f>
        <v>0</v>
      </c>
      <c r="CL85" s="217"/>
      <c r="CM85" s="91" t="str">
        <f>IF(Table645[[#This Row],[Column87]]=0,"--",CJ85*$CL$3)</f>
        <v>--</v>
      </c>
      <c r="CN85" s="92">
        <f>IF(Table645[[#This Row],[Column91]]="--",0,Table645[[#This Row],[Column4]]*Table645[[#This Row],[Column91]])</f>
        <v>0</v>
      </c>
      <c r="CO85" s="217"/>
      <c r="CP85" s="91" t="str">
        <f>IF(Table645[[#This Row],[Column10]]+Table645[[#This Row],[Column87]]=0, "--", IF($D85="", 1, $D85) * IF($J85="", 1, $J85) * $CO$3 * $CO$4 * IF(Table645[[#This Row],[Column95]]="", 1, Table645[[#This Row],[Column95]]) / (24 * 60))</f>
        <v>--</v>
      </c>
      <c r="CQ85" s="164"/>
      <c r="CR85" s="92">
        <f>IF(Table645[[#This Row],[Column94]]="--",0,Table645[[#This Row],[Column4]]*Table645[[#This Row],[Column94]])</f>
        <v>0</v>
      </c>
      <c r="CS85" s="218" t="str">
        <f>IF(Table645[[#This Row],[Column87]]="","",Table645[[#This Row],[Column87]])</f>
        <v/>
      </c>
      <c r="CT85" s="91" t="str">
        <f>IF(Table645[[#This Row],[Column97]]="","--",Table645[[#This Row],[Column97]]/$CS$3/60/24)</f>
        <v>--</v>
      </c>
      <c r="CU85" s="92">
        <f>IF(Table645[[#This Row],[Column98]]="--",0,Table645[[#This Row],[Column4]]*Table645[[#This Row],[Column98]])</f>
        <v>0</v>
      </c>
      <c r="CV85" s="93"/>
      <c r="CW85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85" s="91" t="str">
        <f>IF(OR(Table645[[#This Row],[Column74]]&gt;0,Table645[[#This Row],[Column87]]&gt;0),(Table645[[#This Row],[Column73]]+Table645[[#This Row],[Column86]]+1)*$CW$3/60/24,"--")</f>
        <v>--</v>
      </c>
      <c r="CY85" s="92">
        <f>IF(Table645[[#This Row],[Column102]]="--",0,Table645[[#This Row],[Column4]]*Table645[[#This Row],[Column102]])</f>
        <v>0</v>
      </c>
      <c r="CZ85" s="158" t="str">
        <f t="shared" si="70"/>
        <v>--</v>
      </c>
      <c r="DA85" s="153"/>
      <c r="DB85" s="160">
        <f>IF(Table645[[#This Row],[Column104]]="--",0,Table645[[#This Row],[Column4]]*Table645[[#This Row],[Column104]])</f>
        <v>0</v>
      </c>
      <c r="DC85" s="219"/>
      <c r="DD85" s="220" t="str">
        <f>IF(DC85=0,"--",1/$DC$3*1000/(60*60*24)*Table645[[#This Row],[Column107]])</f>
        <v>--</v>
      </c>
      <c r="DE85" s="160">
        <f>IF(Table645[[#This Row],[Column108]]="--",0,Table645[[#This Row],[Column4]]*Table645[[#This Row],[Column108]])</f>
        <v>0</v>
      </c>
      <c r="DF85" s="101" t="s">
        <v>70</v>
      </c>
      <c r="DG85" s="91" t="str">
        <f t="shared" si="71"/>
        <v>--</v>
      </c>
      <c r="DH85" s="89">
        <f>IF(Table645[[#This Row],[Column111]]="--",0,Table645[[#This Row],[Column4]]*Table645[[#This Row],[Column111]])</f>
        <v>0</v>
      </c>
      <c r="DI85" s="96"/>
      <c r="DJ85" s="96"/>
      <c r="DK85" s="96"/>
      <c r="DL85" s="96"/>
      <c r="DM85" s="96"/>
      <c r="DN85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85" s="89">
        <f>IF(Table645[[#This Row],[Column118]]="--",0,Table645[[#This Row],[Column4]]*Table645[[#This Row],[Column118]])</f>
        <v>0</v>
      </c>
      <c r="DP85" s="96"/>
      <c r="DQ85" s="96"/>
      <c r="DR85" s="91" t="str">
        <f t="shared" si="72"/>
        <v>--</v>
      </c>
      <c r="DS85" s="89">
        <f>IF(Table645[[#This Row],[Column122]]="--",0,Table645[[#This Row],[Column4]]*Table645[[#This Row],[Column122]])</f>
        <v>0</v>
      </c>
      <c r="DT85" t="str">
        <f>IF(Table645[[#This Row],[Column125]]=0,"--",Table645[[#This Row],[Column125]]*Table645[[#This Row],[Column126]]*Table645[[#This Row],[Column127]]/1000000000)</f>
        <v>--</v>
      </c>
      <c r="DU85" s="53"/>
      <c r="DV85" s="53"/>
      <c r="DW85" s="53"/>
      <c r="DX85" s="91" t="str">
        <f t="shared" si="73"/>
        <v>--</v>
      </c>
      <c r="DY85" s="89">
        <f>IF(Table645[[#This Row],[Column128]]="--",0,Table645[[#This Row],[Column4]]*Table645[[#This Row],[Column128]])</f>
        <v>0</v>
      </c>
      <c r="EA85" s="89">
        <f>IF(Table645[[#This Row],[Column128]]="--",0,Table645[[#This Row],[Column4]]*Table645[[#This Row],[Column128]])</f>
        <v>0</v>
      </c>
      <c r="EC85" s="89">
        <f>IF(Table645[[#This Row],[Column128]]="--",0,Table645[[#This Row],[Column4]]*Table645[[#This Row],[Column128]])</f>
        <v>0</v>
      </c>
      <c r="EE85" s="89">
        <f>IF(Table645[[#This Row],[Column128]]="--",0,Table645[[#This Row],[Column4]]*Table645[[#This Row],[Column128]])</f>
        <v>0</v>
      </c>
      <c r="EG85" s="89">
        <f>IF(Table645[[#This Row],[Column128]]="--",0,Table645[[#This Row],[Column4]]*Table645[[#This Row],[Column128]])</f>
        <v>0</v>
      </c>
      <c r="EI85" s="89">
        <f>IF(Table645[[#This Row],[Column128]]="--",0,Table645[[#This Row],[Column4]]*Table645[[#This Row],[Column128]])</f>
        <v>0</v>
      </c>
    </row>
    <row r="86" spans="1:139" x14ac:dyDescent="0.25">
      <c r="A86" s="140"/>
      <c r="B86" s="79"/>
      <c r="C86" s="140"/>
      <c r="D86" s="167"/>
      <c r="E86" s="52"/>
      <c r="F86" s="81"/>
      <c r="G86" s="81"/>
      <c r="H86" s="102" t="str">
        <f t="shared" si="64"/>
        <v>--</v>
      </c>
      <c r="I86" s="100">
        <f>IF(Table645[[#This Row],[Column8]]="--",0,Table645[[#This Row],[Column4]]*Table645[[#This Row],[Column8]])</f>
        <v>0</v>
      </c>
      <c r="J86" s="169"/>
      <c r="K86" s="85">
        <f>Table645[[#This Row],[Column4]]*Table645[[#This Row],[Column10]]</f>
        <v>0</v>
      </c>
      <c r="L86" s="170" t="str">
        <f t="shared" si="65"/>
        <v>--</v>
      </c>
      <c r="M86" s="214">
        <f>IF(Table645[[#This Row],[Column10]]=0,0,Table645[[#This Row],[Column4]]*Table645[[#This Row],[Column12]])</f>
        <v>0</v>
      </c>
      <c r="N86" s="87" t="str">
        <f t="shared" si="66"/>
        <v>--</v>
      </c>
      <c r="O86" s="138"/>
      <c r="AZ86" s="89">
        <f>IF(Table645[[#This Row],[Column14]]="--",0,Table645[[#This Row],[Column4]]*Table645[[#This Row],[Column14]])</f>
        <v>0</v>
      </c>
      <c r="BA86" s="90"/>
      <c r="BB86" s="91" t="str">
        <f>IF(BA86=0,"--",BA86*$BA$3*IF(Table645[[#This Row],[Column5]]&lt;4.1,1,2)/60/24)</f>
        <v>--</v>
      </c>
      <c r="BC86" s="92">
        <f>IF(Table645[[#This Row],[Column54]]="--",0,Table645[[#This Row],[Column4]]*Table645[[#This Row],[Column54]])</f>
        <v>0</v>
      </c>
      <c r="BD86" s="119"/>
      <c r="BE86" s="119"/>
      <c r="BF86" s="119"/>
      <c r="BG86" s="91" t="str">
        <f>IF(BD86+Table645[[#This Row],[Column58]]=0,"--",(BD86*$BF$3*Table645[[#This Row],[Column57]]+Table645[[#This Row],[Column58]]*$BF$4)/60/24)</f>
        <v>--</v>
      </c>
      <c r="BH86" s="92">
        <f>IF(Table645[[#This Row],[Column59]]="--",0,Table645[[#This Row],[Column4]]*Table645[[#This Row],[Column59]])</f>
        <v>0</v>
      </c>
      <c r="BI86" s="119"/>
      <c r="BJ86" s="91" t="str">
        <f t="shared" si="15"/>
        <v>--</v>
      </c>
      <c r="BK86" s="92">
        <f>IF(Table645[[#This Row],[Column62]]="--",0,Table645[[#This Row],[Column4]]*Table645[[#This Row],[Column62]])</f>
        <v>0</v>
      </c>
      <c r="BL86" s="93"/>
      <c r="BM86" s="91" t="str">
        <f t="shared" si="67"/>
        <v>--</v>
      </c>
      <c r="BN86" s="89">
        <f>IF(Table645[[#This Row],[Column65]]="--",0,Table645[[#This Row],[Column4]]*Table645[[#This Row],[Column65]])</f>
        <v>0</v>
      </c>
      <c r="BO86" s="163"/>
      <c r="BP86" s="164" t="str">
        <f t="shared" si="68"/>
        <v>--</v>
      </c>
      <c r="BQ86" s="160">
        <f>IF(Table645[[#This Row],[Column68]]="--",0,Table645[[#This Row],[Column4]]*Table645[[#This Row],[Column68]])</f>
        <v>0</v>
      </c>
      <c r="BR86" s="94"/>
      <c r="BS86" s="91" t="str">
        <f t="shared" si="69"/>
        <v>--</v>
      </c>
      <c r="BT86" s="92">
        <f>IF(Table645[[#This Row],[Column71]]="--",0,Table645[[#This Row],[Column4]]*Table645[[#This Row],[Column71]])</f>
        <v>0</v>
      </c>
      <c r="BU86" s="44"/>
      <c r="BV86" s="90"/>
      <c r="BW86" s="91" t="str">
        <f>IF(BV86=0,"--",(Table645[[#This Row],[Column73]]*$BV$4*(IF(J86&lt;0.5001,1,IF(J86&lt;2.0001,2,3)))+BV86/$BV$3)/60/24)</f>
        <v>--</v>
      </c>
      <c r="BX86" s="92">
        <f>IF(Table645[[#This Row],[Column75]]="--",0,Table645[[#This Row],[Column4]]*Table645[[#This Row],[Column75]])</f>
        <v>0</v>
      </c>
      <c r="BY86" s="95" t="s">
        <v>70</v>
      </c>
      <c r="BZ86" s="91" t="str">
        <f>IF(Table645[[#This Row],[Column74]]=0,"--",BW86*$BY$3)</f>
        <v>--</v>
      </c>
      <c r="CA86" s="89">
        <f>IF(Table645[[#This Row],[Column78]]="--",0,Table645[[#This Row],[Column4]]*Table645[[#This Row],[Column78]])</f>
        <v>0</v>
      </c>
      <c r="CB86" s="95" t="s">
        <v>70</v>
      </c>
      <c r="CC86" s="91" t="str">
        <f>IF(Table645[[#This Row],[Column10]]+Table645[[#This Row],[Column74]]=0,"--",J86*$CB$4*$CB$5/(24*60)+IF(Table645[[#This Row],[Column74]]=0,0,$CB$3*Table645[[#This Row],[Column75]]))</f>
        <v>--</v>
      </c>
      <c r="CD86" s="92">
        <f>IF(Table645[[#This Row],[Column81]]="--",0,Table645[[#This Row],[Column4]]*Table645[[#This Row],[Column81]])</f>
        <v>0</v>
      </c>
      <c r="CE86" s="215"/>
      <c r="CF86" s="91" t="str">
        <f t="shared" si="19"/>
        <v>--</v>
      </c>
      <c r="CG86" s="92">
        <f>IF(Table645[[#This Row],[Column84]]="--",0,Table645[[#This Row],[Column4]]*Table645[[#This Row],[Column84]])</f>
        <v>0</v>
      </c>
      <c r="CH86" s="226"/>
      <c r="CI86" s="216"/>
      <c r="CJ86" s="91" t="str">
        <f>IF(CI86=0,"--",(Table645[[#This Row],[Column86]]*$CI$4*(IF(W86&lt;0.5001,1,IF(W86&lt;2.0001,2,3)))+CI86/$CI$3)/60/24)</f>
        <v>--</v>
      </c>
      <c r="CK86" s="92">
        <f>IF(Table645[[#This Row],[Column88]]="--",0,Table645[[#This Row],[Column4]]*Table645[[#This Row],[Column88]])</f>
        <v>0</v>
      </c>
      <c r="CL86" s="217"/>
      <c r="CM86" s="91" t="str">
        <f>IF(Table645[[#This Row],[Column87]]=0,"--",CJ86*$CL$3)</f>
        <v>--</v>
      </c>
      <c r="CN86" s="92">
        <f>IF(Table645[[#This Row],[Column91]]="--",0,Table645[[#This Row],[Column4]]*Table645[[#This Row],[Column91]])</f>
        <v>0</v>
      </c>
      <c r="CO86" s="217"/>
      <c r="CP86" s="91" t="str">
        <f>IF(Table645[[#This Row],[Column10]]+Table645[[#This Row],[Column87]]=0, "--", IF($D86="", 1, $D86) * IF($J86="", 1, $J86) * $CO$3 * $CO$4 * IF(Table645[[#This Row],[Column95]]="", 1, Table645[[#This Row],[Column95]]) / (24 * 60))</f>
        <v>--</v>
      </c>
      <c r="CQ86" s="164"/>
      <c r="CR86" s="92">
        <f>IF(Table645[[#This Row],[Column94]]="--",0,Table645[[#This Row],[Column4]]*Table645[[#This Row],[Column94]])</f>
        <v>0</v>
      </c>
      <c r="CS86" s="218" t="str">
        <f>IF(Table645[[#This Row],[Column87]]="","",Table645[[#This Row],[Column87]])</f>
        <v/>
      </c>
      <c r="CT86" s="91" t="str">
        <f>IF(Table645[[#This Row],[Column97]]="","--",Table645[[#This Row],[Column97]]/$CS$3/60/24)</f>
        <v>--</v>
      </c>
      <c r="CU86" s="92">
        <f>IF(Table645[[#This Row],[Column98]]="--",0,Table645[[#This Row],[Column4]]*Table645[[#This Row],[Column98]])</f>
        <v>0</v>
      </c>
      <c r="CV86" s="93"/>
      <c r="CW86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86" s="91" t="str">
        <f>IF(OR(Table645[[#This Row],[Column74]]&gt;0,Table645[[#This Row],[Column87]]&gt;0),(Table645[[#This Row],[Column73]]+Table645[[#This Row],[Column86]]+1)*$CW$3/60/24,"--")</f>
        <v>--</v>
      </c>
      <c r="CY86" s="92">
        <f>IF(Table645[[#This Row],[Column102]]="--",0,Table645[[#This Row],[Column4]]*Table645[[#This Row],[Column102]])</f>
        <v>0</v>
      </c>
      <c r="CZ86" s="158" t="str">
        <f t="shared" si="70"/>
        <v>--</v>
      </c>
      <c r="DA86" s="153"/>
      <c r="DB86" s="160">
        <f>IF(Table645[[#This Row],[Column104]]="--",0,Table645[[#This Row],[Column4]]*Table645[[#This Row],[Column104]])</f>
        <v>0</v>
      </c>
      <c r="DC86" s="219"/>
      <c r="DD86" s="220" t="str">
        <f>IF(DC86=0,"--",1/$DC$3*1000/(60*60*24)*Table645[[#This Row],[Column107]])</f>
        <v>--</v>
      </c>
      <c r="DE86" s="160">
        <f>IF(Table645[[#This Row],[Column108]]="--",0,Table645[[#This Row],[Column4]]*Table645[[#This Row],[Column108]])</f>
        <v>0</v>
      </c>
      <c r="DF86" s="101" t="s">
        <v>70</v>
      </c>
      <c r="DG86" s="91" t="str">
        <f t="shared" si="71"/>
        <v>--</v>
      </c>
      <c r="DH86" s="89">
        <f>IF(Table645[[#This Row],[Column111]]="--",0,Table645[[#This Row],[Column4]]*Table645[[#This Row],[Column111]])</f>
        <v>0</v>
      </c>
      <c r="DI86" s="96"/>
      <c r="DJ86" s="96"/>
      <c r="DK86" s="96"/>
      <c r="DL86" s="96"/>
      <c r="DM86" s="96"/>
      <c r="DN86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86" s="89">
        <f>IF(Table645[[#This Row],[Column118]]="--",0,Table645[[#This Row],[Column4]]*Table645[[#This Row],[Column118]])</f>
        <v>0</v>
      </c>
      <c r="DP86" s="96"/>
      <c r="DQ86" s="96"/>
      <c r="DR86" s="91" t="str">
        <f t="shared" si="72"/>
        <v>--</v>
      </c>
      <c r="DS86" s="89">
        <f>IF(Table645[[#This Row],[Column122]]="--",0,Table645[[#This Row],[Column4]]*Table645[[#This Row],[Column122]])</f>
        <v>0</v>
      </c>
      <c r="DT86" t="str">
        <f>IF(Table645[[#This Row],[Column125]]=0,"--",Table645[[#This Row],[Column125]]*Table645[[#This Row],[Column126]]*Table645[[#This Row],[Column127]]/1000000000)</f>
        <v>--</v>
      </c>
      <c r="DU86" s="53"/>
      <c r="DV86" s="53"/>
      <c r="DW86" s="53"/>
      <c r="DX86" s="91" t="str">
        <f t="shared" si="73"/>
        <v>--</v>
      </c>
      <c r="DY86" s="89">
        <f>IF(Table645[[#This Row],[Column128]]="--",0,Table645[[#This Row],[Column4]]*Table645[[#This Row],[Column128]])</f>
        <v>0</v>
      </c>
      <c r="EA86" s="89">
        <f>IF(Table645[[#This Row],[Column128]]="--",0,Table645[[#This Row],[Column4]]*Table645[[#This Row],[Column128]])</f>
        <v>0</v>
      </c>
      <c r="EC86" s="89">
        <f>IF(Table645[[#This Row],[Column128]]="--",0,Table645[[#This Row],[Column4]]*Table645[[#This Row],[Column128]])</f>
        <v>0</v>
      </c>
      <c r="EE86" s="89">
        <f>IF(Table645[[#This Row],[Column128]]="--",0,Table645[[#This Row],[Column4]]*Table645[[#This Row],[Column128]])</f>
        <v>0</v>
      </c>
      <c r="EG86" s="89">
        <f>IF(Table645[[#This Row],[Column128]]="--",0,Table645[[#This Row],[Column4]]*Table645[[#This Row],[Column128]])</f>
        <v>0</v>
      </c>
      <c r="EI86" s="89">
        <f>IF(Table645[[#This Row],[Column128]]="--",0,Table645[[#This Row],[Column4]]*Table645[[#This Row],[Column128]])</f>
        <v>0</v>
      </c>
    </row>
    <row r="87" spans="1:139" x14ac:dyDescent="0.25">
      <c r="A87" s="140"/>
      <c r="B87" s="79"/>
      <c r="C87" s="140"/>
      <c r="D87" s="167"/>
      <c r="E87" s="52"/>
      <c r="F87" s="81"/>
      <c r="G87" s="81"/>
      <c r="H87" s="102" t="str">
        <f t="shared" si="64"/>
        <v>--</v>
      </c>
      <c r="I87" s="100">
        <f>IF(Table645[[#This Row],[Column8]]="--",0,Table645[[#This Row],[Column4]]*Table645[[#This Row],[Column8]])</f>
        <v>0</v>
      </c>
      <c r="J87" s="169"/>
      <c r="K87" s="85">
        <f>Table645[[#This Row],[Column4]]*Table645[[#This Row],[Column10]]</f>
        <v>0</v>
      </c>
      <c r="L87" s="170" t="str">
        <f t="shared" si="65"/>
        <v>--</v>
      </c>
      <c r="M87" s="214">
        <f>IF(Table645[[#This Row],[Column10]]=0,0,Table645[[#This Row],[Column4]]*Table645[[#This Row],[Column12]])</f>
        <v>0</v>
      </c>
      <c r="N87" s="87" t="str">
        <f t="shared" si="66"/>
        <v>--</v>
      </c>
      <c r="O87" s="138"/>
      <c r="AZ87" s="89">
        <f>IF(Table645[[#This Row],[Column14]]="--",0,Table645[[#This Row],[Column4]]*Table645[[#This Row],[Column14]])</f>
        <v>0</v>
      </c>
      <c r="BA87" s="90"/>
      <c r="BB87" s="91" t="str">
        <f>IF(BA87=0,"--",BA87*$BA$3*IF(Table645[[#This Row],[Column5]]&lt;4.1,1,2)/60/24)</f>
        <v>--</v>
      </c>
      <c r="BC87" s="92">
        <f>IF(Table645[[#This Row],[Column54]]="--",0,Table645[[#This Row],[Column4]]*Table645[[#This Row],[Column54]])</f>
        <v>0</v>
      </c>
      <c r="BD87" s="119"/>
      <c r="BE87" s="119"/>
      <c r="BF87" s="119"/>
      <c r="BG87" s="91" t="str">
        <f>IF(BD87+Table645[[#This Row],[Column58]]=0,"--",(BD87*$BF$3*Table645[[#This Row],[Column57]]+Table645[[#This Row],[Column58]]*$BF$4)/60/24)</f>
        <v>--</v>
      </c>
      <c r="BH87" s="92">
        <f>IF(Table645[[#This Row],[Column59]]="--",0,Table645[[#This Row],[Column4]]*Table645[[#This Row],[Column59]])</f>
        <v>0</v>
      </c>
      <c r="BI87" s="119"/>
      <c r="BJ87" s="91" t="str">
        <f t="shared" si="15"/>
        <v>--</v>
      </c>
      <c r="BK87" s="92">
        <f>IF(Table645[[#This Row],[Column62]]="--",0,Table645[[#This Row],[Column4]]*Table645[[#This Row],[Column62]])</f>
        <v>0</v>
      </c>
      <c r="BL87" s="93"/>
      <c r="BM87" s="91" t="str">
        <f t="shared" si="67"/>
        <v>--</v>
      </c>
      <c r="BN87" s="89">
        <f>IF(Table645[[#This Row],[Column65]]="--",0,Table645[[#This Row],[Column4]]*Table645[[#This Row],[Column65]])</f>
        <v>0</v>
      </c>
      <c r="BO87" s="163"/>
      <c r="BP87" s="164" t="str">
        <f t="shared" si="68"/>
        <v>--</v>
      </c>
      <c r="BQ87" s="160">
        <f>IF(Table645[[#This Row],[Column68]]="--",0,Table645[[#This Row],[Column4]]*Table645[[#This Row],[Column68]])</f>
        <v>0</v>
      </c>
      <c r="BR87" s="94"/>
      <c r="BS87" s="91" t="str">
        <f t="shared" si="69"/>
        <v>--</v>
      </c>
      <c r="BT87" s="92">
        <f>IF(Table645[[#This Row],[Column71]]="--",0,Table645[[#This Row],[Column4]]*Table645[[#This Row],[Column71]])</f>
        <v>0</v>
      </c>
      <c r="BU87" s="44"/>
      <c r="BV87" s="90"/>
      <c r="BW87" s="91" t="str">
        <f>IF(BV87=0,"--",(Table645[[#This Row],[Column73]]*$BV$4*(IF(J87&lt;0.5001,1,IF(J87&lt;2.0001,2,3)))+BV87/$BV$3)/60/24)</f>
        <v>--</v>
      </c>
      <c r="BX87" s="92">
        <f>IF(Table645[[#This Row],[Column75]]="--",0,Table645[[#This Row],[Column4]]*Table645[[#This Row],[Column75]])</f>
        <v>0</v>
      </c>
      <c r="BY87" s="95" t="s">
        <v>70</v>
      </c>
      <c r="BZ87" s="91" t="str">
        <f>IF(Table645[[#This Row],[Column74]]=0,"--",BW87*$BY$3)</f>
        <v>--</v>
      </c>
      <c r="CA87" s="89">
        <f>IF(Table645[[#This Row],[Column78]]="--",0,Table645[[#This Row],[Column4]]*Table645[[#This Row],[Column78]])</f>
        <v>0</v>
      </c>
      <c r="CB87" s="95" t="s">
        <v>70</v>
      </c>
      <c r="CC87" s="91" t="str">
        <f>IF(Table645[[#This Row],[Column10]]+Table645[[#This Row],[Column74]]=0,"--",J87*$CB$4*$CB$5/(24*60)+IF(Table645[[#This Row],[Column74]]=0,0,$CB$3*Table645[[#This Row],[Column75]]))</f>
        <v>--</v>
      </c>
      <c r="CD87" s="92">
        <f>IF(Table645[[#This Row],[Column81]]="--",0,Table645[[#This Row],[Column4]]*Table645[[#This Row],[Column81]])</f>
        <v>0</v>
      </c>
      <c r="CE87" s="215"/>
      <c r="CF87" s="91" t="str">
        <f t="shared" si="19"/>
        <v>--</v>
      </c>
      <c r="CG87" s="92">
        <f>IF(Table645[[#This Row],[Column84]]="--",0,Table645[[#This Row],[Column4]]*Table645[[#This Row],[Column84]])</f>
        <v>0</v>
      </c>
      <c r="CH87" s="226"/>
      <c r="CI87" s="216"/>
      <c r="CJ87" s="91" t="str">
        <f>IF(CI87=0,"--",(Table645[[#This Row],[Column86]]*$CI$4*(IF(W87&lt;0.5001,1,IF(W87&lt;2.0001,2,3)))+CI87/$CI$3)/60/24)</f>
        <v>--</v>
      </c>
      <c r="CK87" s="92">
        <f>IF(Table645[[#This Row],[Column88]]="--",0,Table645[[#This Row],[Column4]]*Table645[[#This Row],[Column88]])</f>
        <v>0</v>
      </c>
      <c r="CL87" s="217"/>
      <c r="CM87" s="91" t="str">
        <f>IF(Table645[[#This Row],[Column87]]=0,"--",CJ87*$CL$3)</f>
        <v>--</v>
      </c>
      <c r="CN87" s="92">
        <f>IF(Table645[[#This Row],[Column91]]="--",0,Table645[[#This Row],[Column4]]*Table645[[#This Row],[Column91]])</f>
        <v>0</v>
      </c>
      <c r="CO87" s="217"/>
      <c r="CP87" s="91" t="str">
        <f>IF(Table645[[#This Row],[Column10]]+Table645[[#This Row],[Column87]]=0, "--", IF($D87="", 1, $D87) * IF($J87="", 1, $J87) * $CO$3 * $CO$4 * IF(Table645[[#This Row],[Column95]]="", 1, Table645[[#This Row],[Column95]]) / (24 * 60))</f>
        <v>--</v>
      </c>
      <c r="CQ87" s="164"/>
      <c r="CR87" s="92">
        <f>IF(Table645[[#This Row],[Column94]]="--",0,Table645[[#This Row],[Column4]]*Table645[[#This Row],[Column94]])</f>
        <v>0</v>
      </c>
      <c r="CS87" s="218" t="str">
        <f>IF(Table645[[#This Row],[Column87]]="","",Table645[[#This Row],[Column87]])</f>
        <v/>
      </c>
      <c r="CT87" s="91" t="str">
        <f>IF(Table645[[#This Row],[Column97]]="","--",Table645[[#This Row],[Column97]]/$CS$3/60/24)</f>
        <v>--</v>
      </c>
      <c r="CU87" s="92">
        <f>IF(Table645[[#This Row],[Column98]]="--",0,Table645[[#This Row],[Column4]]*Table645[[#This Row],[Column98]])</f>
        <v>0</v>
      </c>
      <c r="CV87" s="93"/>
      <c r="CW87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87" s="91" t="str">
        <f>IF(OR(Table645[[#This Row],[Column74]]&gt;0,Table645[[#This Row],[Column87]]&gt;0),(Table645[[#This Row],[Column73]]+Table645[[#This Row],[Column86]]+1)*$CW$3/60/24,"--")</f>
        <v>--</v>
      </c>
      <c r="CY87" s="92">
        <f>IF(Table645[[#This Row],[Column102]]="--",0,Table645[[#This Row],[Column4]]*Table645[[#This Row],[Column102]])</f>
        <v>0</v>
      </c>
      <c r="CZ87" s="158" t="str">
        <f t="shared" si="70"/>
        <v>--</v>
      </c>
      <c r="DA87" s="153"/>
      <c r="DB87" s="160">
        <f>IF(Table645[[#This Row],[Column104]]="--",0,Table645[[#This Row],[Column4]]*Table645[[#This Row],[Column104]])</f>
        <v>0</v>
      </c>
      <c r="DC87" s="219"/>
      <c r="DD87" s="220" t="str">
        <f>IF(DC87=0,"--",1/$DC$3*1000/(60*60*24)*Table645[[#This Row],[Column107]])</f>
        <v>--</v>
      </c>
      <c r="DE87" s="160">
        <f>IF(Table645[[#This Row],[Column108]]="--",0,Table645[[#This Row],[Column4]]*Table645[[#This Row],[Column108]])</f>
        <v>0</v>
      </c>
      <c r="DF87" s="101" t="s">
        <v>70</v>
      </c>
      <c r="DG87" s="91" t="str">
        <f t="shared" si="71"/>
        <v>--</v>
      </c>
      <c r="DH87" s="89">
        <f>IF(Table645[[#This Row],[Column111]]="--",0,Table645[[#This Row],[Column4]]*Table645[[#This Row],[Column111]])</f>
        <v>0</v>
      </c>
      <c r="DI87" s="96"/>
      <c r="DJ87" s="96"/>
      <c r="DK87" s="96"/>
      <c r="DL87" s="96"/>
      <c r="DM87" s="96"/>
      <c r="DN87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87" s="89">
        <f>IF(Table645[[#This Row],[Column118]]="--",0,Table645[[#This Row],[Column4]]*Table645[[#This Row],[Column118]])</f>
        <v>0</v>
      </c>
      <c r="DP87" s="96"/>
      <c r="DQ87" s="96"/>
      <c r="DR87" s="91" t="str">
        <f t="shared" si="72"/>
        <v>--</v>
      </c>
      <c r="DS87" s="89">
        <f>IF(Table645[[#This Row],[Column122]]="--",0,Table645[[#This Row],[Column4]]*Table645[[#This Row],[Column122]])</f>
        <v>0</v>
      </c>
      <c r="DT87" t="str">
        <f>IF(Table645[[#This Row],[Column125]]=0,"--",Table645[[#This Row],[Column125]]*Table645[[#This Row],[Column126]]*Table645[[#This Row],[Column127]]/1000000000)</f>
        <v>--</v>
      </c>
      <c r="DU87" s="53"/>
      <c r="DV87" s="53"/>
      <c r="DW87" s="53"/>
      <c r="DX87" s="91" t="str">
        <f t="shared" si="73"/>
        <v>--</v>
      </c>
      <c r="DY87" s="89">
        <f>IF(Table645[[#This Row],[Column128]]="--",0,Table645[[#This Row],[Column4]]*Table645[[#This Row],[Column128]])</f>
        <v>0</v>
      </c>
      <c r="EA87" s="89">
        <f>IF(Table645[[#This Row],[Column128]]="--",0,Table645[[#This Row],[Column4]]*Table645[[#This Row],[Column128]])</f>
        <v>0</v>
      </c>
      <c r="EC87" s="89">
        <f>IF(Table645[[#This Row],[Column128]]="--",0,Table645[[#This Row],[Column4]]*Table645[[#This Row],[Column128]])</f>
        <v>0</v>
      </c>
      <c r="EE87" s="89">
        <f>IF(Table645[[#This Row],[Column128]]="--",0,Table645[[#This Row],[Column4]]*Table645[[#This Row],[Column128]])</f>
        <v>0</v>
      </c>
      <c r="EG87" s="89">
        <f>IF(Table645[[#This Row],[Column128]]="--",0,Table645[[#This Row],[Column4]]*Table645[[#This Row],[Column128]])</f>
        <v>0</v>
      </c>
      <c r="EI87" s="89">
        <f>IF(Table645[[#This Row],[Column128]]="--",0,Table645[[#This Row],[Column4]]*Table645[[#This Row],[Column128]])</f>
        <v>0</v>
      </c>
    </row>
    <row r="88" spans="1:139" x14ac:dyDescent="0.25">
      <c r="A88" s="140"/>
      <c r="B88" s="79"/>
      <c r="C88" s="140"/>
      <c r="D88" s="167"/>
      <c r="E88" s="52"/>
      <c r="F88" s="81"/>
      <c r="G88" s="81"/>
      <c r="H88" s="102" t="str">
        <f t="shared" si="44"/>
        <v>--</v>
      </c>
      <c r="I88" s="100">
        <f>IF(Table645[[#This Row],[Column8]]="--",0,Table645[[#This Row],[Column4]]*Table645[[#This Row],[Column8]])</f>
        <v>0</v>
      </c>
      <c r="J88" s="169"/>
      <c r="K88" s="85">
        <f>Table645[[#This Row],[Column4]]*Table645[[#This Row],[Column10]]</f>
        <v>0</v>
      </c>
      <c r="L88" s="170" t="str">
        <f t="shared" si="45"/>
        <v>--</v>
      </c>
      <c r="M88" s="214">
        <f>IF(Table645[[#This Row],[Column10]]=0,0,Table645[[#This Row],[Column4]]*Table645[[#This Row],[Column12]])</f>
        <v>0</v>
      </c>
      <c r="N88" s="87" t="str">
        <f t="shared" si="46"/>
        <v>--</v>
      </c>
      <c r="O88" s="138"/>
      <c r="AZ88" s="89">
        <f>IF(Table645[[#This Row],[Column14]]="--",0,Table645[[#This Row],[Column4]]*Table645[[#This Row],[Column14]])</f>
        <v>0</v>
      </c>
      <c r="BA88" s="90"/>
      <c r="BB88" s="91" t="str">
        <f>IF(BA88=0,"--",BA88*$BA$3*IF(Table645[[#This Row],[Column5]]&lt;4.1,1,2)/60/24)</f>
        <v>--</v>
      </c>
      <c r="BC88" s="92">
        <f>IF(Table645[[#This Row],[Column54]]="--",0,Table645[[#This Row],[Column4]]*Table645[[#This Row],[Column54]])</f>
        <v>0</v>
      </c>
      <c r="BD88" s="119"/>
      <c r="BE88" s="119"/>
      <c r="BF88" s="119"/>
      <c r="BG88" s="91" t="str">
        <f>IF(BD88+Table645[[#This Row],[Column58]]=0,"--",(BD88*$BF$3*Table645[[#This Row],[Column57]]+Table645[[#This Row],[Column58]]*$BF$4)/60/24)</f>
        <v>--</v>
      </c>
      <c r="BH88" s="92">
        <f>IF(Table645[[#This Row],[Column59]]="--",0,Table645[[#This Row],[Column4]]*Table645[[#This Row],[Column59]])</f>
        <v>0</v>
      </c>
      <c r="BI88" s="119"/>
      <c r="BJ88" s="91" t="str">
        <f t="shared" si="15"/>
        <v>--</v>
      </c>
      <c r="BK88" s="92">
        <f>IF(Table645[[#This Row],[Column62]]="--",0,Table645[[#This Row],[Column4]]*Table645[[#This Row],[Column62]])</f>
        <v>0</v>
      </c>
      <c r="BL88" s="93"/>
      <c r="BM88" s="91" t="str">
        <f t="shared" si="47"/>
        <v>--</v>
      </c>
      <c r="BN88" s="89">
        <f>IF(Table645[[#This Row],[Column65]]="--",0,Table645[[#This Row],[Column4]]*Table645[[#This Row],[Column65]])</f>
        <v>0</v>
      </c>
      <c r="BO88" s="163"/>
      <c r="BP88" s="164" t="str">
        <f t="shared" si="48"/>
        <v>--</v>
      </c>
      <c r="BQ88" s="160">
        <f>IF(Table645[[#This Row],[Column68]]="--",0,Table645[[#This Row],[Column4]]*Table645[[#This Row],[Column68]])</f>
        <v>0</v>
      </c>
      <c r="BR88" s="94"/>
      <c r="BS88" s="91" t="str">
        <f t="shared" si="49"/>
        <v>--</v>
      </c>
      <c r="BT88" s="92">
        <f>IF(Table645[[#This Row],[Column71]]="--",0,Table645[[#This Row],[Column4]]*Table645[[#This Row],[Column71]])</f>
        <v>0</v>
      </c>
      <c r="BU88" s="44"/>
      <c r="BV88" s="90"/>
      <c r="BW88" s="91" t="str">
        <f>IF(BV88=0,"--",(Table645[[#This Row],[Column73]]*$BV$4*(IF(J88&lt;0.5001,1,IF(J88&lt;2.0001,2,3)))+BV88/$BV$3)/60/24)</f>
        <v>--</v>
      </c>
      <c r="BX88" s="92">
        <f>IF(Table645[[#This Row],[Column75]]="--",0,Table645[[#This Row],[Column4]]*Table645[[#This Row],[Column75]])</f>
        <v>0</v>
      </c>
      <c r="BY88" s="95" t="s">
        <v>70</v>
      </c>
      <c r="BZ88" s="91" t="str">
        <f>IF(Table645[[#This Row],[Column74]]=0,"--",BW88*$BY$3)</f>
        <v>--</v>
      </c>
      <c r="CA88" s="89">
        <f>IF(Table645[[#This Row],[Column78]]="--",0,Table645[[#This Row],[Column4]]*Table645[[#This Row],[Column78]])</f>
        <v>0</v>
      </c>
      <c r="CB88" s="95" t="s">
        <v>70</v>
      </c>
      <c r="CC88" s="91" t="str">
        <f>IF(Table645[[#This Row],[Column10]]+Table645[[#This Row],[Column74]]=0,"--",J88*$CB$4*$CB$5/(24*60)+IF(Table645[[#This Row],[Column74]]=0,0,$CB$3*Table645[[#This Row],[Column75]]))</f>
        <v>--</v>
      </c>
      <c r="CD88" s="92">
        <f>IF(Table645[[#This Row],[Column81]]="--",0,Table645[[#This Row],[Column4]]*Table645[[#This Row],[Column81]])</f>
        <v>0</v>
      </c>
      <c r="CE88" s="215"/>
      <c r="CF88" s="91" t="str">
        <f t="shared" si="19"/>
        <v>--</v>
      </c>
      <c r="CG88" s="92">
        <f>IF(Table645[[#This Row],[Column84]]="--",0,Table645[[#This Row],[Column4]]*Table645[[#This Row],[Column84]])</f>
        <v>0</v>
      </c>
      <c r="CH88" s="226"/>
      <c r="CI88" s="216"/>
      <c r="CJ88" s="91" t="str">
        <f>IF(CI88=0,"--",(Table645[[#This Row],[Column86]]*$CI$4*(IF(W88&lt;0.5001,1,IF(W88&lt;2.0001,2,3)))+CI88/$CI$3)/60/24)</f>
        <v>--</v>
      </c>
      <c r="CK88" s="92">
        <f>IF(Table645[[#This Row],[Column88]]="--",0,Table645[[#This Row],[Column4]]*Table645[[#This Row],[Column88]])</f>
        <v>0</v>
      </c>
      <c r="CL88" s="217"/>
      <c r="CM88" s="91" t="str">
        <f>IF(Table645[[#This Row],[Column87]]=0,"--",CJ88*$CL$3)</f>
        <v>--</v>
      </c>
      <c r="CN88" s="92">
        <f>IF(Table645[[#This Row],[Column91]]="--",0,Table645[[#This Row],[Column4]]*Table645[[#This Row],[Column91]])</f>
        <v>0</v>
      </c>
      <c r="CO88" s="217"/>
      <c r="CP88" s="91" t="str">
        <f>IF(Table645[[#This Row],[Column10]]+Table645[[#This Row],[Column87]]=0, "--", IF($D88="", 1, $D88) * IF($J88="", 1, $J88) * $CO$3 * $CO$4 * IF(Table645[[#This Row],[Column95]]="", 1, Table645[[#This Row],[Column95]]) / (24 * 60))</f>
        <v>--</v>
      </c>
      <c r="CQ88" s="164"/>
      <c r="CR88" s="92">
        <f>IF(Table645[[#This Row],[Column94]]="--",0,Table645[[#This Row],[Column4]]*Table645[[#This Row],[Column94]])</f>
        <v>0</v>
      </c>
      <c r="CS88" s="218" t="str">
        <f>IF(Table645[[#This Row],[Column87]]="","",Table645[[#This Row],[Column87]])</f>
        <v/>
      </c>
      <c r="CT88" s="91" t="str">
        <f>IF(Table645[[#This Row],[Column97]]="","--",Table645[[#This Row],[Column97]]/$CS$3/60/24)</f>
        <v>--</v>
      </c>
      <c r="CU88" s="92">
        <f>IF(Table645[[#This Row],[Column98]]="--",0,Table645[[#This Row],[Column4]]*Table645[[#This Row],[Column98]])</f>
        <v>0</v>
      </c>
      <c r="CV88" s="93"/>
      <c r="CW88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88" s="91" t="str">
        <f>IF(OR(Table645[[#This Row],[Column74]]&gt;0,Table645[[#This Row],[Column87]]&gt;0),(Table645[[#This Row],[Column73]]+Table645[[#This Row],[Column86]]+1)*$CW$3/60/24,"--")</f>
        <v>--</v>
      </c>
      <c r="CY88" s="92">
        <f>IF(Table645[[#This Row],[Column102]]="--",0,Table645[[#This Row],[Column4]]*Table645[[#This Row],[Column102]])</f>
        <v>0</v>
      </c>
      <c r="CZ88" s="158" t="str">
        <f t="shared" si="50"/>
        <v>--</v>
      </c>
      <c r="DA88" s="153"/>
      <c r="DB88" s="160">
        <f>IF(Table645[[#This Row],[Column104]]="--",0,Table645[[#This Row],[Column4]]*Table645[[#This Row],[Column104]])</f>
        <v>0</v>
      </c>
      <c r="DC88" s="219"/>
      <c r="DD88" s="220" t="str">
        <f>IF(DC88=0,"--",1/$DC$3*1000/(60*60*24)*Table645[[#This Row],[Column107]])</f>
        <v>--</v>
      </c>
      <c r="DE88" s="160">
        <f>IF(Table645[[#This Row],[Column108]]="--",0,Table645[[#This Row],[Column4]]*Table645[[#This Row],[Column108]])</f>
        <v>0</v>
      </c>
      <c r="DF88" s="101" t="s">
        <v>70</v>
      </c>
      <c r="DG88" s="91" t="str">
        <f t="shared" si="51"/>
        <v>--</v>
      </c>
      <c r="DH88" s="89">
        <f>IF(Table645[[#This Row],[Column111]]="--",0,Table645[[#This Row],[Column4]]*Table645[[#This Row],[Column111]])</f>
        <v>0</v>
      </c>
      <c r="DI88" s="96"/>
      <c r="DJ88" s="96"/>
      <c r="DK88" s="96"/>
      <c r="DL88" s="96"/>
      <c r="DM88" s="96"/>
      <c r="DN88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88" s="89">
        <f>IF(Table645[[#This Row],[Column118]]="--",0,Table645[[#This Row],[Column4]]*Table645[[#This Row],[Column118]])</f>
        <v>0</v>
      </c>
      <c r="DP88" s="96"/>
      <c r="DQ88" s="96"/>
      <c r="DR88" s="91" t="str">
        <f t="shared" si="52"/>
        <v>--</v>
      </c>
      <c r="DS88" s="89">
        <f>IF(Table645[[#This Row],[Column122]]="--",0,Table645[[#This Row],[Column4]]*Table645[[#This Row],[Column122]])</f>
        <v>0</v>
      </c>
      <c r="DT88" t="str">
        <f>IF(Table645[[#This Row],[Column125]]=0,"--",Table645[[#This Row],[Column125]]*Table645[[#This Row],[Column126]]*Table645[[#This Row],[Column127]]/1000000000)</f>
        <v>--</v>
      </c>
      <c r="DU88" s="53"/>
      <c r="DV88" s="53"/>
      <c r="DW88" s="53"/>
      <c r="DX88" s="91" t="str">
        <f t="shared" si="53"/>
        <v>--</v>
      </c>
      <c r="DY88" s="89">
        <f>IF(Table645[[#This Row],[Column128]]="--",0,Table645[[#This Row],[Column4]]*Table645[[#This Row],[Column128]])</f>
        <v>0</v>
      </c>
      <c r="EA88" s="89">
        <f>IF(Table645[[#This Row],[Column128]]="--",0,Table645[[#This Row],[Column4]]*Table645[[#This Row],[Column128]])</f>
        <v>0</v>
      </c>
      <c r="EC88" s="89">
        <f>IF(Table645[[#This Row],[Column128]]="--",0,Table645[[#This Row],[Column4]]*Table645[[#This Row],[Column128]])</f>
        <v>0</v>
      </c>
      <c r="EE88" s="89">
        <f>IF(Table645[[#This Row],[Column128]]="--",0,Table645[[#This Row],[Column4]]*Table645[[#This Row],[Column128]])</f>
        <v>0</v>
      </c>
      <c r="EG88" s="89">
        <f>IF(Table645[[#This Row],[Column128]]="--",0,Table645[[#This Row],[Column4]]*Table645[[#This Row],[Column128]])</f>
        <v>0</v>
      </c>
      <c r="EI88" s="89">
        <f>IF(Table645[[#This Row],[Column128]]="--",0,Table645[[#This Row],[Column4]]*Table645[[#This Row],[Column128]])</f>
        <v>0</v>
      </c>
    </row>
    <row r="89" spans="1:139" x14ac:dyDescent="0.25">
      <c r="A89" s="140"/>
      <c r="B89" s="79"/>
      <c r="C89" s="140"/>
      <c r="D89" s="167"/>
      <c r="E89" s="52"/>
      <c r="F89" s="81"/>
      <c r="G89" s="81"/>
      <c r="H89" s="102" t="str">
        <f t="shared" ref="H89:H103" si="74">IF(E89&gt;0,E89*F89*G89/1000000*8*(1+$H$4),"--")</f>
        <v>--</v>
      </c>
      <c r="I89" s="100">
        <f>IF(Table645[[#This Row],[Column8]]="--",0,Table645[[#This Row],[Column4]]*Table645[[#This Row],[Column8]])</f>
        <v>0</v>
      </c>
      <c r="J89" s="169"/>
      <c r="K89" s="85">
        <f>Table645[[#This Row],[Column4]]*Table645[[#This Row],[Column10]]</f>
        <v>0</v>
      </c>
      <c r="L89" s="170" t="str">
        <f t="shared" ref="L89:L103" si="75">IF(J89=0,"--",J89/$J$3)</f>
        <v>--</v>
      </c>
      <c r="M89" s="214">
        <f>IF(Table645[[#This Row],[Column10]]=0,0,Table645[[#This Row],[Column4]]*Table645[[#This Row],[Column12]])</f>
        <v>0</v>
      </c>
      <c r="N89" s="87" t="str">
        <f t="shared" ref="N89:N103" si="76">IF(SUM(Q89:AX89)=0,"--",(Q89/$Q$4+T89/$T$4+W89/$W$4+Z89/$Z$4+AC89/$AC$4+AF89/$AF$4+AI89/$AI$4+AL89/$AL$4+AO89/$AO$4+AR89/$AR$4+AU89/$AU$4+AX89/$AX$4)/60/24)</f>
        <v>--</v>
      </c>
      <c r="O89" s="138"/>
      <c r="AZ89" s="89">
        <f>IF(Table645[[#This Row],[Column14]]="--",0,Table645[[#This Row],[Column4]]*Table645[[#This Row],[Column14]])</f>
        <v>0</v>
      </c>
      <c r="BA89" s="90"/>
      <c r="BB89" s="91" t="str">
        <f>IF(BA89=0,"--",BA89*$BA$3*IF(Table645[[#This Row],[Column5]]&lt;4.1,1,2)/60/24)</f>
        <v>--</v>
      </c>
      <c r="BC89" s="92">
        <f>IF(Table645[[#This Row],[Column54]]="--",0,Table645[[#This Row],[Column4]]*Table645[[#This Row],[Column54]])</f>
        <v>0</v>
      </c>
      <c r="BD89" s="119"/>
      <c r="BE89" s="119"/>
      <c r="BF89" s="119"/>
      <c r="BG89" s="91" t="str">
        <f>IF(BD89+Table645[[#This Row],[Column58]]=0,"--",(BD89*$BF$3*Table645[[#This Row],[Column57]]+Table645[[#This Row],[Column58]]*$BF$4)/60/24)</f>
        <v>--</v>
      </c>
      <c r="BH89" s="92">
        <f>IF(Table645[[#This Row],[Column59]]="--",0,Table645[[#This Row],[Column4]]*Table645[[#This Row],[Column59]])</f>
        <v>0</v>
      </c>
      <c r="BI89" s="119"/>
      <c r="BJ89" s="91" t="str">
        <f t="shared" si="15"/>
        <v>--</v>
      </c>
      <c r="BK89" s="92">
        <f>IF(Table645[[#This Row],[Column62]]="--",0,Table645[[#This Row],[Column4]]*Table645[[#This Row],[Column62]])</f>
        <v>0</v>
      </c>
      <c r="BL89" s="93"/>
      <c r="BM89" s="91" t="str">
        <f t="shared" ref="BM89:BM103" si="77">IF(BL89=0,"--",BL89*$BL$3/60/60/24)</f>
        <v>--</v>
      </c>
      <c r="BN89" s="89">
        <f>IF(Table645[[#This Row],[Column65]]="--",0,Table645[[#This Row],[Column4]]*Table645[[#This Row],[Column65]])</f>
        <v>0</v>
      </c>
      <c r="BO89" s="163"/>
      <c r="BP89" s="164" t="str">
        <f t="shared" ref="BP89:BP103" si="78">IF(BO89=0,"--",BO89*$BO$3/60/60/24)</f>
        <v>--</v>
      </c>
      <c r="BQ89" s="160">
        <f>IF(Table645[[#This Row],[Column68]]="--",0,Table645[[#This Row],[Column4]]*Table645[[#This Row],[Column68]])</f>
        <v>0</v>
      </c>
      <c r="BR89" s="94"/>
      <c r="BS89" s="91" t="str">
        <f t="shared" ref="BS89:BS103" si="79">IF(BR89=0,"--",BR89*$BR$3/60/60/24)</f>
        <v>--</v>
      </c>
      <c r="BT89" s="92">
        <f>IF(Table645[[#This Row],[Column71]]="--",0,Table645[[#This Row],[Column4]]*Table645[[#This Row],[Column71]])</f>
        <v>0</v>
      </c>
      <c r="BU89" s="44"/>
      <c r="BV89" s="90"/>
      <c r="BW89" s="91" t="str">
        <f>IF(BV89=0,"--",(Table645[[#This Row],[Column73]]*$BV$4*(IF(J89&lt;0.5001,1,IF(J89&lt;2.0001,2,3)))+BV89/$BV$3)/60/24)</f>
        <v>--</v>
      </c>
      <c r="BX89" s="92">
        <f>IF(Table645[[#This Row],[Column75]]="--",0,Table645[[#This Row],[Column4]]*Table645[[#This Row],[Column75]])</f>
        <v>0</v>
      </c>
      <c r="BY89" s="95" t="s">
        <v>70</v>
      </c>
      <c r="BZ89" s="91" t="str">
        <f>IF(Table645[[#This Row],[Column74]]=0,"--",BW89*$BY$3)</f>
        <v>--</v>
      </c>
      <c r="CA89" s="89">
        <f>IF(Table645[[#This Row],[Column78]]="--",0,Table645[[#This Row],[Column4]]*Table645[[#This Row],[Column78]])</f>
        <v>0</v>
      </c>
      <c r="CB89" s="95" t="s">
        <v>70</v>
      </c>
      <c r="CC89" s="91" t="str">
        <f>IF(Table645[[#This Row],[Column10]]+Table645[[#This Row],[Column74]]=0,"--",J89*$CB$4*$CB$5/(24*60)+IF(Table645[[#This Row],[Column74]]=0,0,$CB$3*Table645[[#This Row],[Column75]]))</f>
        <v>--</v>
      </c>
      <c r="CD89" s="92">
        <f>IF(Table645[[#This Row],[Column81]]="--",0,Table645[[#This Row],[Column4]]*Table645[[#This Row],[Column81]])</f>
        <v>0</v>
      </c>
      <c r="CE89" s="215"/>
      <c r="CF89" s="91" t="str">
        <f t="shared" si="19"/>
        <v>--</v>
      </c>
      <c r="CG89" s="92">
        <f>IF(Table645[[#This Row],[Column84]]="--",0,Table645[[#This Row],[Column4]]*Table645[[#This Row],[Column84]])</f>
        <v>0</v>
      </c>
      <c r="CH89" s="226"/>
      <c r="CI89" s="216"/>
      <c r="CJ89" s="91" t="str">
        <f>IF(CI89=0,"--",(Table645[[#This Row],[Column86]]*$CI$4*(IF(W89&lt;0.5001,1,IF(W89&lt;2.0001,2,3)))+CI89/$CI$3)/60/24)</f>
        <v>--</v>
      </c>
      <c r="CK89" s="92">
        <f>IF(Table645[[#This Row],[Column88]]="--",0,Table645[[#This Row],[Column4]]*Table645[[#This Row],[Column88]])</f>
        <v>0</v>
      </c>
      <c r="CL89" s="217"/>
      <c r="CM89" s="91" t="str">
        <f>IF(Table645[[#This Row],[Column87]]=0,"--",CJ89*$CL$3)</f>
        <v>--</v>
      </c>
      <c r="CN89" s="92">
        <f>IF(Table645[[#This Row],[Column91]]="--",0,Table645[[#This Row],[Column4]]*Table645[[#This Row],[Column91]])</f>
        <v>0</v>
      </c>
      <c r="CO89" s="217"/>
      <c r="CP89" s="91" t="str">
        <f>IF(Table645[[#This Row],[Column10]]+Table645[[#This Row],[Column87]]=0, "--", IF($D89="", 1, $D89) * IF($J89="", 1, $J89) * $CO$3 * $CO$4 * IF(Table645[[#This Row],[Column95]]="", 1, Table645[[#This Row],[Column95]]) / (24 * 60))</f>
        <v>--</v>
      </c>
      <c r="CQ89" s="164"/>
      <c r="CR89" s="92">
        <f>IF(Table645[[#This Row],[Column94]]="--",0,Table645[[#This Row],[Column4]]*Table645[[#This Row],[Column94]])</f>
        <v>0</v>
      </c>
      <c r="CS89" s="218" t="str">
        <f>IF(Table645[[#This Row],[Column87]]="","",Table645[[#This Row],[Column87]])</f>
        <v/>
      </c>
      <c r="CT89" s="91" t="str">
        <f>IF(Table645[[#This Row],[Column97]]="","--",Table645[[#This Row],[Column97]]/$CS$3/60/24)</f>
        <v>--</v>
      </c>
      <c r="CU89" s="92">
        <f>IF(Table645[[#This Row],[Column98]]="--",0,Table645[[#This Row],[Column4]]*Table645[[#This Row],[Column98]])</f>
        <v>0</v>
      </c>
      <c r="CV89" s="93"/>
      <c r="CW89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89" s="91" t="str">
        <f>IF(OR(Table645[[#This Row],[Column74]]&gt;0,Table645[[#This Row],[Column87]]&gt;0),(Table645[[#This Row],[Column73]]+Table645[[#This Row],[Column86]]+1)*$CW$3/60/24,"--")</f>
        <v>--</v>
      </c>
      <c r="CY89" s="92">
        <f>IF(Table645[[#This Row],[Column102]]="--",0,Table645[[#This Row],[Column4]]*Table645[[#This Row],[Column102]])</f>
        <v>0</v>
      </c>
      <c r="CZ89" s="158" t="str">
        <f t="shared" ref="CZ89:CZ103" si="80">IF(J89=0,"--",J89/$CZ$3/(24)*DA89)</f>
        <v>--</v>
      </c>
      <c r="DA89" s="153"/>
      <c r="DB89" s="160">
        <f>IF(Table645[[#This Row],[Column104]]="--",0,Table645[[#This Row],[Column4]]*Table645[[#This Row],[Column104]])</f>
        <v>0</v>
      </c>
      <c r="DC89" s="219"/>
      <c r="DD89" s="220" t="str">
        <f>IF(DC89=0,"--",1/$DC$3*1000/(60*60*24)*Table645[[#This Row],[Column107]])</f>
        <v>--</v>
      </c>
      <c r="DE89" s="160">
        <f>IF(Table645[[#This Row],[Column108]]="--",0,Table645[[#This Row],[Column4]]*Table645[[#This Row],[Column108]])</f>
        <v>0</v>
      </c>
      <c r="DF89" s="101" t="s">
        <v>70</v>
      </c>
      <c r="DG89" s="91" t="str">
        <f t="shared" ref="DG89:DG103" si="81">IF(DA89=0,"--",(J89*$DF$3)/60/24)</f>
        <v>--</v>
      </c>
      <c r="DH89" s="89">
        <f>IF(Table645[[#This Row],[Column111]]="--",0,Table645[[#This Row],[Column4]]*Table645[[#This Row],[Column111]])</f>
        <v>0</v>
      </c>
      <c r="DI89" s="96"/>
      <c r="DJ89" s="96"/>
      <c r="DK89" s="96"/>
      <c r="DL89" s="96"/>
      <c r="DM89" s="96"/>
      <c r="DN89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89" s="89">
        <f>IF(Table645[[#This Row],[Column118]]="--",0,Table645[[#This Row],[Column4]]*Table645[[#This Row],[Column118]])</f>
        <v>0</v>
      </c>
      <c r="DP89" s="96"/>
      <c r="DQ89" s="96"/>
      <c r="DR89" s="91" t="str">
        <f t="shared" ref="DR89:DR103" si="82">IF(DP89+DQ89&gt;0,(DP89*$DQ$3+DQ89*$DQ$4)/60/24,IF(DN89="--","--",(DP89*$DQ$3+DQ89*$DQ$4)/60/24))</f>
        <v>--</v>
      </c>
      <c r="DS89" s="89">
        <f>IF(Table645[[#This Row],[Column122]]="--",0,Table645[[#This Row],[Column4]]*Table645[[#This Row],[Column122]])</f>
        <v>0</v>
      </c>
      <c r="DT89" t="str">
        <f>IF(Table645[[#This Row],[Column125]]=0,"--",Table645[[#This Row],[Column125]]*Table645[[#This Row],[Column126]]*Table645[[#This Row],[Column127]]/1000000000)</f>
        <v>--</v>
      </c>
      <c r="DU89" s="53"/>
      <c r="DV89" s="53"/>
      <c r="DW89" s="53"/>
      <c r="DX89" s="91" t="str">
        <f t="shared" ref="DX89:DX103" si="83">IF(DT89="--","--",(1+DT89*$DT$3)/60/24)</f>
        <v>--</v>
      </c>
      <c r="DY89" s="89">
        <f>IF(Table645[[#This Row],[Column128]]="--",0,Table645[[#This Row],[Column4]]*Table645[[#This Row],[Column128]])</f>
        <v>0</v>
      </c>
      <c r="EA89" s="89">
        <f>IF(Table645[[#This Row],[Column128]]="--",0,Table645[[#This Row],[Column4]]*Table645[[#This Row],[Column128]])</f>
        <v>0</v>
      </c>
      <c r="EC89" s="89">
        <f>IF(Table645[[#This Row],[Column128]]="--",0,Table645[[#This Row],[Column4]]*Table645[[#This Row],[Column128]])</f>
        <v>0</v>
      </c>
      <c r="EE89" s="89">
        <f>IF(Table645[[#This Row],[Column128]]="--",0,Table645[[#This Row],[Column4]]*Table645[[#This Row],[Column128]])</f>
        <v>0</v>
      </c>
      <c r="EG89" s="89">
        <f>IF(Table645[[#This Row],[Column128]]="--",0,Table645[[#This Row],[Column4]]*Table645[[#This Row],[Column128]])</f>
        <v>0</v>
      </c>
      <c r="EI89" s="89">
        <f>IF(Table645[[#This Row],[Column128]]="--",0,Table645[[#This Row],[Column4]]*Table645[[#This Row],[Column128]])</f>
        <v>0</v>
      </c>
    </row>
    <row r="90" spans="1:139" x14ac:dyDescent="0.25">
      <c r="A90" s="140"/>
      <c r="B90" s="79"/>
      <c r="C90" s="140"/>
      <c r="D90" s="167"/>
      <c r="E90" s="52"/>
      <c r="F90" s="81"/>
      <c r="G90" s="81"/>
      <c r="H90" s="102" t="str">
        <f t="shared" si="74"/>
        <v>--</v>
      </c>
      <c r="I90" s="100">
        <f>IF(Table645[[#This Row],[Column8]]="--",0,Table645[[#This Row],[Column4]]*Table645[[#This Row],[Column8]])</f>
        <v>0</v>
      </c>
      <c r="J90" s="169"/>
      <c r="K90" s="85">
        <f>Table645[[#This Row],[Column4]]*Table645[[#This Row],[Column10]]</f>
        <v>0</v>
      </c>
      <c r="L90" s="170" t="str">
        <f t="shared" si="75"/>
        <v>--</v>
      </c>
      <c r="M90" s="214">
        <f>IF(Table645[[#This Row],[Column10]]=0,0,Table645[[#This Row],[Column4]]*Table645[[#This Row],[Column12]])</f>
        <v>0</v>
      </c>
      <c r="N90" s="87" t="str">
        <f t="shared" si="76"/>
        <v>--</v>
      </c>
      <c r="O90" s="138"/>
      <c r="AZ90" s="89">
        <f>IF(Table645[[#This Row],[Column14]]="--",0,Table645[[#This Row],[Column4]]*Table645[[#This Row],[Column14]])</f>
        <v>0</v>
      </c>
      <c r="BA90" s="90"/>
      <c r="BB90" s="91" t="str">
        <f>IF(BA90=0,"--",BA90*$BA$3*IF(Table645[[#This Row],[Column5]]&lt;4.1,1,2)/60/24)</f>
        <v>--</v>
      </c>
      <c r="BC90" s="92">
        <f>IF(Table645[[#This Row],[Column54]]="--",0,Table645[[#This Row],[Column4]]*Table645[[#This Row],[Column54]])</f>
        <v>0</v>
      </c>
      <c r="BD90" s="119"/>
      <c r="BE90" s="119"/>
      <c r="BF90" s="119"/>
      <c r="BG90" s="91" t="str">
        <f>IF(BD90+Table645[[#This Row],[Column58]]=0,"--",(BD90*$BF$3*Table645[[#This Row],[Column57]]+Table645[[#This Row],[Column58]]*$BF$4)/60/24)</f>
        <v>--</v>
      </c>
      <c r="BH90" s="92">
        <f>IF(Table645[[#This Row],[Column59]]="--",0,Table645[[#This Row],[Column4]]*Table645[[#This Row],[Column59]])</f>
        <v>0</v>
      </c>
      <c r="BI90" s="119"/>
      <c r="BJ90" s="91" t="str">
        <f t="shared" si="15"/>
        <v>--</v>
      </c>
      <c r="BK90" s="92">
        <f>IF(Table645[[#This Row],[Column62]]="--",0,Table645[[#This Row],[Column4]]*Table645[[#This Row],[Column62]])</f>
        <v>0</v>
      </c>
      <c r="BL90" s="93"/>
      <c r="BM90" s="91" t="str">
        <f t="shared" si="77"/>
        <v>--</v>
      </c>
      <c r="BN90" s="89">
        <f>IF(Table645[[#This Row],[Column65]]="--",0,Table645[[#This Row],[Column4]]*Table645[[#This Row],[Column65]])</f>
        <v>0</v>
      </c>
      <c r="BO90" s="163"/>
      <c r="BP90" s="164" t="str">
        <f t="shared" si="78"/>
        <v>--</v>
      </c>
      <c r="BQ90" s="160">
        <f>IF(Table645[[#This Row],[Column68]]="--",0,Table645[[#This Row],[Column4]]*Table645[[#This Row],[Column68]])</f>
        <v>0</v>
      </c>
      <c r="BR90" s="94"/>
      <c r="BS90" s="91" t="str">
        <f t="shared" si="79"/>
        <v>--</v>
      </c>
      <c r="BT90" s="92">
        <f>IF(Table645[[#This Row],[Column71]]="--",0,Table645[[#This Row],[Column4]]*Table645[[#This Row],[Column71]])</f>
        <v>0</v>
      </c>
      <c r="BU90" s="44"/>
      <c r="BV90" s="90"/>
      <c r="BW90" s="91" t="str">
        <f>IF(BV90=0,"--",(Table645[[#This Row],[Column73]]*$BV$4*(IF(J90&lt;0.5001,1,IF(J90&lt;2.0001,2,3)))+BV90/$BV$3)/60/24)</f>
        <v>--</v>
      </c>
      <c r="BX90" s="92">
        <f>IF(Table645[[#This Row],[Column75]]="--",0,Table645[[#This Row],[Column4]]*Table645[[#This Row],[Column75]])</f>
        <v>0</v>
      </c>
      <c r="BY90" s="95" t="s">
        <v>70</v>
      </c>
      <c r="BZ90" s="91" t="str">
        <f>IF(Table645[[#This Row],[Column74]]=0,"--",BW90*$BY$3)</f>
        <v>--</v>
      </c>
      <c r="CA90" s="89">
        <f>IF(Table645[[#This Row],[Column78]]="--",0,Table645[[#This Row],[Column4]]*Table645[[#This Row],[Column78]])</f>
        <v>0</v>
      </c>
      <c r="CB90" s="95" t="s">
        <v>70</v>
      </c>
      <c r="CC90" s="91" t="str">
        <f>IF(Table645[[#This Row],[Column10]]+Table645[[#This Row],[Column74]]=0,"--",J90*$CB$4*$CB$5/(24*60)+IF(Table645[[#This Row],[Column74]]=0,0,$CB$3*Table645[[#This Row],[Column75]]))</f>
        <v>--</v>
      </c>
      <c r="CD90" s="92">
        <f>IF(Table645[[#This Row],[Column81]]="--",0,Table645[[#This Row],[Column4]]*Table645[[#This Row],[Column81]])</f>
        <v>0</v>
      </c>
      <c r="CE90" s="215"/>
      <c r="CF90" s="91" t="str">
        <f t="shared" si="19"/>
        <v>--</v>
      </c>
      <c r="CG90" s="92">
        <f>IF(Table645[[#This Row],[Column84]]="--",0,Table645[[#This Row],[Column4]]*Table645[[#This Row],[Column84]])</f>
        <v>0</v>
      </c>
      <c r="CH90" s="226"/>
      <c r="CI90" s="216"/>
      <c r="CJ90" s="91" t="str">
        <f>IF(CI90=0,"--",(Table645[[#This Row],[Column86]]*$CI$4*(IF(W90&lt;0.5001,1,IF(W90&lt;2.0001,2,3)))+CI90/$CI$3)/60/24)</f>
        <v>--</v>
      </c>
      <c r="CK90" s="92">
        <f>IF(Table645[[#This Row],[Column88]]="--",0,Table645[[#This Row],[Column4]]*Table645[[#This Row],[Column88]])</f>
        <v>0</v>
      </c>
      <c r="CL90" s="217"/>
      <c r="CM90" s="91" t="str">
        <f>IF(Table645[[#This Row],[Column87]]=0,"--",CJ90*$CL$3)</f>
        <v>--</v>
      </c>
      <c r="CN90" s="92">
        <f>IF(Table645[[#This Row],[Column91]]="--",0,Table645[[#This Row],[Column4]]*Table645[[#This Row],[Column91]])</f>
        <v>0</v>
      </c>
      <c r="CO90" s="217"/>
      <c r="CP90" s="91" t="str">
        <f>IF(Table645[[#This Row],[Column10]]+Table645[[#This Row],[Column87]]=0, "--", IF($D90="", 1, $D90) * IF($J90="", 1, $J90) * $CO$3 * $CO$4 * IF(Table645[[#This Row],[Column95]]="", 1, Table645[[#This Row],[Column95]]) / (24 * 60))</f>
        <v>--</v>
      </c>
      <c r="CQ90" s="164"/>
      <c r="CR90" s="92">
        <f>IF(Table645[[#This Row],[Column94]]="--",0,Table645[[#This Row],[Column4]]*Table645[[#This Row],[Column94]])</f>
        <v>0</v>
      </c>
      <c r="CS90" s="218" t="str">
        <f>IF(Table645[[#This Row],[Column87]]="","",Table645[[#This Row],[Column87]])</f>
        <v/>
      </c>
      <c r="CT90" s="91" t="str">
        <f>IF(Table645[[#This Row],[Column97]]="","--",Table645[[#This Row],[Column97]]/$CS$3/60/24)</f>
        <v>--</v>
      </c>
      <c r="CU90" s="92">
        <f>IF(Table645[[#This Row],[Column98]]="--",0,Table645[[#This Row],[Column4]]*Table645[[#This Row],[Column98]])</f>
        <v>0</v>
      </c>
      <c r="CV90" s="93"/>
      <c r="CW90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90" s="91" t="str">
        <f>IF(OR(Table645[[#This Row],[Column74]]&gt;0,Table645[[#This Row],[Column87]]&gt;0),(Table645[[#This Row],[Column73]]+Table645[[#This Row],[Column86]]+1)*$CW$3/60/24,"--")</f>
        <v>--</v>
      </c>
      <c r="CY90" s="92">
        <f>IF(Table645[[#This Row],[Column102]]="--",0,Table645[[#This Row],[Column4]]*Table645[[#This Row],[Column102]])</f>
        <v>0</v>
      </c>
      <c r="CZ90" s="158" t="str">
        <f t="shared" si="80"/>
        <v>--</v>
      </c>
      <c r="DA90" s="153"/>
      <c r="DB90" s="160">
        <f>IF(Table645[[#This Row],[Column104]]="--",0,Table645[[#This Row],[Column4]]*Table645[[#This Row],[Column104]])</f>
        <v>0</v>
      </c>
      <c r="DC90" s="219"/>
      <c r="DD90" s="220" t="str">
        <f>IF(DC90=0,"--",1/$DC$3*1000/(60*60*24)*Table645[[#This Row],[Column107]])</f>
        <v>--</v>
      </c>
      <c r="DE90" s="160">
        <f>IF(Table645[[#This Row],[Column108]]="--",0,Table645[[#This Row],[Column4]]*Table645[[#This Row],[Column108]])</f>
        <v>0</v>
      </c>
      <c r="DF90" s="101" t="s">
        <v>70</v>
      </c>
      <c r="DG90" s="91" t="str">
        <f t="shared" si="81"/>
        <v>--</v>
      </c>
      <c r="DH90" s="89">
        <f>IF(Table645[[#This Row],[Column111]]="--",0,Table645[[#This Row],[Column4]]*Table645[[#This Row],[Column111]])</f>
        <v>0</v>
      </c>
      <c r="DI90" s="96"/>
      <c r="DJ90" s="96"/>
      <c r="DK90" s="96"/>
      <c r="DL90" s="96"/>
      <c r="DM90" s="96"/>
      <c r="DN90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90" s="89">
        <f>IF(Table645[[#This Row],[Column118]]="--",0,Table645[[#This Row],[Column4]]*Table645[[#This Row],[Column118]])</f>
        <v>0</v>
      </c>
      <c r="DP90" s="96"/>
      <c r="DQ90" s="96"/>
      <c r="DR90" s="91" t="str">
        <f t="shared" si="82"/>
        <v>--</v>
      </c>
      <c r="DS90" s="89">
        <f>IF(Table645[[#This Row],[Column122]]="--",0,Table645[[#This Row],[Column4]]*Table645[[#This Row],[Column122]])</f>
        <v>0</v>
      </c>
      <c r="DT90" t="str">
        <f>IF(Table645[[#This Row],[Column125]]=0,"--",Table645[[#This Row],[Column125]]*Table645[[#This Row],[Column126]]*Table645[[#This Row],[Column127]]/1000000000)</f>
        <v>--</v>
      </c>
      <c r="DU90" s="53"/>
      <c r="DV90" s="53"/>
      <c r="DW90" s="53"/>
      <c r="DX90" s="91" t="str">
        <f t="shared" si="83"/>
        <v>--</v>
      </c>
      <c r="DY90" s="89">
        <f>IF(Table645[[#This Row],[Column128]]="--",0,Table645[[#This Row],[Column4]]*Table645[[#This Row],[Column128]])</f>
        <v>0</v>
      </c>
      <c r="EA90" s="89">
        <f>IF(Table645[[#This Row],[Column128]]="--",0,Table645[[#This Row],[Column4]]*Table645[[#This Row],[Column128]])</f>
        <v>0</v>
      </c>
      <c r="EC90" s="89">
        <f>IF(Table645[[#This Row],[Column128]]="--",0,Table645[[#This Row],[Column4]]*Table645[[#This Row],[Column128]])</f>
        <v>0</v>
      </c>
      <c r="EE90" s="89">
        <f>IF(Table645[[#This Row],[Column128]]="--",0,Table645[[#This Row],[Column4]]*Table645[[#This Row],[Column128]])</f>
        <v>0</v>
      </c>
      <c r="EG90" s="89">
        <f>IF(Table645[[#This Row],[Column128]]="--",0,Table645[[#This Row],[Column4]]*Table645[[#This Row],[Column128]])</f>
        <v>0</v>
      </c>
      <c r="EI90" s="89">
        <f>IF(Table645[[#This Row],[Column128]]="--",0,Table645[[#This Row],[Column4]]*Table645[[#This Row],[Column128]])</f>
        <v>0</v>
      </c>
    </row>
    <row r="91" spans="1:139" x14ac:dyDescent="0.25">
      <c r="A91" s="140"/>
      <c r="B91" s="79"/>
      <c r="C91" s="140"/>
      <c r="D91" s="167"/>
      <c r="E91" s="52"/>
      <c r="F91" s="81"/>
      <c r="G91" s="81"/>
      <c r="H91" s="102" t="str">
        <f t="shared" si="74"/>
        <v>--</v>
      </c>
      <c r="I91" s="100">
        <f>IF(Table645[[#This Row],[Column8]]="--",0,Table645[[#This Row],[Column4]]*Table645[[#This Row],[Column8]])</f>
        <v>0</v>
      </c>
      <c r="J91" s="169"/>
      <c r="K91" s="85">
        <f>Table645[[#This Row],[Column4]]*Table645[[#This Row],[Column10]]</f>
        <v>0</v>
      </c>
      <c r="L91" s="170" t="str">
        <f t="shared" si="75"/>
        <v>--</v>
      </c>
      <c r="M91" s="214">
        <f>IF(Table645[[#This Row],[Column10]]=0,0,Table645[[#This Row],[Column4]]*Table645[[#This Row],[Column12]])</f>
        <v>0</v>
      </c>
      <c r="N91" s="87" t="str">
        <f t="shared" si="76"/>
        <v>--</v>
      </c>
      <c r="O91" s="138"/>
      <c r="AZ91" s="89">
        <f>IF(Table645[[#This Row],[Column14]]="--",0,Table645[[#This Row],[Column4]]*Table645[[#This Row],[Column14]])</f>
        <v>0</v>
      </c>
      <c r="BA91" s="90"/>
      <c r="BB91" s="91" t="str">
        <f>IF(BA91=0,"--",BA91*$BA$3*IF(Table645[[#This Row],[Column5]]&lt;4.1,1,2)/60/24)</f>
        <v>--</v>
      </c>
      <c r="BC91" s="92">
        <f>IF(Table645[[#This Row],[Column54]]="--",0,Table645[[#This Row],[Column4]]*Table645[[#This Row],[Column54]])</f>
        <v>0</v>
      </c>
      <c r="BD91" s="119"/>
      <c r="BE91" s="119"/>
      <c r="BF91" s="119"/>
      <c r="BG91" s="91" t="str">
        <f>IF(BD91+Table645[[#This Row],[Column58]]=0,"--",(BD91*$BF$3*Table645[[#This Row],[Column57]]+Table645[[#This Row],[Column58]]*$BF$4)/60/24)</f>
        <v>--</v>
      </c>
      <c r="BH91" s="92">
        <f>IF(Table645[[#This Row],[Column59]]="--",0,Table645[[#This Row],[Column4]]*Table645[[#This Row],[Column59]])</f>
        <v>0</v>
      </c>
      <c r="BI91" s="119"/>
      <c r="BJ91" s="91" t="str">
        <f t="shared" si="15"/>
        <v>--</v>
      </c>
      <c r="BK91" s="92">
        <f>IF(Table645[[#This Row],[Column62]]="--",0,Table645[[#This Row],[Column4]]*Table645[[#This Row],[Column62]])</f>
        <v>0</v>
      </c>
      <c r="BL91" s="93"/>
      <c r="BM91" s="91" t="str">
        <f t="shared" si="77"/>
        <v>--</v>
      </c>
      <c r="BN91" s="89">
        <f>IF(Table645[[#This Row],[Column65]]="--",0,Table645[[#This Row],[Column4]]*Table645[[#This Row],[Column65]])</f>
        <v>0</v>
      </c>
      <c r="BO91" s="163"/>
      <c r="BP91" s="164" t="str">
        <f t="shared" si="78"/>
        <v>--</v>
      </c>
      <c r="BQ91" s="160">
        <f>IF(Table645[[#This Row],[Column68]]="--",0,Table645[[#This Row],[Column4]]*Table645[[#This Row],[Column68]])</f>
        <v>0</v>
      </c>
      <c r="BR91" s="94"/>
      <c r="BS91" s="91" t="str">
        <f t="shared" si="79"/>
        <v>--</v>
      </c>
      <c r="BT91" s="92">
        <f>IF(Table645[[#This Row],[Column71]]="--",0,Table645[[#This Row],[Column4]]*Table645[[#This Row],[Column71]])</f>
        <v>0</v>
      </c>
      <c r="BU91" s="44"/>
      <c r="BV91" s="90"/>
      <c r="BW91" s="91" t="str">
        <f>IF(BV91=0,"--",(Table645[[#This Row],[Column73]]*$BV$4*(IF(J91&lt;0.5001,1,IF(J91&lt;2.0001,2,3)))+BV91/$BV$3)/60/24)</f>
        <v>--</v>
      </c>
      <c r="BX91" s="92">
        <f>IF(Table645[[#This Row],[Column75]]="--",0,Table645[[#This Row],[Column4]]*Table645[[#This Row],[Column75]])</f>
        <v>0</v>
      </c>
      <c r="BY91" s="95" t="s">
        <v>70</v>
      </c>
      <c r="BZ91" s="91" t="str">
        <f>IF(Table645[[#This Row],[Column74]]=0,"--",BW91*$BY$3)</f>
        <v>--</v>
      </c>
      <c r="CA91" s="89">
        <f>IF(Table645[[#This Row],[Column78]]="--",0,Table645[[#This Row],[Column4]]*Table645[[#This Row],[Column78]])</f>
        <v>0</v>
      </c>
      <c r="CB91" s="95" t="s">
        <v>70</v>
      </c>
      <c r="CC91" s="91" t="str">
        <f>IF(Table645[[#This Row],[Column10]]+Table645[[#This Row],[Column74]]=0,"--",J91*$CB$4*$CB$5/(24*60)+IF(Table645[[#This Row],[Column74]]=0,0,$CB$3*Table645[[#This Row],[Column75]]))</f>
        <v>--</v>
      </c>
      <c r="CD91" s="92">
        <f>IF(Table645[[#This Row],[Column81]]="--",0,Table645[[#This Row],[Column4]]*Table645[[#This Row],[Column81]])</f>
        <v>0</v>
      </c>
      <c r="CE91" s="215"/>
      <c r="CF91" s="91" t="str">
        <f t="shared" si="19"/>
        <v>--</v>
      </c>
      <c r="CG91" s="92">
        <f>IF(Table645[[#This Row],[Column84]]="--",0,Table645[[#This Row],[Column4]]*Table645[[#This Row],[Column84]])</f>
        <v>0</v>
      </c>
      <c r="CH91" s="226"/>
      <c r="CI91" s="216"/>
      <c r="CJ91" s="91" t="str">
        <f>IF(CI91=0,"--",(Table645[[#This Row],[Column86]]*$CI$4*(IF(W91&lt;0.5001,1,IF(W91&lt;2.0001,2,3)))+CI91/$CI$3)/60/24)</f>
        <v>--</v>
      </c>
      <c r="CK91" s="92">
        <f>IF(Table645[[#This Row],[Column88]]="--",0,Table645[[#This Row],[Column4]]*Table645[[#This Row],[Column88]])</f>
        <v>0</v>
      </c>
      <c r="CL91" s="217"/>
      <c r="CM91" s="91" t="str">
        <f>IF(Table645[[#This Row],[Column87]]=0,"--",CJ91*$CL$3)</f>
        <v>--</v>
      </c>
      <c r="CN91" s="92">
        <f>IF(Table645[[#This Row],[Column91]]="--",0,Table645[[#This Row],[Column4]]*Table645[[#This Row],[Column91]])</f>
        <v>0</v>
      </c>
      <c r="CO91" s="217"/>
      <c r="CP91" s="91" t="str">
        <f>IF(Table645[[#This Row],[Column10]]+Table645[[#This Row],[Column87]]=0, "--", IF($D91="", 1, $D91) * IF($J91="", 1, $J91) * $CO$3 * $CO$4 * IF(Table645[[#This Row],[Column95]]="", 1, Table645[[#This Row],[Column95]]) / (24 * 60))</f>
        <v>--</v>
      </c>
      <c r="CQ91" s="164"/>
      <c r="CR91" s="92">
        <f>IF(Table645[[#This Row],[Column94]]="--",0,Table645[[#This Row],[Column4]]*Table645[[#This Row],[Column94]])</f>
        <v>0</v>
      </c>
      <c r="CS91" s="218" t="str">
        <f>IF(Table645[[#This Row],[Column87]]="","",Table645[[#This Row],[Column87]])</f>
        <v/>
      </c>
      <c r="CT91" s="91" t="str">
        <f>IF(Table645[[#This Row],[Column97]]="","--",Table645[[#This Row],[Column97]]/$CS$3/60/24)</f>
        <v>--</v>
      </c>
      <c r="CU91" s="92">
        <f>IF(Table645[[#This Row],[Column98]]="--",0,Table645[[#This Row],[Column4]]*Table645[[#This Row],[Column98]])</f>
        <v>0</v>
      </c>
      <c r="CV91" s="93"/>
      <c r="CW91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91" s="91" t="str">
        <f>IF(OR(Table645[[#This Row],[Column74]]&gt;0,Table645[[#This Row],[Column87]]&gt;0),(Table645[[#This Row],[Column73]]+Table645[[#This Row],[Column86]]+1)*$CW$3/60/24,"--")</f>
        <v>--</v>
      </c>
      <c r="CY91" s="92">
        <f>IF(Table645[[#This Row],[Column102]]="--",0,Table645[[#This Row],[Column4]]*Table645[[#This Row],[Column102]])</f>
        <v>0</v>
      </c>
      <c r="CZ91" s="158" t="str">
        <f t="shared" si="80"/>
        <v>--</v>
      </c>
      <c r="DA91" s="153"/>
      <c r="DB91" s="160">
        <f>IF(Table645[[#This Row],[Column104]]="--",0,Table645[[#This Row],[Column4]]*Table645[[#This Row],[Column104]])</f>
        <v>0</v>
      </c>
      <c r="DC91" s="219"/>
      <c r="DD91" s="220" t="str">
        <f>IF(DC91=0,"--",1/$DC$3*1000/(60*60*24)*Table645[[#This Row],[Column107]])</f>
        <v>--</v>
      </c>
      <c r="DE91" s="160">
        <f>IF(Table645[[#This Row],[Column108]]="--",0,Table645[[#This Row],[Column4]]*Table645[[#This Row],[Column108]])</f>
        <v>0</v>
      </c>
      <c r="DF91" s="101" t="s">
        <v>70</v>
      </c>
      <c r="DG91" s="91" t="str">
        <f t="shared" si="81"/>
        <v>--</v>
      </c>
      <c r="DH91" s="89">
        <f>IF(Table645[[#This Row],[Column111]]="--",0,Table645[[#This Row],[Column4]]*Table645[[#This Row],[Column111]])</f>
        <v>0</v>
      </c>
      <c r="DI91" s="96"/>
      <c r="DJ91" s="96"/>
      <c r="DK91" s="96"/>
      <c r="DL91" s="96"/>
      <c r="DM91" s="96"/>
      <c r="DN91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91" s="89">
        <f>IF(Table645[[#This Row],[Column118]]="--",0,Table645[[#This Row],[Column4]]*Table645[[#This Row],[Column118]])</f>
        <v>0</v>
      </c>
      <c r="DP91" s="96"/>
      <c r="DQ91" s="96"/>
      <c r="DR91" s="91" t="str">
        <f t="shared" si="82"/>
        <v>--</v>
      </c>
      <c r="DS91" s="89">
        <f>IF(Table645[[#This Row],[Column122]]="--",0,Table645[[#This Row],[Column4]]*Table645[[#This Row],[Column122]])</f>
        <v>0</v>
      </c>
      <c r="DT91" t="str">
        <f>IF(Table645[[#This Row],[Column125]]=0,"--",Table645[[#This Row],[Column125]]*Table645[[#This Row],[Column126]]*Table645[[#This Row],[Column127]]/1000000000)</f>
        <v>--</v>
      </c>
      <c r="DU91" s="53"/>
      <c r="DV91" s="53"/>
      <c r="DW91" s="53"/>
      <c r="DX91" s="91" t="str">
        <f t="shared" si="83"/>
        <v>--</v>
      </c>
      <c r="DY91" s="89">
        <f>IF(Table645[[#This Row],[Column128]]="--",0,Table645[[#This Row],[Column4]]*Table645[[#This Row],[Column128]])</f>
        <v>0</v>
      </c>
      <c r="EA91" s="89">
        <f>IF(Table645[[#This Row],[Column128]]="--",0,Table645[[#This Row],[Column4]]*Table645[[#This Row],[Column128]])</f>
        <v>0</v>
      </c>
      <c r="EC91" s="89">
        <f>IF(Table645[[#This Row],[Column128]]="--",0,Table645[[#This Row],[Column4]]*Table645[[#This Row],[Column128]])</f>
        <v>0</v>
      </c>
      <c r="EE91" s="89">
        <f>IF(Table645[[#This Row],[Column128]]="--",0,Table645[[#This Row],[Column4]]*Table645[[#This Row],[Column128]])</f>
        <v>0</v>
      </c>
      <c r="EG91" s="89">
        <f>IF(Table645[[#This Row],[Column128]]="--",0,Table645[[#This Row],[Column4]]*Table645[[#This Row],[Column128]])</f>
        <v>0</v>
      </c>
      <c r="EI91" s="89">
        <f>IF(Table645[[#This Row],[Column128]]="--",0,Table645[[#This Row],[Column4]]*Table645[[#This Row],[Column128]])</f>
        <v>0</v>
      </c>
    </row>
    <row r="92" spans="1:139" x14ac:dyDescent="0.25">
      <c r="A92" s="140"/>
      <c r="B92" s="79"/>
      <c r="C92" s="140"/>
      <c r="D92" s="167"/>
      <c r="E92" s="52"/>
      <c r="F92" s="81"/>
      <c r="G92" s="81"/>
      <c r="H92" s="102" t="str">
        <f t="shared" si="74"/>
        <v>--</v>
      </c>
      <c r="I92" s="100">
        <f>IF(Table645[[#This Row],[Column8]]="--",0,Table645[[#This Row],[Column4]]*Table645[[#This Row],[Column8]])</f>
        <v>0</v>
      </c>
      <c r="J92" s="169"/>
      <c r="K92" s="85">
        <f>Table645[[#This Row],[Column4]]*Table645[[#This Row],[Column10]]</f>
        <v>0</v>
      </c>
      <c r="L92" s="170" t="str">
        <f t="shared" si="75"/>
        <v>--</v>
      </c>
      <c r="M92" s="214">
        <f>IF(Table645[[#This Row],[Column10]]=0,0,Table645[[#This Row],[Column4]]*Table645[[#This Row],[Column12]])</f>
        <v>0</v>
      </c>
      <c r="N92" s="87" t="str">
        <f t="shared" si="76"/>
        <v>--</v>
      </c>
      <c r="O92" s="138"/>
      <c r="AZ92" s="89">
        <f>IF(Table645[[#This Row],[Column14]]="--",0,Table645[[#This Row],[Column4]]*Table645[[#This Row],[Column14]])</f>
        <v>0</v>
      </c>
      <c r="BA92" s="90"/>
      <c r="BB92" s="91" t="str">
        <f>IF(BA92=0,"--",BA92*$BA$3*IF(Table645[[#This Row],[Column5]]&lt;4.1,1,2)/60/24)</f>
        <v>--</v>
      </c>
      <c r="BC92" s="92">
        <f>IF(Table645[[#This Row],[Column54]]="--",0,Table645[[#This Row],[Column4]]*Table645[[#This Row],[Column54]])</f>
        <v>0</v>
      </c>
      <c r="BD92" s="119"/>
      <c r="BE92" s="119"/>
      <c r="BF92" s="119"/>
      <c r="BG92" s="91" t="str">
        <f>IF(BD92+Table645[[#This Row],[Column58]]=0,"--",(BD92*$BF$3*Table645[[#This Row],[Column57]]+Table645[[#This Row],[Column58]]*$BF$4)/60/24)</f>
        <v>--</v>
      </c>
      <c r="BH92" s="92">
        <f>IF(Table645[[#This Row],[Column59]]="--",0,Table645[[#This Row],[Column4]]*Table645[[#This Row],[Column59]])</f>
        <v>0</v>
      </c>
      <c r="BI92" s="119"/>
      <c r="BJ92" s="91" t="str">
        <f t="shared" si="15"/>
        <v>--</v>
      </c>
      <c r="BK92" s="92">
        <f>IF(Table645[[#This Row],[Column62]]="--",0,Table645[[#This Row],[Column4]]*Table645[[#This Row],[Column62]])</f>
        <v>0</v>
      </c>
      <c r="BL92" s="93"/>
      <c r="BM92" s="91" t="str">
        <f t="shared" si="77"/>
        <v>--</v>
      </c>
      <c r="BN92" s="89">
        <f>IF(Table645[[#This Row],[Column65]]="--",0,Table645[[#This Row],[Column4]]*Table645[[#This Row],[Column65]])</f>
        <v>0</v>
      </c>
      <c r="BO92" s="163"/>
      <c r="BP92" s="164" t="str">
        <f t="shared" si="78"/>
        <v>--</v>
      </c>
      <c r="BQ92" s="160">
        <f>IF(Table645[[#This Row],[Column68]]="--",0,Table645[[#This Row],[Column4]]*Table645[[#This Row],[Column68]])</f>
        <v>0</v>
      </c>
      <c r="BR92" s="94"/>
      <c r="BS92" s="91" t="str">
        <f t="shared" si="79"/>
        <v>--</v>
      </c>
      <c r="BT92" s="92">
        <f>IF(Table645[[#This Row],[Column71]]="--",0,Table645[[#This Row],[Column4]]*Table645[[#This Row],[Column71]])</f>
        <v>0</v>
      </c>
      <c r="BU92" s="44"/>
      <c r="BV92" s="90"/>
      <c r="BW92" s="91" t="str">
        <f>IF(BV92=0,"--",(Table645[[#This Row],[Column73]]*$BV$4*(IF(J92&lt;0.5001,1,IF(J92&lt;2.0001,2,3)))+BV92/$BV$3)/60/24)</f>
        <v>--</v>
      </c>
      <c r="BX92" s="92">
        <f>IF(Table645[[#This Row],[Column75]]="--",0,Table645[[#This Row],[Column4]]*Table645[[#This Row],[Column75]])</f>
        <v>0</v>
      </c>
      <c r="BY92" s="95" t="s">
        <v>70</v>
      </c>
      <c r="BZ92" s="91" t="str">
        <f>IF(Table645[[#This Row],[Column74]]=0,"--",BW92*$BY$3)</f>
        <v>--</v>
      </c>
      <c r="CA92" s="89">
        <f>IF(Table645[[#This Row],[Column78]]="--",0,Table645[[#This Row],[Column4]]*Table645[[#This Row],[Column78]])</f>
        <v>0</v>
      </c>
      <c r="CB92" s="95" t="s">
        <v>70</v>
      </c>
      <c r="CC92" s="91" t="str">
        <f>IF(Table645[[#This Row],[Column10]]+Table645[[#This Row],[Column74]]=0,"--",J92*$CB$4*$CB$5/(24*60)+IF(Table645[[#This Row],[Column74]]=0,0,$CB$3*Table645[[#This Row],[Column75]]))</f>
        <v>--</v>
      </c>
      <c r="CD92" s="92">
        <f>IF(Table645[[#This Row],[Column81]]="--",0,Table645[[#This Row],[Column4]]*Table645[[#This Row],[Column81]])</f>
        <v>0</v>
      </c>
      <c r="CE92" s="215"/>
      <c r="CF92" s="91" t="str">
        <f t="shared" si="19"/>
        <v>--</v>
      </c>
      <c r="CG92" s="92">
        <f>IF(Table645[[#This Row],[Column84]]="--",0,Table645[[#This Row],[Column4]]*Table645[[#This Row],[Column84]])</f>
        <v>0</v>
      </c>
      <c r="CH92" s="226"/>
      <c r="CI92" s="216"/>
      <c r="CJ92" s="91" t="str">
        <f>IF(CI92=0,"--",(Table645[[#This Row],[Column86]]*$CI$4*(IF(W92&lt;0.5001,1,IF(W92&lt;2.0001,2,3)))+CI92/$CI$3)/60/24)</f>
        <v>--</v>
      </c>
      <c r="CK92" s="92">
        <f>IF(Table645[[#This Row],[Column88]]="--",0,Table645[[#This Row],[Column4]]*Table645[[#This Row],[Column88]])</f>
        <v>0</v>
      </c>
      <c r="CL92" s="217"/>
      <c r="CM92" s="91" t="str">
        <f>IF(Table645[[#This Row],[Column87]]=0,"--",CJ92*$CL$3)</f>
        <v>--</v>
      </c>
      <c r="CN92" s="92">
        <f>IF(Table645[[#This Row],[Column91]]="--",0,Table645[[#This Row],[Column4]]*Table645[[#This Row],[Column91]])</f>
        <v>0</v>
      </c>
      <c r="CO92" s="217"/>
      <c r="CP92" s="91" t="str">
        <f>IF(Table645[[#This Row],[Column10]]+Table645[[#This Row],[Column87]]=0, "--", IF($D92="", 1, $D92) * IF($J92="", 1, $J92) * $CO$3 * $CO$4 * IF(Table645[[#This Row],[Column95]]="", 1, Table645[[#This Row],[Column95]]) / (24 * 60))</f>
        <v>--</v>
      </c>
      <c r="CQ92" s="164"/>
      <c r="CR92" s="92">
        <f>IF(Table645[[#This Row],[Column94]]="--",0,Table645[[#This Row],[Column4]]*Table645[[#This Row],[Column94]])</f>
        <v>0</v>
      </c>
      <c r="CS92" s="218" t="str">
        <f>IF(Table645[[#This Row],[Column87]]="","",Table645[[#This Row],[Column87]])</f>
        <v/>
      </c>
      <c r="CT92" s="91" t="str">
        <f>IF(Table645[[#This Row],[Column97]]="","--",Table645[[#This Row],[Column97]]/$CS$3/60/24)</f>
        <v>--</v>
      </c>
      <c r="CU92" s="92">
        <f>IF(Table645[[#This Row],[Column98]]="--",0,Table645[[#This Row],[Column4]]*Table645[[#This Row],[Column98]])</f>
        <v>0</v>
      </c>
      <c r="CV92" s="93"/>
      <c r="CW92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92" s="91" t="str">
        <f>IF(OR(Table645[[#This Row],[Column74]]&gt;0,Table645[[#This Row],[Column87]]&gt;0),(Table645[[#This Row],[Column73]]+Table645[[#This Row],[Column86]]+1)*$CW$3/60/24,"--")</f>
        <v>--</v>
      </c>
      <c r="CY92" s="92">
        <f>IF(Table645[[#This Row],[Column102]]="--",0,Table645[[#This Row],[Column4]]*Table645[[#This Row],[Column102]])</f>
        <v>0</v>
      </c>
      <c r="CZ92" s="158" t="str">
        <f t="shared" si="80"/>
        <v>--</v>
      </c>
      <c r="DA92" s="153"/>
      <c r="DB92" s="160">
        <f>IF(Table645[[#This Row],[Column104]]="--",0,Table645[[#This Row],[Column4]]*Table645[[#This Row],[Column104]])</f>
        <v>0</v>
      </c>
      <c r="DC92" s="219"/>
      <c r="DD92" s="220" t="str">
        <f>IF(DC92=0,"--",1/$DC$3*1000/(60*60*24)*Table645[[#This Row],[Column107]])</f>
        <v>--</v>
      </c>
      <c r="DE92" s="160">
        <f>IF(Table645[[#This Row],[Column108]]="--",0,Table645[[#This Row],[Column4]]*Table645[[#This Row],[Column108]])</f>
        <v>0</v>
      </c>
      <c r="DF92" s="101" t="s">
        <v>70</v>
      </c>
      <c r="DG92" s="91" t="str">
        <f t="shared" si="81"/>
        <v>--</v>
      </c>
      <c r="DH92" s="89">
        <f>IF(Table645[[#This Row],[Column111]]="--",0,Table645[[#This Row],[Column4]]*Table645[[#This Row],[Column111]])</f>
        <v>0</v>
      </c>
      <c r="DI92" s="96"/>
      <c r="DJ92" s="96"/>
      <c r="DK92" s="96"/>
      <c r="DL92" s="96"/>
      <c r="DM92" s="96"/>
      <c r="DN92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92" s="89">
        <f>IF(Table645[[#This Row],[Column118]]="--",0,Table645[[#This Row],[Column4]]*Table645[[#This Row],[Column118]])</f>
        <v>0</v>
      </c>
      <c r="DP92" s="96"/>
      <c r="DQ92" s="96"/>
      <c r="DR92" s="91" t="str">
        <f t="shared" si="82"/>
        <v>--</v>
      </c>
      <c r="DS92" s="89">
        <f>IF(Table645[[#This Row],[Column122]]="--",0,Table645[[#This Row],[Column4]]*Table645[[#This Row],[Column122]])</f>
        <v>0</v>
      </c>
      <c r="DT92" t="str">
        <f>IF(Table645[[#This Row],[Column125]]=0,"--",Table645[[#This Row],[Column125]]*Table645[[#This Row],[Column126]]*Table645[[#This Row],[Column127]]/1000000000)</f>
        <v>--</v>
      </c>
      <c r="DU92" s="53"/>
      <c r="DV92" s="53"/>
      <c r="DW92" s="53"/>
      <c r="DX92" s="91" t="str">
        <f t="shared" si="83"/>
        <v>--</v>
      </c>
      <c r="DY92" s="89">
        <f>IF(Table645[[#This Row],[Column128]]="--",0,Table645[[#This Row],[Column4]]*Table645[[#This Row],[Column128]])</f>
        <v>0</v>
      </c>
      <c r="EA92" s="89">
        <f>IF(Table645[[#This Row],[Column128]]="--",0,Table645[[#This Row],[Column4]]*Table645[[#This Row],[Column128]])</f>
        <v>0</v>
      </c>
      <c r="EC92" s="89">
        <f>IF(Table645[[#This Row],[Column128]]="--",0,Table645[[#This Row],[Column4]]*Table645[[#This Row],[Column128]])</f>
        <v>0</v>
      </c>
      <c r="EE92" s="89">
        <f>IF(Table645[[#This Row],[Column128]]="--",0,Table645[[#This Row],[Column4]]*Table645[[#This Row],[Column128]])</f>
        <v>0</v>
      </c>
      <c r="EG92" s="89">
        <f>IF(Table645[[#This Row],[Column128]]="--",0,Table645[[#This Row],[Column4]]*Table645[[#This Row],[Column128]])</f>
        <v>0</v>
      </c>
      <c r="EI92" s="89">
        <f>IF(Table645[[#This Row],[Column128]]="--",0,Table645[[#This Row],[Column4]]*Table645[[#This Row],[Column128]])</f>
        <v>0</v>
      </c>
    </row>
    <row r="93" spans="1:139" x14ac:dyDescent="0.25">
      <c r="A93" s="140"/>
      <c r="B93" s="79"/>
      <c r="C93" s="140"/>
      <c r="D93" s="167"/>
      <c r="E93" s="52"/>
      <c r="F93" s="81"/>
      <c r="G93" s="81"/>
      <c r="H93" s="102" t="str">
        <f t="shared" si="74"/>
        <v>--</v>
      </c>
      <c r="I93" s="100">
        <f>IF(Table645[[#This Row],[Column8]]="--",0,Table645[[#This Row],[Column4]]*Table645[[#This Row],[Column8]])</f>
        <v>0</v>
      </c>
      <c r="J93" s="169"/>
      <c r="K93" s="85">
        <f>Table645[[#This Row],[Column4]]*Table645[[#This Row],[Column10]]</f>
        <v>0</v>
      </c>
      <c r="L93" s="170" t="str">
        <f t="shared" si="75"/>
        <v>--</v>
      </c>
      <c r="M93" s="214">
        <f>IF(Table645[[#This Row],[Column10]]=0,0,Table645[[#This Row],[Column4]]*Table645[[#This Row],[Column12]])</f>
        <v>0</v>
      </c>
      <c r="N93" s="87" t="str">
        <f t="shared" si="76"/>
        <v>--</v>
      </c>
      <c r="O93" s="138"/>
      <c r="AZ93" s="89">
        <f>IF(Table645[[#This Row],[Column14]]="--",0,Table645[[#This Row],[Column4]]*Table645[[#This Row],[Column14]])</f>
        <v>0</v>
      </c>
      <c r="BA93" s="90"/>
      <c r="BB93" s="91" t="str">
        <f>IF(BA93=0,"--",BA93*$BA$3*IF(Table645[[#This Row],[Column5]]&lt;4.1,1,2)/60/24)</f>
        <v>--</v>
      </c>
      <c r="BC93" s="92">
        <f>IF(Table645[[#This Row],[Column54]]="--",0,Table645[[#This Row],[Column4]]*Table645[[#This Row],[Column54]])</f>
        <v>0</v>
      </c>
      <c r="BD93" s="119"/>
      <c r="BE93" s="119"/>
      <c r="BF93" s="119"/>
      <c r="BG93" s="91" t="str">
        <f>IF(BD93+Table645[[#This Row],[Column58]]=0,"--",(BD93*$BF$3*Table645[[#This Row],[Column57]]+Table645[[#This Row],[Column58]]*$BF$4)/60/24)</f>
        <v>--</v>
      </c>
      <c r="BH93" s="92">
        <f>IF(Table645[[#This Row],[Column59]]="--",0,Table645[[#This Row],[Column4]]*Table645[[#This Row],[Column59]])</f>
        <v>0</v>
      </c>
      <c r="BI93" s="119"/>
      <c r="BJ93" s="91" t="str">
        <f t="shared" si="15"/>
        <v>--</v>
      </c>
      <c r="BK93" s="92">
        <f>IF(Table645[[#This Row],[Column62]]="--",0,Table645[[#This Row],[Column4]]*Table645[[#This Row],[Column62]])</f>
        <v>0</v>
      </c>
      <c r="BL93" s="93"/>
      <c r="BM93" s="91" t="str">
        <f t="shared" si="77"/>
        <v>--</v>
      </c>
      <c r="BN93" s="89">
        <f>IF(Table645[[#This Row],[Column65]]="--",0,Table645[[#This Row],[Column4]]*Table645[[#This Row],[Column65]])</f>
        <v>0</v>
      </c>
      <c r="BO93" s="163"/>
      <c r="BP93" s="164" t="str">
        <f t="shared" si="78"/>
        <v>--</v>
      </c>
      <c r="BQ93" s="160">
        <f>IF(Table645[[#This Row],[Column68]]="--",0,Table645[[#This Row],[Column4]]*Table645[[#This Row],[Column68]])</f>
        <v>0</v>
      </c>
      <c r="BR93" s="94"/>
      <c r="BS93" s="91" t="str">
        <f t="shared" si="79"/>
        <v>--</v>
      </c>
      <c r="BT93" s="92">
        <f>IF(Table645[[#This Row],[Column71]]="--",0,Table645[[#This Row],[Column4]]*Table645[[#This Row],[Column71]])</f>
        <v>0</v>
      </c>
      <c r="BU93" s="44"/>
      <c r="BV93" s="90"/>
      <c r="BW93" s="91" t="str">
        <f>IF(BV93=0,"--",(Table645[[#This Row],[Column73]]*$BV$4*(IF(J93&lt;0.5001,1,IF(J93&lt;2.0001,2,3)))+BV93/$BV$3)/60/24)</f>
        <v>--</v>
      </c>
      <c r="BX93" s="92">
        <f>IF(Table645[[#This Row],[Column75]]="--",0,Table645[[#This Row],[Column4]]*Table645[[#This Row],[Column75]])</f>
        <v>0</v>
      </c>
      <c r="BY93" s="95" t="s">
        <v>70</v>
      </c>
      <c r="BZ93" s="91" t="str">
        <f>IF(Table645[[#This Row],[Column74]]=0,"--",BW93*$BY$3)</f>
        <v>--</v>
      </c>
      <c r="CA93" s="89">
        <f>IF(Table645[[#This Row],[Column78]]="--",0,Table645[[#This Row],[Column4]]*Table645[[#This Row],[Column78]])</f>
        <v>0</v>
      </c>
      <c r="CB93" s="95" t="s">
        <v>70</v>
      </c>
      <c r="CC93" s="91" t="str">
        <f>IF(Table645[[#This Row],[Column10]]+Table645[[#This Row],[Column74]]=0,"--",J93*$CB$4*$CB$5/(24*60)+IF(Table645[[#This Row],[Column74]]=0,0,$CB$3*Table645[[#This Row],[Column75]]))</f>
        <v>--</v>
      </c>
      <c r="CD93" s="92">
        <f>IF(Table645[[#This Row],[Column81]]="--",0,Table645[[#This Row],[Column4]]*Table645[[#This Row],[Column81]])</f>
        <v>0</v>
      </c>
      <c r="CE93" s="215"/>
      <c r="CF93" s="91" t="str">
        <f t="shared" si="19"/>
        <v>--</v>
      </c>
      <c r="CG93" s="92">
        <f>IF(Table645[[#This Row],[Column84]]="--",0,Table645[[#This Row],[Column4]]*Table645[[#This Row],[Column84]])</f>
        <v>0</v>
      </c>
      <c r="CH93" s="226"/>
      <c r="CI93" s="216"/>
      <c r="CJ93" s="91" t="str">
        <f>IF(CI93=0,"--",(Table645[[#This Row],[Column86]]*$CI$4*(IF(W93&lt;0.5001,1,IF(W93&lt;2.0001,2,3)))+CI93/$CI$3)/60/24)</f>
        <v>--</v>
      </c>
      <c r="CK93" s="92">
        <f>IF(Table645[[#This Row],[Column88]]="--",0,Table645[[#This Row],[Column4]]*Table645[[#This Row],[Column88]])</f>
        <v>0</v>
      </c>
      <c r="CL93" s="217"/>
      <c r="CM93" s="91" t="str">
        <f>IF(Table645[[#This Row],[Column87]]=0,"--",CJ93*$CL$3)</f>
        <v>--</v>
      </c>
      <c r="CN93" s="92">
        <f>IF(Table645[[#This Row],[Column91]]="--",0,Table645[[#This Row],[Column4]]*Table645[[#This Row],[Column91]])</f>
        <v>0</v>
      </c>
      <c r="CO93" s="217"/>
      <c r="CP93" s="91" t="str">
        <f>IF(Table645[[#This Row],[Column10]]+Table645[[#This Row],[Column87]]=0, "--", IF($D93="", 1, $D93) * IF($J93="", 1, $J93) * $CO$3 * $CO$4 * IF(Table645[[#This Row],[Column95]]="", 1, Table645[[#This Row],[Column95]]) / (24 * 60))</f>
        <v>--</v>
      </c>
      <c r="CQ93" s="164"/>
      <c r="CR93" s="92">
        <f>IF(Table645[[#This Row],[Column94]]="--",0,Table645[[#This Row],[Column4]]*Table645[[#This Row],[Column94]])</f>
        <v>0</v>
      </c>
      <c r="CS93" s="218" t="str">
        <f>IF(Table645[[#This Row],[Column87]]="","",Table645[[#This Row],[Column87]])</f>
        <v/>
      </c>
      <c r="CT93" s="91" t="str">
        <f>IF(Table645[[#This Row],[Column97]]="","--",Table645[[#This Row],[Column97]]/$CS$3/60/24)</f>
        <v>--</v>
      </c>
      <c r="CU93" s="92">
        <f>IF(Table645[[#This Row],[Column98]]="--",0,Table645[[#This Row],[Column4]]*Table645[[#This Row],[Column98]])</f>
        <v>0</v>
      </c>
      <c r="CV93" s="93"/>
      <c r="CW93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93" s="91" t="str">
        <f>IF(OR(Table645[[#This Row],[Column74]]&gt;0,Table645[[#This Row],[Column87]]&gt;0),(Table645[[#This Row],[Column73]]+Table645[[#This Row],[Column86]]+1)*$CW$3/60/24,"--")</f>
        <v>--</v>
      </c>
      <c r="CY93" s="92">
        <f>IF(Table645[[#This Row],[Column102]]="--",0,Table645[[#This Row],[Column4]]*Table645[[#This Row],[Column102]])</f>
        <v>0</v>
      </c>
      <c r="CZ93" s="158" t="str">
        <f t="shared" si="80"/>
        <v>--</v>
      </c>
      <c r="DA93" s="153"/>
      <c r="DB93" s="160">
        <f>IF(Table645[[#This Row],[Column104]]="--",0,Table645[[#This Row],[Column4]]*Table645[[#This Row],[Column104]])</f>
        <v>0</v>
      </c>
      <c r="DC93" s="219"/>
      <c r="DD93" s="220" t="str">
        <f>IF(DC93=0,"--",1/$DC$3*1000/(60*60*24)*Table645[[#This Row],[Column107]])</f>
        <v>--</v>
      </c>
      <c r="DE93" s="160">
        <f>IF(Table645[[#This Row],[Column108]]="--",0,Table645[[#This Row],[Column4]]*Table645[[#This Row],[Column108]])</f>
        <v>0</v>
      </c>
      <c r="DF93" s="101" t="s">
        <v>70</v>
      </c>
      <c r="DG93" s="91" t="str">
        <f t="shared" si="81"/>
        <v>--</v>
      </c>
      <c r="DH93" s="89">
        <f>IF(Table645[[#This Row],[Column111]]="--",0,Table645[[#This Row],[Column4]]*Table645[[#This Row],[Column111]])</f>
        <v>0</v>
      </c>
      <c r="DI93" s="96"/>
      <c r="DJ93" s="96"/>
      <c r="DK93" s="96"/>
      <c r="DL93" s="96"/>
      <c r="DM93" s="96"/>
      <c r="DN93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93" s="89">
        <f>IF(Table645[[#This Row],[Column118]]="--",0,Table645[[#This Row],[Column4]]*Table645[[#This Row],[Column118]])</f>
        <v>0</v>
      </c>
      <c r="DP93" s="96"/>
      <c r="DQ93" s="96"/>
      <c r="DR93" s="91" t="str">
        <f t="shared" si="82"/>
        <v>--</v>
      </c>
      <c r="DS93" s="89">
        <f>IF(Table645[[#This Row],[Column122]]="--",0,Table645[[#This Row],[Column4]]*Table645[[#This Row],[Column122]])</f>
        <v>0</v>
      </c>
      <c r="DT93" t="str">
        <f>IF(Table645[[#This Row],[Column125]]=0,"--",Table645[[#This Row],[Column125]]*Table645[[#This Row],[Column126]]*Table645[[#This Row],[Column127]]/1000000000)</f>
        <v>--</v>
      </c>
      <c r="DU93" s="53"/>
      <c r="DV93" s="53"/>
      <c r="DW93" s="53"/>
      <c r="DX93" s="91" t="str">
        <f t="shared" si="83"/>
        <v>--</v>
      </c>
      <c r="DY93" s="89">
        <f>IF(Table645[[#This Row],[Column128]]="--",0,Table645[[#This Row],[Column4]]*Table645[[#This Row],[Column128]])</f>
        <v>0</v>
      </c>
      <c r="EA93" s="89">
        <f>IF(Table645[[#This Row],[Column128]]="--",0,Table645[[#This Row],[Column4]]*Table645[[#This Row],[Column128]])</f>
        <v>0</v>
      </c>
      <c r="EC93" s="89">
        <f>IF(Table645[[#This Row],[Column128]]="--",0,Table645[[#This Row],[Column4]]*Table645[[#This Row],[Column128]])</f>
        <v>0</v>
      </c>
      <c r="EE93" s="89">
        <f>IF(Table645[[#This Row],[Column128]]="--",0,Table645[[#This Row],[Column4]]*Table645[[#This Row],[Column128]])</f>
        <v>0</v>
      </c>
      <c r="EG93" s="89">
        <f>IF(Table645[[#This Row],[Column128]]="--",0,Table645[[#This Row],[Column4]]*Table645[[#This Row],[Column128]])</f>
        <v>0</v>
      </c>
      <c r="EI93" s="89">
        <f>IF(Table645[[#This Row],[Column128]]="--",0,Table645[[#This Row],[Column4]]*Table645[[#This Row],[Column128]])</f>
        <v>0</v>
      </c>
    </row>
    <row r="94" spans="1:139" x14ac:dyDescent="0.25">
      <c r="A94" s="140"/>
      <c r="B94" s="79"/>
      <c r="C94" s="140"/>
      <c r="D94" s="167"/>
      <c r="E94" s="52"/>
      <c r="F94" s="81"/>
      <c r="G94" s="81"/>
      <c r="H94" s="102" t="str">
        <f t="shared" si="74"/>
        <v>--</v>
      </c>
      <c r="I94" s="100">
        <f>IF(Table645[[#This Row],[Column8]]="--",0,Table645[[#This Row],[Column4]]*Table645[[#This Row],[Column8]])</f>
        <v>0</v>
      </c>
      <c r="J94" s="169"/>
      <c r="K94" s="85">
        <f>Table645[[#This Row],[Column4]]*Table645[[#This Row],[Column10]]</f>
        <v>0</v>
      </c>
      <c r="L94" s="170" t="str">
        <f t="shared" si="75"/>
        <v>--</v>
      </c>
      <c r="M94" s="214">
        <f>IF(Table645[[#This Row],[Column10]]=0,0,Table645[[#This Row],[Column4]]*Table645[[#This Row],[Column12]])</f>
        <v>0</v>
      </c>
      <c r="N94" s="87" t="str">
        <f t="shared" si="76"/>
        <v>--</v>
      </c>
      <c r="O94" s="138"/>
      <c r="AZ94" s="89">
        <f>IF(Table645[[#This Row],[Column14]]="--",0,Table645[[#This Row],[Column4]]*Table645[[#This Row],[Column14]])</f>
        <v>0</v>
      </c>
      <c r="BA94" s="90"/>
      <c r="BB94" s="91" t="str">
        <f>IF(BA94=0,"--",BA94*$BA$3*IF(Table645[[#This Row],[Column5]]&lt;4.1,1,2)/60/24)</f>
        <v>--</v>
      </c>
      <c r="BC94" s="92">
        <f>IF(Table645[[#This Row],[Column54]]="--",0,Table645[[#This Row],[Column4]]*Table645[[#This Row],[Column54]])</f>
        <v>0</v>
      </c>
      <c r="BD94" s="119"/>
      <c r="BE94" s="119"/>
      <c r="BF94" s="119"/>
      <c r="BG94" s="91" t="str">
        <f>IF(BD94+Table645[[#This Row],[Column58]]=0,"--",(BD94*$BF$3*Table645[[#This Row],[Column57]]+Table645[[#This Row],[Column58]]*$BF$4)/60/24)</f>
        <v>--</v>
      </c>
      <c r="BH94" s="92">
        <f>IF(Table645[[#This Row],[Column59]]="--",0,Table645[[#This Row],[Column4]]*Table645[[#This Row],[Column59]])</f>
        <v>0</v>
      </c>
      <c r="BI94" s="119"/>
      <c r="BJ94" s="91" t="str">
        <f t="shared" si="15"/>
        <v>--</v>
      </c>
      <c r="BK94" s="92">
        <f>IF(Table645[[#This Row],[Column62]]="--",0,Table645[[#This Row],[Column4]]*Table645[[#This Row],[Column62]])</f>
        <v>0</v>
      </c>
      <c r="BL94" s="93"/>
      <c r="BM94" s="91" t="str">
        <f t="shared" si="77"/>
        <v>--</v>
      </c>
      <c r="BN94" s="89">
        <f>IF(Table645[[#This Row],[Column65]]="--",0,Table645[[#This Row],[Column4]]*Table645[[#This Row],[Column65]])</f>
        <v>0</v>
      </c>
      <c r="BO94" s="163"/>
      <c r="BP94" s="164" t="str">
        <f t="shared" si="78"/>
        <v>--</v>
      </c>
      <c r="BQ94" s="160">
        <f>IF(Table645[[#This Row],[Column68]]="--",0,Table645[[#This Row],[Column4]]*Table645[[#This Row],[Column68]])</f>
        <v>0</v>
      </c>
      <c r="BR94" s="94"/>
      <c r="BS94" s="91" t="str">
        <f t="shared" si="79"/>
        <v>--</v>
      </c>
      <c r="BT94" s="92">
        <f>IF(Table645[[#This Row],[Column71]]="--",0,Table645[[#This Row],[Column4]]*Table645[[#This Row],[Column71]])</f>
        <v>0</v>
      </c>
      <c r="BU94" s="44"/>
      <c r="BV94" s="90"/>
      <c r="BW94" s="91" t="str">
        <f>IF(BV94=0,"--",(Table645[[#This Row],[Column73]]*$BV$4*(IF(J94&lt;0.5001,1,IF(J94&lt;2.0001,2,3)))+BV94/$BV$3)/60/24)</f>
        <v>--</v>
      </c>
      <c r="BX94" s="92">
        <f>IF(Table645[[#This Row],[Column75]]="--",0,Table645[[#This Row],[Column4]]*Table645[[#This Row],[Column75]])</f>
        <v>0</v>
      </c>
      <c r="BY94" s="95" t="s">
        <v>70</v>
      </c>
      <c r="BZ94" s="91" t="str">
        <f>IF(Table645[[#This Row],[Column74]]=0,"--",BW94*$BY$3)</f>
        <v>--</v>
      </c>
      <c r="CA94" s="89">
        <f>IF(Table645[[#This Row],[Column78]]="--",0,Table645[[#This Row],[Column4]]*Table645[[#This Row],[Column78]])</f>
        <v>0</v>
      </c>
      <c r="CB94" s="95" t="s">
        <v>70</v>
      </c>
      <c r="CC94" s="91" t="str">
        <f>IF(Table645[[#This Row],[Column10]]+Table645[[#This Row],[Column74]]=0,"--",J94*$CB$4*$CB$5/(24*60)+IF(Table645[[#This Row],[Column74]]=0,0,$CB$3*Table645[[#This Row],[Column75]]))</f>
        <v>--</v>
      </c>
      <c r="CD94" s="92">
        <f>IF(Table645[[#This Row],[Column81]]="--",0,Table645[[#This Row],[Column4]]*Table645[[#This Row],[Column81]])</f>
        <v>0</v>
      </c>
      <c r="CE94" s="215"/>
      <c r="CF94" s="91" t="str">
        <f t="shared" si="19"/>
        <v>--</v>
      </c>
      <c r="CG94" s="92">
        <f>IF(Table645[[#This Row],[Column84]]="--",0,Table645[[#This Row],[Column4]]*Table645[[#This Row],[Column84]])</f>
        <v>0</v>
      </c>
      <c r="CH94" s="226"/>
      <c r="CI94" s="216"/>
      <c r="CJ94" s="91" t="str">
        <f>IF(CI94=0,"--",(Table645[[#This Row],[Column86]]*$CI$4*(IF(W94&lt;0.5001,1,IF(W94&lt;2.0001,2,3)))+CI94/$CI$3)/60/24)</f>
        <v>--</v>
      </c>
      <c r="CK94" s="92">
        <f>IF(Table645[[#This Row],[Column88]]="--",0,Table645[[#This Row],[Column4]]*Table645[[#This Row],[Column88]])</f>
        <v>0</v>
      </c>
      <c r="CL94" s="217"/>
      <c r="CM94" s="91" t="str">
        <f>IF(Table645[[#This Row],[Column87]]=0,"--",CJ94*$CL$3)</f>
        <v>--</v>
      </c>
      <c r="CN94" s="92">
        <f>IF(Table645[[#This Row],[Column91]]="--",0,Table645[[#This Row],[Column4]]*Table645[[#This Row],[Column91]])</f>
        <v>0</v>
      </c>
      <c r="CO94" s="217"/>
      <c r="CP94" s="91" t="str">
        <f>IF(Table645[[#This Row],[Column10]]+Table645[[#This Row],[Column87]]=0, "--", IF($D94="", 1, $D94) * IF($J94="", 1, $J94) * $CO$3 * $CO$4 * IF(Table645[[#This Row],[Column95]]="", 1, Table645[[#This Row],[Column95]]) / (24 * 60))</f>
        <v>--</v>
      </c>
      <c r="CQ94" s="164"/>
      <c r="CR94" s="92">
        <f>IF(Table645[[#This Row],[Column94]]="--",0,Table645[[#This Row],[Column4]]*Table645[[#This Row],[Column94]])</f>
        <v>0</v>
      </c>
      <c r="CS94" s="218" t="str">
        <f>IF(Table645[[#This Row],[Column87]]="","",Table645[[#This Row],[Column87]])</f>
        <v/>
      </c>
      <c r="CT94" s="91" t="str">
        <f>IF(Table645[[#This Row],[Column97]]="","--",Table645[[#This Row],[Column97]]/$CS$3/60/24)</f>
        <v>--</v>
      </c>
      <c r="CU94" s="92">
        <f>IF(Table645[[#This Row],[Column98]]="--",0,Table645[[#This Row],[Column4]]*Table645[[#This Row],[Column98]])</f>
        <v>0</v>
      </c>
      <c r="CV94" s="93"/>
      <c r="CW94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94" s="91" t="str">
        <f>IF(OR(Table645[[#This Row],[Column74]]&gt;0,Table645[[#This Row],[Column87]]&gt;0),(Table645[[#This Row],[Column73]]+Table645[[#This Row],[Column86]]+1)*$CW$3/60/24,"--")</f>
        <v>--</v>
      </c>
      <c r="CY94" s="92">
        <f>IF(Table645[[#This Row],[Column102]]="--",0,Table645[[#This Row],[Column4]]*Table645[[#This Row],[Column102]])</f>
        <v>0</v>
      </c>
      <c r="CZ94" s="158" t="str">
        <f t="shared" si="80"/>
        <v>--</v>
      </c>
      <c r="DA94" s="153"/>
      <c r="DB94" s="160">
        <f>IF(Table645[[#This Row],[Column104]]="--",0,Table645[[#This Row],[Column4]]*Table645[[#This Row],[Column104]])</f>
        <v>0</v>
      </c>
      <c r="DC94" s="219"/>
      <c r="DD94" s="220" t="str">
        <f>IF(DC94=0,"--",1/$DC$3*1000/(60*60*24)*Table645[[#This Row],[Column107]])</f>
        <v>--</v>
      </c>
      <c r="DE94" s="160">
        <f>IF(Table645[[#This Row],[Column108]]="--",0,Table645[[#This Row],[Column4]]*Table645[[#This Row],[Column108]])</f>
        <v>0</v>
      </c>
      <c r="DF94" s="101" t="s">
        <v>70</v>
      </c>
      <c r="DG94" s="91" t="str">
        <f t="shared" si="81"/>
        <v>--</v>
      </c>
      <c r="DH94" s="89">
        <f>IF(Table645[[#This Row],[Column111]]="--",0,Table645[[#This Row],[Column4]]*Table645[[#This Row],[Column111]])</f>
        <v>0</v>
      </c>
      <c r="DI94" s="96"/>
      <c r="DJ94" s="96"/>
      <c r="DK94" s="96"/>
      <c r="DL94" s="96"/>
      <c r="DM94" s="96"/>
      <c r="DN94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94" s="89">
        <f>IF(Table645[[#This Row],[Column118]]="--",0,Table645[[#This Row],[Column4]]*Table645[[#This Row],[Column118]])</f>
        <v>0</v>
      </c>
      <c r="DP94" s="96"/>
      <c r="DQ94" s="96"/>
      <c r="DR94" s="91" t="str">
        <f t="shared" si="82"/>
        <v>--</v>
      </c>
      <c r="DS94" s="89">
        <f>IF(Table645[[#This Row],[Column122]]="--",0,Table645[[#This Row],[Column4]]*Table645[[#This Row],[Column122]])</f>
        <v>0</v>
      </c>
      <c r="DT94" t="str">
        <f>IF(Table645[[#This Row],[Column125]]=0,"--",Table645[[#This Row],[Column125]]*Table645[[#This Row],[Column126]]*Table645[[#This Row],[Column127]]/1000000000)</f>
        <v>--</v>
      </c>
      <c r="DU94" s="53"/>
      <c r="DV94" s="53"/>
      <c r="DW94" s="53"/>
      <c r="DX94" s="91" t="str">
        <f t="shared" si="83"/>
        <v>--</v>
      </c>
      <c r="DY94" s="89">
        <f>IF(Table645[[#This Row],[Column128]]="--",0,Table645[[#This Row],[Column4]]*Table645[[#This Row],[Column128]])</f>
        <v>0</v>
      </c>
      <c r="EA94" s="89">
        <f>IF(Table645[[#This Row],[Column128]]="--",0,Table645[[#This Row],[Column4]]*Table645[[#This Row],[Column128]])</f>
        <v>0</v>
      </c>
      <c r="EC94" s="89">
        <f>IF(Table645[[#This Row],[Column128]]="--",0,Table645[[#This Row],[Column4]]*Table645[[#This Row],[Column128]])</f>
        <v>0</v>
      </c>
      <c r="EE94" s="89">
        <f>IF(Table645[[#This Row],[Column128]]="--",0,Table645[[#This Row],[Column4]]*Table645[[#This Row],[Column128]])</f>
        <v>0</v>
      </c>
      <c r="EG94" s="89">
        <f>IF(Table645[[#This Row],[Column128]]="--",0,Table645[[#This Row],[Column4]]*Table645[[#This Row],[Column128]])</f>
        <v>0</v>
      </c>
      <c r="EI94" s="89">
        <f>IF(Table645[[#This Row],[Column128]]="--",0,Table645[[#This Row],[Column4]]*Table645[[#This Row],[Column128]])</f>
        <v>0</v>
      </c>
    </row>
    <row r="95" spans="1:139" x14ac:dyDescent="0.25">
      <c r="A95" s="140"/>
      <c r="B95" s="79"/>
      <c r="C95" s="140"/>
      <c r="D95" s="167"/>
      <c r="E95" s="52"/>
      <c r="F95" s="81"/>
      <c r="G95" s="81"/>
      <c r="H95" s="102" t="str">
        <f t="shared" si="74"/>
        <v>--</v>
      </c>
      <c r="I95" s="100">
        <f>IF(Table645[[#This Row],[Column8]]="--",0,Table645[[#This Row],[Column4]]*Table645[[#This Row],[Column8]])</f>
        <v>0</v>
      </c>
      <c r="J95" s="169"/>
      <c r="K95" s="85">
        <f>Table645[[#This Row],[Column4]]*Table645[[#This Row],[Column10]]</f>
        <v>0</v>
      </c>
      <c r="L95" s="170" t="str">
        <f t="shared" si="75"/>
        <v>--</v>
      </c>
      <c r="M95" s="214">
        <f>IF(Table645[[#This Row],[Column10]]=0,0,Table645[[#This Row],[Column4]]*Table645[[#This Row],[Column12]])</f>
        <v>0</v>
      </c>
      <c r="N95" s="87" t="str">
        <f t="shared" si="76"/>
        <v>--</v>
      </c>
      <c r="O95" s="138"/>
      <c r="AZ95" s="89">
        <f>IF(Table645[[#This Row],[Column14]]="--",0,Table645[[#This Row],[Column4]]*Table645[[#This Row],[Column14]])</f>
        <v>0</v>
      </c>
      <c r="BA95" s="90"/>
      <c r="BB95" s="91" t="str">
        <f>IF(BA95=0,"--",BA95*$BA$3*IF(Table645[[#This Row],[Column5]]&lt;4.1,1,2)/60/24)</f>
        <v>--</v>
      </c>
      <c r="BC95" s="92">
        <f>IF(Table645[[#This Row],[Column54]]="--",0,Table645[[#This Row],[Column4]]*Table645[[#This Row],[Column54]])</f>
        <v>0</v>
      </c>
      <c r="BD95" s="119"/>
      <c r="BE95" s="119"/>
      <c r="BF95" s="119"/>
      <c r="BG95" s="91" t="str">
        <f>IF(BD95+Table645[[#This Row],[Column58]]=0,"--",(BD95*$BF$3*Table645[[#This Row],[Column57]]+Table645[[#This Row],[Column58]]*$BF$4)/60/24)</f>
        <v>--</v>
      </c>
      <c r="BH95" s="92">
        <f>IF(Table645[[#This Row],[Column59]]="--",0,Table645[[#This Row],[Column4]]*Table645[[#This Row],[Column59]])</f>
        <v>0</v>
      </c>
      <c r="BI95" s="119"/>
      <c r="BJ95" s="91" t="str">
        <f t="shared" si="15"/>
        <v>--</v>
      </c>
      <c r="BK95" s="92">
        <f>IF(Table645[[#This Row],[Column62]]="--",0,Table645[[#This Row],[Column4]]*Table645[[#This Row],[Column62]])</f>
        <v>0</v>
      </c>
      <c r="BL95" s="93"/>
      <c r="BM95" s="91" t="str">
        <f t="shared" si="77"/>
        <v>--</v>
      </c>
      <c r="BN95" s="89">
        <f>IF(Table645[[#This Row],[Column65]]="--",0,Table645[[#This Row],[Column4]]*Table645[[#This Row],[Column65]])</f>
        <v>0</v>
      </c>
      <c r="BO95" s="163"/>
      <c r="BP95" s="164" t="str">
        <f t="shared" si="78"/>
        <v>--</v>
      </c>
      <c r="BQ95" s="160">
        <f>IF(Table645[[#This Row],[Column68]]="--",0,Table645[[#This Row],[Column4]]*Table645[[#This Row],[Column68]])</f>
        <v>0</v>
      </c>
      <c r="BR95" s="94"/>
      <c r="BS95" s="91" t="str">
        <f t="shared" si="79"/>
        <v>--</v>
      </c>
      <c r="BT95" s="92">
        <f>IF(Table645[[#This Row],[Column71]]="--",0,Table645[[#This Row],[Column4]]*Table645[[#This Row],[Column71]])</f>
        <v>0</v>
      </c>
      <c r="BU95" s="44"/>
      <c r="BV95" s="90"/>
      <c r="BW95" s="91" t="str">
        <f>IF(BV95=0,"--",(Table645[[#This Row],[Column73]]*$BV$4*(IF(J95&lt;0.5001,1,IF(J95&lt;2.0001,2,3)))+BV95/$BV$3)/60/24)</f>
        <v>--</v>
      </c>
      <c r="BX95" s="92">
        <f>IF(Table645[[#This Row],[Column75]]="--",0,Table645[[#This Row],[Column4]]*Table645[[#This Row],[Column75]])</f>
        <v>0</v>
      </c>
      <c r="BY95" s="95" t="s">
        <v>70</v>
      </c>
      <c r="BZ95" s="91" t="str">
        <f>IF(Table645[[#This Row],[Column74]]=0,"--",BW95*$BY$3)</f>
        <v>--</v>
      </c>
      <c r="CA95" s="89">
        <f>IF(Table645[[#This Row],[Column78]]="--",0,Table645[[#This Row],[Column4]]*Table645[[#This Row],[Column78]])</f>
        <v>0</v>
      </c>
      <c r="CB95" s="95" t="s">
        <v>70</v>
      </c>
      <c r="CC95" s="91" t="str">
        <f>IF(Table645[[#This Row],[Column10]]+Table645[[#This Row],[Column74]]=0,"--",J95*$CB$4*$CB$5/(24*60)+IF(Table645[[#This Row],[Column74]]=0,0,$CB$3*Table645[[#This Row],[Column75]]))</f>
        <v>--</v>
      </c>
      <c r="CD95" s="92">
        <f>IF(Table645[[#This Row],[Column81]]="--",0,Table645[[#This Row],[Column4]]*Table645[[#This Row],[Column81]])</f>
        <v>0</v>
      </c>
      <c r="CE95" s="215"/>
      <c r="CF95" s="91" t="str">
        <f t="shared" si="19"/>
        <v>--</v>
      </c>
      <c r="CG95" s="92">
        <f>IF(Table645[[#This Row],[Column84]]="--",0,Table645[[#This Row],[Column4]]*Table645[[#This Row],[Column84]])</f>
        <v>0</v>
      </c>
      <c r="CH95" s="226"/>
      <c r="CI95" s="216"/>
      <c r="CJ95" s="91" t="str">
        <f>IF(CI95=0,"--",(Table645[[#This Row],[Column86]]*$CI$4*(IF(W95&lt;0.5001,1,IF(W95&lt;2.0001,2,3)))+CI95/$CI$3)/60/24)</f>
        <v>--</v>
      </c>
      <c r="CK95" s="92">
        <f>IF(Table645[[#This Row],[Column88]]="--",0,Table645[[#This Row],[Column4]]*Table645[[#This Row],[Column88]])</f>
        <v>0</v>
      </c>
      <c r="CL95" s="217"/>
      <c r="CM95" s="91" t="str">
        <f>IF(Table645[[#This Row],[Column87]]=0,"--",CJ95*$CL$3)</f>
        <v>--</v>
      </c>
      <c r="CN95" s="92">
        <f>IF(Table645[[#This Row],[Column91]]="--",0,Table645[[#This Row],[Column4]]*Table645[[#This Row],[Column91]])</f>
        <v>0</v>
      </c>
      <c r="CO95" s="217"/>
      <c r="CP95" s="91" t="str">
        <f>IF(Table645[[#This Row],[Column10]]+Table645[[#This Row],[Column87]]=0, "--", IF($D95="", 1, $D95) * IF($J95="", 1, $J95) * $CO$3 * $CO$4 * IF(Table645[[#This Row],[Column95]]="", 1, Table645[[#This Row],[Column95]]) / (24 * 60))</f>
        <v>--</v>
      </c>
      <c r="CQ95" s="164"/>
      <c r="CR95" s="92">
        <f>IF(Table645[[#This Row],[Column94]]="--",0,Table645[[#This Row],[Column4]]*Table645[[#This Row],[Column94]])</f>
        <v>0</v>
      </c>
      <c r="CS95" s="218" t="str">
        <f>IF(Table645[[#This Row],[Column87]]="","",Table645[[#This Row],[Column87]])</f>
        <v/>
      </c>
      <c r="CT95" s="91" t="str">
        <f>IF(Table645[[#This Row],[Column97]]="","--",Table645[[#This Row],[Column97]]/$CS$3/60/24)</f>
        <v>--</v>
      </c>
      <c r="CU95" s="92">
        <f>IF(Table645[[#This Row],[Column98]]="--",0,Table645[[#This Row],[Column4]]*Table645[[#This Row],[Column98]])</f>
        <v>0</v>
      </c>
      <c r="CV95" s="93"/>
      <c r="CW95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95" s="91" t="str">
        <f>IF(OR(Table645[[#This Row],[Column74]]&gt;0,Table645[[#This Row],[Column87]]&gt;0),(Table645[[#This Row],[Column73]]+Table645[[#This Row],[Column86]]+1)*$CW$3/60/24,"--")</f>
        <v>--</v>
      </c>
      <c r="CY95" s="92">
        <f>IF(Table645[[#This Row],[Column102]]="--",0,Table645[[#This Row],[Column4]]*Table645[[#This Row],[Column102]])</f>
        <v>0</v>
      </c>
      <c r="CZ95" s="158" t="str">
        <f t="shared" si="80"/>
        <v>--</v>
      </c>
      <c r="DA95" s="153"/>
      <c r="DB95" s="160">
        <f>IF(Table645[[#This Row],[Column104]]="--",0,Table645[[#This Row],[Column4]]*Table645[[#This Row],[Column104]])</f>
        <v>0</v>
      </c>
      <c r="DC95" s="219"/>
      <c r="DD95" s="220" t="str">
        <f>IF(DC95=0,"--",1/$DC$3*1000/(60*60*24)*Table645[[#This Row],[Column107]])</f>
        <v>--</v>
      </c>
      <c r="DE95" s="160">
        <f>IF(Table645[[#This Row],[Column108]]="--",0,Table645[[#This Row],[Column4]]*Table645[[#This Row],[Column108]])</f>
        <v>0</v>
      </c>
      <c r="DF95" s="101" t="s">
        <v>70</v>
      </c>
      <c r="DG95" s="91" t="str">
        <f t="shared" si="81"/>
        <v>--</v>
      </c>
      <c r="DH95" s="89">
        <f>IF(Table645[[#This Row],[Column111]]="--",0,Table645[[#This Row],[Column4]]*Table645[[#This Row],[Column111]])</f>
        <v>0</v>
      </c>
      <c r="DI95" s="96"/>
      <c r="DJ95" s="96"/>
      <c r="DK95" s="96"/>
      <c r="DL95" s="96"/>
      <c r="DM95" s="96"/>
      <c r="DN95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95" s="89">
        <f>IF(Table645[[#This Row],[Column118]]="--",0,Table645[[#This Row],[Column4]]*Table645[[#This Row],[Column118]])</f>
        <v>0</v>
      </c>
      <c r="DP95" s="96"/>
      <c r="DQ95" s="96"/>
      <c r="DR95" s="91" t="str">
        <f t="shared" si="82"/>
        <v>--</v>
      </c>
      <c r="DS95" s="89">
        <f>IF(Table645[[#This Row],[Column122]]="--",0,Table645[[#This Row],[Column4]]*Table645[[#This Row],[Column122]])</f>
        <v>0</v>
      </c>
      <c r="DT95" t="str">
        <f>IF(Table645[[#This Row],[Column125]]=0,"--",Table645[[#This Row],[Column125]]*Table645[[#This Row],[Column126]]*Table645[[#This Row],[Column127]]/1000000000)</f>
        <v>--</v>
      </c>
      <c r="DU95" s="53"/>
      <c r="DV95" s="53"/>
      <c r="DW95" s="53"/>
      <c r="DX95" s="91" t="str">
        <f t="shared" si="83"/>
        <v>--</v>
      </c>
      <c r="DY95" s="89">
        <f>IF(Table645[[#This Row],[Column128]]="--",0,Table645[[#This Row],[Column4]]*Table645[[#This Row],[Column128]])</f>
        <v>0</v>
      </c>
      <c r="EA95" s="89">
        <f>IF(Table645[[#This Row],[Column128]]="--",0,Table645[[#This Row],[Column4]]*Table645[[#This Row],[Column128]])</f>
        <v>0</v>
      </c>
      <c r="EC95" s="89">
        <f>IF(Table645[[#This Row],[Column128]]="--",0,Table645[[#This Row],[Column4]]*Table645[[#This Row],[Column128]])</f>
        <v>0</v>
      </c>
      <c r="EE95" s="89">
        <f>IF(Table645[[#This Row],[Column128]]="--",0,Table645[[#This Row],[Column4]]*Table645[[#This Row],[Column128]])</f>
        <v>0</v>
      </c>
      <c r="EG95" s="89">
        <f>IF(Table645[[#This Row],[Column128]]="--",0,Table645[[#This Row],[Column4]]*Table645[[#This Row],[Column128]])</f>
        <v>0</v>
      </c>
      <c r="EI95" s="89">
        <f>IF(Table645[[#This Row],[Column128]]="--",0,Table645[[#This Row],[Column4]]*Table645[[#This Row],[Column128]])</f>
        <v>0</v>
      </c>
    </row>
    <row r="96" spans="1:139" x14ac:dyDescent="0.25">
      <c r="A96" s="140"/>
      <c r="B96" s="79"/>
      <c r="C96" s="140"/>
      <c r="D96" s="167"/>
      <c r="E96" s="52"/>
      <c r="F96" s="81"/>
      <c r="G96" s="81"/>
      <c r="H96" s="102" t="str">
        <f t="shared" si="74"/>
        <v>--</v>
      </c>
      <c r="I96" s="100">
        <f>IF(Table645[[#This Row],[Column8]]="--",0,Table645[[#This Row],[Column4]]*Table645[[#This Row],[Column8]])</f>
        <v>0</v>
      </c>
      <c r="J96" s="169"/>
      <c r="K96" s="85">
        <f>Table645[[#This Row],[Column4]]*Table645[[#This Row],[Column10]]</f>
        <v>0</v>
      </c>
      <c r="L96" s="170" t="str">
        <f t="shared" si="75"/>
        <v>--</v>
      </c>
      <c r="M96" s="214">
        <f>IF(Table645[[#This Row],[Column10]]=0,0,Table645[[#This Row],[Column4]]*Table645[[#This Row],[Column12]])</f>
        <v>0</v>
      </c>
      <c r="N96" s="87" t="str">
        <f t="shared" si="76"/>
        <v>--</v>
      </c>
      <c r="O96" s="138"/>
      <c r="AZ96" s="89">
        <f>IF(Table645[[#This Row],[Column14]]="--",0,Table645[[#This Row],[Column4]]*Table645[[#This Row],[Column14]])</f>
        <v>0</v>
      </c>
      <c r="BA96" s="90"/>
      <c r="BB96" s="91" t="str">
        <f>IF(BA96=0,"--",BA96*$BA$3*IF(Table645[[#This Row],[Column5]]&lt;4.1,1,2)/60/24)</f>
        <v>--</v>
      </c>
      <c r="BC96" s="92">
        <f>IF(Table645[[#This Row],[Column54]]="--",0,Table645[[#This Row],[Column4]]*Table645[[#This Row],[Column54]])</f>
        <v>0</v>
      </c>
      <c r="BD96" s="119"/>
      <c r="BE96" s="119"/>
      <c r="BF96" s="119"/>
      <c r="BG96" s="91" t="str">
        <f>IF(BD96+Table645[[#This Row],[Column58]]=0,"--",(BD96*$BF$3*Table645[[#This Row],[Column57]]+Table645[[#This Row],[Column58]]*$BF$4)/60/24)</f>
        <v>--</v>
      </c>
      <c r="BH96" s="92">
        <f>IF(Table645[[#This Row],[Column59]]="--",0,Table645[[#This Row],[Column4]]*Table645[[#This Row],[Column59]])</f>
        <v>0</v>
      </c>
      <c r="BI96" s="119"/>
      <c r="BJ96" s="91" t="str">
        <f t="shared" si="15"/>
        <v>--</v>
      </c>
      <c r="BK96" s="92">
        <f>IF(Table645[[#This Row],[Column62]]="--",0,Table645[[#This Row],[Column4]]*Table645[[#This Row],[Column62]])</f>
        <v>0</v>
      </c>
      <c r="BL96" s="93"/>
      <c r="BM96" s="91" t="str">
        <f t="shared" si="77"/>
        <v>--</v>
      </c>
      <c r="BN96" s="89">
        <f>IF(Table645[[#This Row],[Column65]]="--",0,Table645[[#This Row],[Column4]]*Table645[[#This Row],[Column65]])</f>
        <v>0</v>
      </c>
      <c r="BO96" s="163"/>
      <c r="BP96" s="164" t="str">
        <f t="shared" si="78"/>
        <v>--</v>
      </c>
      <c r="BQ96" s="160">
        <f>IF(Table645[[#This Row],[Column68]]="--",0,Table645[[#This Row],[Column4]]*Table645[[#This Row],[Column68]])</f>
        <v>0</v>
      </c>
      <c r="BR96" s="94"/>
      <c r="BS96" s="91" t="str">
        <f t="shared" si="79"/>
        <v>--</v>
      </c>
      <c r="BT96" s="92">
        <f>IF(Table645[[#This Row],[Column71]]="--",0,Table645[[#This Row],[Column4]]*Table645[[#This Row],[Column71]])</f>
        <v>0</v>
      </c>
      <c r="BU96" s="44"/>
      <c r="BV96" s="90"/>
      <c r="BW96" s="91" t="str">
        <f>IF(BV96=0,"--",(Table645[[#This Row],[Column73]]*$BV$4*(IF(J96&lt;0.5001,1,IF(J96&lt;2.0001,2,3)))+BV96/$BV$3)/60/24)</f>
        <v>--</v>
      </c>
      <c r="BX96" s="92">
        <f>IF(Table645[[#This Row],[Column75]]="--",0,Table645[[#This Row],[Column4]]*Table645[[#This Row],[Column75]])</f>
        <v>0</v>
      </c>
      <c r="BY96" s="95" t="s">
        <v>70</v>
      </c>
      <c r="BZ96" s="91" t="str">
        <f>IF(Table645[[#This Row],[Column74]]=0,"--",BW96*$BY$3)</f>
        <v>--</v>
      </c>
      <c r="CA96" s="89">
        <f>IF(Table645[[#This Row],[Column78]]="--",0,Table645[[#This Row],[Column4]]*Table645[[#This Row],[Column78]])</f>
        <v>0</v>
      </c>
      <c r="CB96" s="95" t="s">
        <v>70</v>
      </c>
      <c r="CC96" s="91" t="str">
        <f>IF(Table645[[#This Row],[Column10]]+Table645[[#This Row],[Column74]]=0,"--",J96*$CB$4*$CB$5/(24*60)+IF(Table645[[#This Row],[Column74]]=0,0,$CB$3*Table645[[#This Row],[Column75]]))</f>
        <v>--</v>
      </c>
      <c r="CD96" s="92">
        <f>IF(Table645[[#This Row],[Column81]]="--",0,Table645[[#This Row],[Column4]]*Table645[[#This Row],[Column81]])</f>
        <v>0</v>
      </c>
      <c r="CE96" s="215"/>
      <c r="CF96" s="91" t="str">
        <f t="shared" si="19"/>
        <v>--</v>
      </c>
      <c r="CG96" s="92">
        <f>IF(Table645[[#This Row],[Column84]]="--",0,Table645[[#This Row],[Column4]]*Table645[[#This Row],[Column84]])</f>
        <v>0</v>
      </c>
      <c r="CH96" s="226"/>
      <c r="CI96" s="216"/>
      <c r="CJ96" s="91" t="str">
        <f>IF(CI96=0,"--",(Table645[[#This Row],[Column86]]*$CI$4*(IF(W96&lt;0.5001,1,IF(W96&lt;2.0001,2,3)))+CI96/$CI$3)/60/24)</f>
        <v>--</v>
      </c>
      <c r="CK96" s="92">
        <f>IF(Table645[[#This Row],[Column88]]="--",0,Table645[[#This Row],[Column4]]*Table645[[#This Row],[Column88]])</f>
        <v>0</v>
      </c>
      <c r="CL96" s="217"/>
      <c r="CM96" s="91" t="str">
        <f>IF(Table645[[#This Row],[Column87]]=0,"--",CJ96*$CL$3)</f>
        <v>--</v>
      </c>
      <c r="CN96" s="92">
        <f>IF(Table645[[#This Row],[Column91]]="--",0,Table645[[#This Row],[Column4]]*Table645[[#This Row],[Column91]])</f>
        <v>0</v>
      </c>
      <c r="CO96" s="217"/>
      <c r="CP96" s="91" t="str">
        <f>IF(Table645[[#This Row],[Column10]]+Table645[[#This Row],[Column87]]=0, "--", IF($D96="", 1, $D96) * IF($J96="", 1, $J96) * $CO$3 * $CO$4 * IF(Table645[[#This Row],[Column95]]="", 1, Table645[[#This Row],[Column95]]) / (24 * 60))</f>
        <v>--</v>
      </c>
      <c r="CQ96" s="164"/>
      <c r="CR96" s="92">
        <f>IF(Table645[[#This Row],[Column94]]="--",0,Table645[[#This Row],[Column4]]*Table645[[#This Row],[Column94]])</f>
        <v>0</v>
      </c>
      <c r="CS96" s="218" t="str">
        <f>IF(Table645[[#This Row],[Column87]]="","",Table645[[#This Row],[Column87]])</f>
        <v/>
      </c>
      <c r="CT96" s="91" t="str">
        <f>IF(Table645[[#This Row],[Column97]]="","--",Table645[[#This Row],[Column97]]/$CS$3/60/24)</f>
        <v>--</v>
      </c>
      <c r="CU96" s="92">
        <f>IF(Table645[[#This Row],[Column98]]="--",0,Table645[[#This Row],[Column4]]*Table645[[#This Row],[Column98]])</f>
        <v>0</v>
      </c>
      <c r="CV96" s="93"/>
      <c r="CW96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96" s="91" t="str">
        <f>IF(OR(Table645[[#This Row],[Column74]]&gt;0,Table645[[#This Row],[Column87]]&gt;0),(Table645[[#This Row],[Column73]]+Table645[[#This Row],[Column86]]+1)*$CW$3/60/24,"--")</f>
        <v>--</v>
      </c>
      <c r="CY96" s="92">
        <f>IF(Table645[[#This Row],[Column102]]="--",0,Table645[[#This Row],[Column4]]*Table645[[#This Row],[Column102]])</f>
        <v>0</v>
      </c>
      <c r="CZ96" s="158" t="str">
        <f t="shared" si="80"/>
        <v>--</v>
      </c>
      <c r="DA96" s="153"/>
      <c r="DB96" s="160">
        <f>IF(Table645[[#This Row],[Column104]]="--",0,Table645[[#This Row],[Column4]]*Table645[[#This Row],[Column104]])</f>
        <v>0</v>
      </c>
      <c r="DC96" s="219"/>
      <c r="DD96" s="220" t="str">
        <f>IF(DC96=0,"--",1/$DC$3*1000/(60*60*24)*Table645[[#This Row],[Column107]])</f>
        <v>--</v>
      </c>
      <c r="DE96" s="160">
        <f>IF(Table645[[#This Row],[Column108]]="--",0,Table645[[#This Row],[Column4]]*Table645[[#This Row],[Column108]])</f>
        <v>0</v>
      </c>
      <c r="DF96" s="101" t="s">
        <v>70</v>
      </c>
      <c r="DG96" s="91" t="str">
        <f t="shared" si="81"/>
        <v>--</v>
      </c>
      <c r="DH96" s="89">
        <f>IF(Table645[[#This Row],[Column111]]="--",0,Table645[[#This Row],[Column4]]*Table645[[#This Row],[Column111]])</f>
        <v>0</v>
      </c>
      <c r="DI96" s="96"/>
      <c r="DJ96" s="96"/>
      <c r="DK96" s="96"/>
      <c r="DL96" s="96"/>
      <c r="DM96" s="96"/>
      <c r="DN96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96" s="89">
        <f>IF(Table645[[#This Row],[Column118]]="--",0,Table645[[#This Row],[Column4]]*Table645[[#This Row],[Column118]])</f>
        <v>0</v>
      </c>
      <c r="DP96" s="96"/>
      <c r="DQ96" s="96"/>
      <c r="DR96" s="91" t="str">
        <f t="shared" si="82"/>
        <v>--</v>
      </c>
      <c r="DS96" s="89">
        <f>IF(Table645[[#This Row],[Column122]]="--",0,Table645[[#This Row],[Column4]]*Table645[[#This Row],[Column122]])</f>
        <v>0</v>
      </c>
      <c r="DT96" t="str">
        <f>IF(Table645[[#This Row],[Column125]]=0,"--",Table645[[#This Row],[Column125]]*Table645[[#This Row],[Column126]]*Table645[[#This Row],[Column127]]/1000000000)</f>
        <v>--</v>
      </c>
      <c r="DU96" s="53"/>
      <c r="DV96" s="53"/>
      <c r="DW96" s="53"/>
      <c r="DX96" s="91" t="str">
        <f t="shared" si="83"/>
        <v>--</v>
      </c>
      <c r="DY96" s="89">
        <f>IF(Table645[[#This Row],[Column128]]="--",0,Table645[[#This Row],[Column4]]*Table645[[#This Row],[Column128]])</f>
        <v>0</v>
      </c>
      <c r="EA96" s="89">
        <f>IF(Table645[[#This Row],[Column128]]="--",0,Table645[[#This Row],[Column4]]*Table645[[#This Row],[Column128]])</f>
        <v>0</v>
      </c>
      <c r="EC96" s="89">
        <f>IF(Table645[[#This Row],[Column128]]="--",0,Table645[[#This Row],[Column4]]*Table645[[#This Row],[Column128]])</f>
        <v>0</v>
      </c>
      <c r="EE96" s="89">
        <f>IF(Table645[[#This Row],[Column128]]="--",0,Table645[[#This Row],[Column4]]*Table645[[#This Row],[Column128]])</f>
        <v>0</v>
      </c>
      <c r="EG96" s="89">
        <f>IF(Table645[[#This Row],[Column128]]="--",0,Table645[[#This Row],[Column4]]*Table645[[#This Row],[Column128]])</f>
        <v>0</v>
      </c>
      <c r="EI96" s="89">
        <f>IF(Table645[[#This Row],[Column128]]="--",0,Table645[[#This Row],[Column4]]*Table645[[#This Row],[Column128]])</f>
        <v>0</v>
      </c>
    </row>
    <row r="97" spans="1:139" x14ac:dyDescent="0.25">
      <c r="A97" s="140"/>
      <c r="B97" s="79"/>
      <c r="C97" s="140"/>
      <c r="D97" s="167"/>
      <c r="E97" s="52"/>
      <c r="F97" s="81"/>
      <c r="G97" s="81"/>
      <c r="H97" s="102" t="str">
        <f t="shared" si="74"/>
        <v>--</v>
      </c>
      <c r="I97" s="100">
        <f>IF(Table645[[#This Row],[Column8]]="--",0,Table645[[#This Row],[Column4]]*Table645[[#This Row],[Column8]])</f>
        <v>0</v>
      </c>
      <c r="J97" s="169"/>
      <c r="K97" s="85">
        <f>Table645[[#This Row],[Column4]]*Table645[[#This Row],[Column10]]</f>
        <v>0</v>
      </c>
      <c r="L97" s="170" t="str">
        <f t="shared" si="75"/>
        <v>--</v>
      </c>
      <c r="M97" s="214">
        <f>IF(Table645[[#This Row],[Column10]]=0,0,Table645[[#This Row],[Column4]]*Table645[[#This Row],[Column12]])</f>
        <v>0</v>
      </c>
      <c r="N97" s="87" t="str">
        <f t="shared" si="76"/>
        <v>--</v>
      </c>
      <c r="O97" s="138"/>
      <c r="AZ97" s="89">
        <f>IF(Table645[[#This Row],[Column14]]="--",0,Table645[[#This Row],[Column4]]*Table645[[#This Row],[Column14]])</f>
        <v>0</v>
      </c>
      <c r="BA97" s="90"/>
      <c r="BB97" s="91" t="str">
        <f>IF(BA97=0,"--",BA97*$BA$3*IF(Table645[[#This Row],[Column5]]&lt;4.1,1,2)/60/24)</f>
        <v>--</v>
      </c>
      <c r="BC97" s="92">
        <f>IF(Table645[[#This Row],[Column54]]="--",0,Table645[[#This Row],[Column4]]*Table645[[#This Row],[Column54]])</f>
        <v>0</v>
      </c>
      <c r="BD97" s="119"/>
      <c r="BE97" s="119"/>
      <c r="BF97" s="119"/>
      <c r="BG97" s="91" t="str">
        <f>IF(BD97+Table645[[#This Row],[Column58]]=0,"--",(BD97*$BF$3*Table645[[#This Row],[Column57]]+Table645[[#This Row],[Column58]]*$BF$4)/60/24)</f>
        <v>--</v>
      </c>
      <c r="BH97" s="92">
        <f>IF(Table645[[#This Row],[Column59]]="--",0,Table645[[#This Row],[Column4]]*Table645[[#This Row],[Column59]])</f>
        <v>0</v>
      </c>
      <c r="BI97" s="119"/>
      <c r="BJ97" s="91" t="str">
        <f t="shared" si="15"/>
        <v>--</v>
      </c>
      <c r="BK97" s="92">
        <f>IF(Table645[[#This Row],[Column62]]="--",0,Table645[[#This Row],[Column4]]*Table645[[#This Row],[Column62]])</f>
        <v>0</v>
      </c>
      <c r="BL97" s="93"/>
      <c r="BM97" s="91" t="str">
        <f t="shared" si="77"/>
        <v>--</v>
      </c>
      <c r="BN97" s="89">
        <f>IF(Table645[[#This Row],[Column65]]="--",0,Table645[[#This Row],[Column4]]*Table645[[#This Row],[Column65]])</f>
        <v>0</v>
      </c>
      <c r="BO97" s="163"/>
      <c r="BP97" s="164" t="str">
        <f t="shared" si="78"/>
        <v>--</v>
      </c>
      <c r="BQ97" s="160">
        <f>IF(Table645[[#This Row],[Column68]]="--",0,Table645[[#This Row],[Column4]]*Table645[[#This Row],[Column68]])</f>
        <v>0</v>
      </c>
      <c r="BR97" s="94"/>
      <c r="BS97" s="91" t="str">
        <f t="shared" si="79"/>
        <v>--</v>
      </c>
      <c r="BT97" s="92">
        <f>IF(Table645[[#This Row],[Column71]]="--",0,Table645[[#This Row],[Column4]]*Table645[[#This Row],[Column71]])</f>
        <v>0</v>
      </c>
      <c r="BU97" s="44"/>
      <c r="BV97" s="90"/>
      <c r="BW97" s="91" t="str">
        <f>IF(BV97=0,"--",(Table645[[#This Row],[Column73]]*$BV$4*(IF(J97&lt;0.5001,1,IF(J97&lt;2.0001,2,3)))+BV97/$BV$3)/60/24)</f>
        <v>--</v>
      </c>
      <c r="BX97" s="92">
        <f>IF(Table645[[#This Row],[Column75]]="--",0,Table645[[#This Row],[Column4]]*Table645[[#This Row],[Column75]])</f>
        <v>0</v>
      </c>
      <c r="BY97" s="95" t="s">
        <v>70</v>
      </c>
      <c r="BZ97" s="91" t="str">
        <f>IF(Table645[[#This Row],[Column74]]=0,"--",BW97*$BY$3)</f>
        <v>--</v>
      </c>
      <c r="CA97" s="89">
        <f>IF(Table645[[#This Row],[Column78]]="--",0,Table645[[#This Row],[Column4]]*Table645[[#This Row],[Column78]])</f>
        <v>0</v>
      </c>
      <c r="CB97" s="95" t="s">
        <v>70</v>
      </c>
      <c r="CC97" s="91" t="str">
        <f>IF(Table645[[#This Row],[Column10]]+Table645[[#This Row],[Column74]]=0,"--",J97*$CB$4*$CB$5/(24*60)+IF(Table645[[#This Row],[Column74]]=0,0,$CB$3*Table645[[#This Row],[Column75]]))</f>
        <v>--</v>
      </c>
      <c r="CD97" s="92">
        <f>IF(Table645[[#This Row],[Column81]]="--",0,Table645[[#This Row],[Column4]]*Table645[[#This Row],[Column81]])</f>
        <v>0</v>
      </c>
      <c r="CE97" s="215"/>
      <c r="CF97" s="91" t="str">
        <f t="shared" si="19"/>
        <v>--</v>
      </c>
      <c r="CG97" s="92">
        <f>IF(Table645[[#This Row],[Column84]]="--",0,Table645[[#This Row],[Column4]]*Table645[[#This Row],[Column84]])</f>
        <v>0</v>
      </c>
      <c r="CH97" s="226"/>
      <c r="CI97" s="216"/>
      <c r="CJ97" s="91" t="str">
        <f>IF(CI97=0,"--",(Table645[[#This Row],[Column86]]*$CI$4*(IF(W97&lt;0.5001,1,IF(W97&lt;2.0001,2,3)))+CI97/$CI$3)/60/24)</f>
        <v>--</v>
      </c>
      <c r="CK97" s="92">
        <f>IF(Table645[[#This Row],[Column88]]="--",0,Table645[[#This Row],[Column4]]*Table645[[#This Row],[Column88]])</f>
        <v>0</v>
      </c>
      <c r="CL97" s="217"/>
      <c r="CM97" s="91" t="str">
        <f>IF(Table645[[#This Row],[Column87]]=0,"--",CJ97*$CL$3)</f>
        <v>--</v>
      </c>
      <c r="CN97" s="92">
        <f>IF(Table645[[#This Row],[Column91]]="--",0,Table645[[#This Row],[Column4]]*Table645[[#This Row],[Column91]])</f>
        <v>0</v>
      </c>
      <c r="CO97" s="217"/>
      <c r="CP97" s="91" t="str">
        <f>IF(Table645[[#This Row],[Column10]]+Table645[[#This Row],[Column87]]=0, "--", IF($D97="", 1, $D97) * IF($J97="", 1, $J97) * $CO$3 * $CO$4 * IF(Table645[[#This Row],[Column95]]="", 1, Table645[[#This Row],[Column95]]) / (24 * 60))</f>
        <v>--</v>
      </c>
      <c r="CQ97" s="164"/>
      <c r="CR97" s="92">
        <f>IF(Table645[[#This Row],[Column94]]="--",0,Table645[[#This Row],[Column4]]*Table645[[#This Row],[Column94]])</f>
        <v>0</v>
      </c>
      <c r="CS97" s="218" t="str">
        <f>IF(Table645[[#This Row],[Column87]]="","",Table645[[#This Row],[Column87]])</f>
        <v/>
      </c>
      <c r="CT97" s="91" t="str">
        <f>IF(Table645[[#This Row],[Column97]]="","--",Table645[[#This Row],[Column97]]/$CS$3/60/24)</f>
        <v>--</v>
      </c>
      <c r="CU97" s="92">
        <f>IF(Table645[[#This Row],[Column98]]="--",0,Table645[[#This Row],[Column4]]*Table645[[#This Row],[Column98]])</f>
        <v>0</v>
      </c>
      <c r="CV97" s="93"/>
      <c r="CW97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97" s="91" t="str">
        <f>IF(OR(Table645[[#This Row],[Column74]]&gt;0,Table645[[#This Row],[Column87]]&gt;0),(Table645[[#This Row],[Column73]]+Table645[[#This Row],[Column86]]+1)*$CW$3/60/24,"--")</f>
        <v>--</v>
      </c>
      <c r="CY97" s="92">
        <f>IF(Table645[[#This Row],[Column102]]="--",0,Table645[[#This Row],[Column4]]*Table645[[#This Row],[Column102]])</f>
        <v>0</v>
      </c>
      <c r="CZ97" s="158" t="str">
        <f t="shared" si="80"/>
        <v>--</v>
      </c>
      <c r="DA97" s="153"/>
      <c r="DB97" s="160">
        <f>IF(Table645[[#This Row],[Column104]]="--",0,Table645[[#This Row],[Column4]]*Table645[[#This Row],[Column104]])</f>
        <v>0</v>
      </c>
      <c r="DC97" s="219"/>
      <c r="DD97" s="220" t="str">
        <f>IF(DC97=0,"--",1/$DC$3*1000/(60*60*24)*Table645[[#This Row],[Column107]])</f>
        <v>--</v>
      </c>
      <c r="DE97" s="160">
        <f>IF(Table645[[#This Row],[Column108]]="--",0,Table645[[#This Row],[Column4]]*Table645[[#This Row],[Column108]])</f>
        <v>0</v>
      </c>
      <c r="DF97" s="101" t="s">
        <v>70</v>
      </c>
      <c r="DG97" s="91" t="str">
        <f t="shared" si="81"/>
        <v>--</v>
      </c>
      <c r="DH97" s="89">
        <f>IF(Table645[[#This Row],[Column111]]="--",0,Table645[[#This Row],[Column4]]*Table645[[#This Row],[Column111]])</f>
        <v>0</v>
      </c>
      <c r="DI97" s="96"/>
      <c r="DJ97" s="96"/>
      <c r="DK97" s="96"/>
      <c r="DL97" s="96"/>
      <c r="DM97" s="96"/>
      <c r="DN97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97" s="89">
        <f>IF(Table645[[#This Row],[Column118]]="--",0,Table645[[#This Row],[Column4]]*Table645[[#This Row],[Column118]])</f>
        <v>0</v>
      </c>
      <c r="DP97" s="96"/>
      <c r="DQ97" s="96"/>
      <c r="DR97" s="91" t="str">
        <f t="shared" si="82"/>
        <v>--</v>
      </c>
      <c r="DS97" s="89">
        <f>IF(Table645[[#This Row],[Column122]]="--",0,Table645[[#This Row],[Column4]]*Table645[[#This Row],[Column122]])</f>
        <v>0</v>
      </c>
      <c r="DT97" t="str">
        <f>IF(Table645[[#This Row],[Column125]]=0,"--",Table645[[#This Row],[Column125]]*Table645[[#This Row],[Column126]]*Table645[[#This Row],[Column127]]/1000000000)</f>
        <v>--</v>
      </c>
      <c r="DU97" s="53"/>
      <c r="DV97" s="53"/>
      <c r="DW97" s="53"/>
      <c r="DX97" s="91" t="str">
        <f t="shared" si="83"/>
        <v>--</v>
      </c>
      <c r="DY97" s="89">
        <f>IF(Table645[[#This Row],[Column128]]="--",0,Table645[[#This Row],[Column4]]*Table645[[#This Row],[Column128]])</f>
        <v>0</v>
      </c>
      <c r="EA97" s="89">
        <f>IF(Table645[[#This Row],[Column128]]="--",0,Table645[[#This Row],[Column4]]*Table645[[#This Row],[Column128]])</f>
        <v>0</v>
      </c>
      <c r="EC97" s="89">
        <f>IF(Table645[[#This Row],[Column128]]="--",0,Table645[[#This Row],[Column4]]*Table645[[#This Row],[Column128]])</f>
        <v>0</v>
      </c>
      <c r="EE97" s="89">
        <f>IF(Table645[[#This Row],[Column128]]="--",0,Table645[[#This Row],[Column4]]*Table645[[#This Row],[Column128]])</f>
        <v>0</v>
      </c>
      <c r="EG97" s="89">
        <f>IF(Table645[[#This Row],[Column128]]="--",0,Table645[[#This Row],[Column4]]*Table645[[#This Row],[Column128]])</f>
        <v>0</v>
      </c>
      <c r="EI97" s="89">
        <f>IF(Table645[[#This Row],[Column128]]="--",0,Table645[[#This Row],[Column4]]*Table645[[#This Row],[Column128]])</f>
        <v>0</v>
      </c>
    </row>
    <row r="98" spans="1:139" x14ac:dyDescent="0.25">
      <c r="A98" s="140"/>
      <c r="B98" s="79"/>
      <c r="C98" s="140"/>
      <c r="D98" s="167"/>
      <c r="E98" s="52"/>
      <c r="F98" s="81"/>
      <c r="G98" s="81"/>
      <c r="H98" s="102" t="str">
        <f t="shared" si="74"/>
        <v>--</v>
      </c>
      <c r="I98" s="100">
        <f>IF(Table645[[#This Row],[Column8]]="--",0,Table645[[#This Row],[Column4]]*Table645[[#This Row],[Column8]])</f>
        <v>0</v>
      </c>
      <c r="J98" s="169"/>
      <c r="K98" s="85">
        <f>Table645[[#This Row],[Column4]]*Table645[[#This Row],[Column10]]</f>
        <v>0</v>
      </c>
      <c r="L98" s="170" t="str">
        <f t="shared" si="75"/>
        <v>--</v>
      </c>
      <c r="M98" s="214">
        <f>IF(Table645[[#This Row],[Column10]]=0,0,Table645[[#This Row],[Column4]]*Table645[[#This Row],[Column12]])</f>
        <v>0</v>
      </c>
      <c r="N98" s="87" t="str">
        <f t="shared" si="76"/>
        <v>--</v>
      </c>
      <c r="O98" s="138"/>
      <c r="AZ98" s="89">
        <f>IF(Table645[[#This Row],[Column14]]="--",0,Table645[[#This Row],[Column4]]*Table645[[#This Row],[Column14]])</f>
        <v>0</v>
      </c>
      <c r="BA98" s="90"/>
      <c r="BB98" s="91" t="str">
        <f>IF(BA98=0,"--",BA98*$BA$3*IF(Table645[[#This Row],[Column5]]&lt;4.1,1,2)/60/24)</f>
        <v>--</v>
      </c>
      <c r="BC98" s="92">
        <f>IF(Table645[[#This Row],[Column54]]="--",0,Table645[[#This Row],[Column4]]*Table645[[#This Row],[Column54]])</f>
        <v>0</v>
      </c>
      <c r="BD98" s="119"/>
      <c r="BE98" s="119"/>
      <c r="BF98" s="119"/>
      <c r="BG98" s="91" t="str">
        <f>IF(BD98+Table645[[#This Row],[Column58]]=0,"--",(BD98*$BF$3*Table645[[#This Row],[Column57]]+Table645[[#This Row],[Column58]]*$BF$4)/60/24)</f>
        <v>--</v>
      </c>
      <c r="BH98" s="92">
        <f>IF(Table645[[#This Row],[Column59]]="--",0,Table645[[#This Row],[Column4]]*Table645[[#This Row],[Column59]])</f>
        <v>0</v>
      </c>
      <c r="BI98" s="119"/>
      <c r="BJ98" s="91" t="str">
        <f t="shared" si="15"/>
        <v>--</v>
      </c>
      <c r="BK98" s="92">
        <f>IF(Table645[[#This Row],[Column62]]="--",0,Table645[[#This Row],[Column4]]*Table645[[#This Row],[Column62]])</f>
        <v>0</v>
      </c>
      <c r="BL98" s="93"/>
      <c r="BM98" s="91" t="str">
        <f t="shared" si="77"/>
        <v>--</v>
      </c>
      <c r="BN98" s="89">
        <f>IF(Table645[[#This Row],[Column65]]="--",0,Table645[[#This Row],[Column4]]*Table645[[#This Row],[Column65]])</f>
        <v>0</v>
      </c>
      <c r="BO98" s="163"/>
      <c r="BP98" s="164" t="str">
        <f t="shared" si="78"/>
        <v>--</v>
      </c>
      <c r="BQ98" s="160">
        <f>IF(Table645[[#This Row],[Column68]]="--",0,Table645[[#This Row],[Column4]]*Table645[[#This Row],[Column68]])</f>
        <v>0</v>
      </c>
      <c r="BR98" s="94"/>
      <c r="BS98" s="91" t="str">
        <f t="shared" si="79"/>
        <v>--</v>
      </c>
      <c r="BT98" s="92">
        <f>IF(Table645[[#This Row],[Column71]]="--",0,Table645[[#This Row],[Column4]]*Table645[[#This Row],[Column71]])</f>
        <v>0</v>
      </c>
      <c r="BU98" s="44"/>
      <c r="BV98" s="90"/>
      <c r="BW98" s="91" t="str">
        <f>IF(BV98=0,"--",(Table645[[#This Row],[Column73]]*$BV$4*(IF(J98&lt;0.5001,1,IF(J98&lt;2.0001,2,3)))+BV98/$BV$3)/60/24)</f>
        <v>--</v>
      </c>
      <c r="BX98" s="92">
        <f>IF(Table645[[#This Row],[Column75]]="--",0,Table645[[#This Row],[Column4]]*Table645[[#This Row],[Column75]])</f>
        <v>0</v>
      </c>
      <c r="BY98" s="95" t="s">
        <v>70</v>
      </c>
      <c r="BZ98" s="91" t="str">
        <f>IF(Table645[[#This Row],[Column74]]=0,"--",BW98*$BY$3)</f>
        <v>--</v>
      </c>
      <c r="CA98" s="89">
        <f>IF(Table645[[#This Row],[Column78]]="--",0,Table645[[#This Row],[Column4]]*Table645[[#This Row],[Column78]])</f>
        <v>0</v>
      </c>
      <c r="CB98" s="95" t="s">
        <v>70</v>
      </c>
      <c r="CC98" s="91" t="str">
        <f>IF(Table645[[#This Row],[Column10]]+Table645[[#This Row],[Column74]]=0,"--",J98*$CB$4*$CB$5/(24*60)+IF(Table645[[#This Row],[Column74]]=0,0,$CB$3*Table645[[#This Row],[Column75]]))</f>
        <v>--</v>
      </c>
      <c r="CD98" s="92">
        <f>IF(Table645[[#This Row],[Column81]]="--",0,Table645[[#This Row],[Column4]]*Table645[[#This Row],[Column81]])</f>
        <v>0</v>
      </c>
      <c r="CE98" s="215"/>
      <c r="CF98" s="91" t="str">
        <f t="shared" si="19"/>
        <v>--</v>
      </c>
      <c r="CG98" s="92">
        <f>IF(Table645[[#This Row],[Column84]]="--",0,Table645[[#This Row],[Column4]]*Table645[[#This Row],[Column84]])</f>
        <v>0</v>
      </c>
      <c r="CH98" s="226"/>
      <c r="CI98" s="216"/>
      <c r="CJ98" s="91" t="str">
        <f>IF(CI98=0,"--",(Table645[[#This Row],[Column86]]*$CI$4*(IF(W98&lt;0.5001,1,IF(W98&lt;2.0001,2,3)))+CI98/$CI$3)/60/24)</f>
        <v>--</v>
      </c>
      <c r="CK98" s="92">
        <f>IF(Table645[[#This Row],[Column88]]="--",0,Table645[[#This Row],[Column4]]*Table645[[#This Row],[Column88]])</f>
        <v>0</v>
      </c>
      <c r="CL98" s="217"/>
      <c r="CM98" s="91" t="str">
        <f>IF(Table645[[#This Row],[Column87]]=0,"--",CJ98*$CL$3)</f>
        <v>--</v>
      </c>
      <c r="CN98" s="92">
        <f>IF(Table645[[#This Row],[Column91]]="--",0,Table645[[#This Row],[Column4]]*Table645[[#This Row],[Column91]])</f>
        <v>0</v>
      </c>
      <c r="CO98" s="217"/>
      <c r="CP98" s="91" t="str">
        <f>IF(Table645[[#This Row],[Column10]]+Table645[[#This Row],[Column87]]=0, "--", IF($D98="", 1, $D98) * IF($J98="", 1, $J98) * $CO$3 * $CO$4 * IF(Table645[[#This Row],[Column95]]="", 1, Table645[[#This Row],[Column95]]) / (24 * 60))</f>
        <v>--</v>
      </c>
      <c r="CQ98" s="164"/>
      <c r="CR98" s="92">
        <f>IF(Table645[[#This Row],[Column94]]="--",0,Table645[[#This Row],[Column4]]*Table645[[#This Row],[Column94]])</f>
        <v>0</v>
      </c>
      <c r="CS98" s="218" t="str">
        <f>IF(Table645[[#This Row],[Column87]]="","",Table645[[#This Row],[Column87]])</f>
        <v/>
      </c>
      <c r="CT98" s="91" t="str">
        <f>IF(Table645[[#This Row],[Column97]]="","--",Table645[[#This Row],[Column97]]/$CS$3/60/24)</f>
        <v>--</v>
      </c>
      <c r="CU98" s="92">
        <f>IF(Table645[[#This Row],[Column98]]="--",0,Table645[[#This Row],[Column4]]*Table645[[#This Row],[Column98]])</f>
        <v>0</v>
      </c>
      <c r="CV98" s="93"/>
      <c r="CW98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98" s="91" t="str">
        <f>IF(OR(Table645[[#This Row],[Column74]]&gt;0,Table645[[#This Row],[Column87]]&gt;0),(Table645[[#This Row],[Column73]]+Table645[[#This Row],[Column86]]+1)*$CW$3/60/24,"--")</f>
        <v>--</v>
      </c>
      <c r="CY98" s="92">
        <f>IF(Table645[[#This Row],[Column102]]="--",0,Table645[[#This Row],[Column4]]*Table645[[#This Row],[Column102]])</f>
        <v>0</v>
      </c>
      <c r="CZ98" s="158" t="str">
        <f t="shared" si="80"/>
        <v>--</v>
      </c>
      <c r="DA98" s="153"/>
      <c r="DB98" s="160">
        <f>IF(Table645[[#This Row],[Column104]]="--",0,Table645[[#This Row],[Column4]]*Table645[[#This Row],[Column104]])</f>
        <v>0</v>
      </c>
      <c r="DC98" s="219"/>
      <c r="DD98" s="220" t="str">
        <f>IF(DC98=0,"--",1/$DC$3*1000/(60*60*24)*Table645[[#This Row],[Column107]])</f>
        <v>--</v>
      </c>
      <c r="DE98" s="160">
        <f>IF(Table645[[#This Row],[Column108]]="--",0,Table645[[#This Row],[Column4]]*Table645[[#This Row],[Column108]])</f>
        <v>0</v>
      </c>
      <c r="DF98" s="101" t="s">
        <v>70</v>
      </c>
      <c r="DG98" s="91" t="str">
        <f t="shared" si="81"/>
        <v>--</v>
      </c>
      <c r="DH98" s="89">
        <f>IF(Table645[[#This Row],[Column111]]="--",0,Table645[[#This Row],[Column4]]*Table645[[#This Row],[Column111]])</f>
        <v>0</v>
      </c>
      <c r="DI98" s="96"/>
      <c r="DJ98" s="96"/>
      <c r="DK98" s="96"/>
      <c r="DL98" s="96"/>
      <c r="DM98" s="96"/>
      <c r="DN98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98" s="89">
        <f>IF(Table645[[#This Row],[Column118]]="--",0,Table645[[#This Row],[Column4]]*Table645[[#This Row],[Column118]])</f>
        <v>0</v>
      </c>
      <c r="DP98" s="96"/>
      <c r="DQ98" s="96"/>
      <c r="DR98" s="91" t="str">
        <f t="shared" si="82"/>
        <v>--</v>
      </c>
      <c r="DS98" s="89">
        <f>IF(Table645[[#This Row],[Column122]]="--",0,Table645[[#This Row],[Column4]]*Table645[[#This Row],[Column122]])</f>
        <v>0</v>
      </c>
      <c r="DT98" t="str">
        <f>IF(Table645[[#This Row],[Column125]]=0,"--",Table645[[#This Row],[Column125]]*Table645[[#This Row],[Column126]]*Table645[[#This Row],[Column127]]/1000000000)</f>
        <v>--</v>
      </c>
      <c r="DU98" s="53"/>
      <c r="DV98" s="53"/>
      <c r="DW98" s="53"/>
      <c r="DX98" s="91" t="str">
        <f t="shared" si="83"/>
        <v>--</v>
      </c>
      <c r="DY98" s="89">
        <f>IF(Table645[[#This Row],[Column128]]="--",0,Table645[[#This Row],[Column4]]*Table645[[#This Row],[Column128]])</f>
        <v>0</v>
      </c>
      <c r="EA98" s="89">
        <f>IF(Table645[[#This Row],[Column128]]="--",0,Table645[[#This Row],[Column4]]*Table645[[#This Row],[Column128]])</f>
        <v>0</v>
      </c>
      <c r="EC98" s="89">
        <f>IF(Table645[[#This Row],[Column128]]="--",0,Table645[[#This Row],[Column4]]*Table645[[#This Row],[Column128]])</f>
        <v>0</v>
      </c>
      <c r="EE98" s="89">
        <f>IF(Table645[[#This Row],[Column128]]="--",0,Table645[[#This Row],[Column4]]*Table645[[#This Row],[Column128]])</f>
        <v>0</v>
      </c>
      <c r="EG98" s="89">
        <f>IF(Table645[[#This Row],[Column128]]="--",0,Table645[[#This Row],[Column4]]*Table645[[#This Row],[Column128]])</f>
        <v>0</v>
      </c>
      <c r="EI98" s="89">
        <f>IF(Table645[[#This Row],[Column128]]="--",0,Table645[[#This Row],[Column4]]*Table645[[#This Row],[Column128]])</f>
        <v>0</v>
      </c>
    </row>
    <row r="99" spans="1:139" x14ac:dyDescent="0.25">
      <c r="A99" s="140"/>
      <c r="B99" s="79"/>
      <c r="C99" s="140"/>
      <c r="D99" s="167"/>
      <c r="E99" s="52"/>
      <c r="F99" s="81"/>
      <c r="G99" s="81"/>
      <c r="H99" s="102" t="str">
        <f t="shared" si="74"/>
        <v>--</v>
      </c>
      <c r="I99" s="100">
        <f>IF(Table645[[#This Row],[Column8]]="--",0,Table645[[#This Row],[Column4]]*Table645[[#This Row],[Column8]])</f>
        <v>0</v>
      </c>
      <c r="J99" s="169"/>
      <c r="K99" s="85">
        <f>Table645[[#This Row],[Column4]]*Table645[[#This Row],[Column10]]</f>
        <v>0</v>
      </c>
      <c r="L99" s="170" t="str">
        <f t="shared" si="75"/>
        <v>--</v>
      </c>
      <c r="M99" s="214">
        <f>IF(Table645[[#This Row],[Column10]]=0,0,Table645[[#This Row],[Column4]]*Table645[[#This Row],[Column12]])</f>
        <v>0</v>
      </c>
      <c r="N99" s="87" t="str">
        <f t="shared" si="76"/>
        <v>--</v>
      </c>
      <c r="O99" s="138"/>
      <c r="AZ99" s="89">
        <f>IF(Table645[[#This Row],[Column14]]="--",0,Table645[[#This Row],[Column4]]*Table645[[#This Row],[Column14]])</f>
        <v>0</v>
      </c>
      <c r="BA99" s="90"/>
      <c r="BB99" s="91" t="str">
        <f>IF(BA99=0,"--",BA99*$BA$3*IF(Table645[[#This Row],[Column5]]&lt;4.1,1,2)/60/24)</f>
        <v>--</v>
      </c>
      <c r="BC99" s="92">
        <f>IF(Table645[[#This Row],[Column54]]="--",0,Table645[[#This Row],[Column4]]*Table645[[#This Row],[Column54]])</f>
        <v>0</v>
      </c>
      <c r="BD99" s="119"/>
      <c r="BE99" s="119"/>
      <c r="BF99" s="119"/>
      <c r="BG99" s="91" t="str">
        <f>IF(BD99+Table645[[#This Row],[Column58]]=0,"--",(BD99*$BF$3*Table645[[#This Row],[Column57]]+Table645[[#This Row],[Column58]]*$BF$4)/60/24)</f>
        <v>--</v>
      </c>
      <c r="BH99" s="92">
        <f>IF(Table645[[#This Row],[Column59]]="--",0,Table645[[#This Row],[Column4]]*Table645[[#This Row],[Column59]])</f>
        <v>0</v>
      </c>
      <c r="BI99" s="119"/>
      <c r="BJ99" s="91" t="str">
        <f t="shared" ref="BJ99:BJ162" si="84">IF(BI99=0,"--",BI99/$BI$3/60/24)</f>
        <v>--</v>
      </c>
      <c r="BK99" s="92">
        <f>IF(Table645[[#This Row],[Column62]]="--",0,Table645[[#This Row],[Column4]]*Table645[[#This Row],[Column62]])</f>
        <v>0</v>
      </c>
      <c r="BL99" s="93"/>
      <c r="BM99" s="91" t="str">
        <f t="shared" si="77"/>
        <v>--</v>
      </c>
      <c r="BN99" s="89">
        <f>IF(Table645[[#This Row],[Column65]]="--",0,Table645[[#This Row],[Column4]]*Table645[[#This Row],[Column65]])</f>
        <v>0</v>
      </c>
      <c r="BO99" s="163"/>
      <c r="BP99" s="164" t="str">
        <f t="shared" si="78"/>
        <v>--</v>
      </c>
      <c r="BQ99" s="160">
        <f>IF(Table645[[#This Row],[Column68]]="--",0,Table645[[#This Row],[Column4]]*Table645[[#This Row],[Column68]])</f>
        <v>0</v>
      </c>
      <c r="BR99" s="94"/>
      <c r="BS99" s="91" t="str">
        <f t="shared" si="79"/>
        <v>--</v>
      </c>
      <c r="BT99" s="92">
        <f>IF(Table645[[#This Row],[Column71]]="--",0,Table645[[#This Row],[Column4]]*Table645[[#This Row],[Column71]])</f>
        <v>0</v>
      </c>
      <c r="BU99" s="44"/>
      <c r="BV99" s="90"/>
      <c r="BW99" s="91" t="str">
        <f>IF(BV99=0,"--",(Table645[[#This Row],[Column73]]*$BV$4*(IF(J99&lt;0.5001,1,IF(J99&lt;2.0001,2,3)))+BV99/$BV$3)/60/24)</f>
        <v>--</v>
      </c>
      <c r="BX99" s="92">
        <f>IF(Table645[[#This Row],[Column75]]="--",0,Table645[[#This Row],[Column4]]*Table645[[#This Row],[Column75]])</f>
        <v>0</v>
      </c>
      <c r="BY99" s="95" t="s">
        <v>70</v>
      </c>
      <c r="BZ99" s="91" t="str">
        <f>IF(Table645[[#This Row],[Column74]]=0,"--",BW99*$BY$3)</f>
        <v>--</v>
      </c>
      <c r="CA99" s="89">
        <f>IF(Table645[[#This Row],[Column78]]="--",0,Table645[[#This Row],[Column4]]*Table645[[#This Row],[Column78]])</f>
        <v>0</v>
      </c>
      <c r="CB99" s="95" t="s">
        <v>70</v>
      </c>
      <c r="CC99" s="91" t="str">
        <f>IF(Table645[[#This Row],[Column10]]+Table645[[#This Row],[Column74]]=0,"--",J99*$CB$4*$CB$5/(24*60)+IF(Table645[[#This Row],[Column74]]=0,0,$CB$3*Table645[[#This Row],[Column75]]))</f>
        <v>--</v>
      </c>
      <c r="CD99" s="92">
        <f>IF(Table645[[#This Row],[Column81]]="--",0,Table645[[#This Row],[Column4]]*Table645[[#This Row],[Column81]])</f>
        <v>0</v>
      </c>
      <c r="CE99" s="215"/>
      <c r="CF99" s="91" t="str">
        <f t="shared" ref="CF99:CF162" si="85">IF(CE99=0,"--",CE99*$BR$3/60/60/24)</f>
        <v>--</v>
      </c>
      <c r="CG99" s="92">
        <f>IF(Table645[[#This Row],[Column84]]="--",0,Table645[[#This Row],[Column4]]*Table645[[#This Row],[Column84]])</f>
        <v>0</v>
      </c>
      <c r="CH99" s="226"/>
      <c r="CI99" s="216"/>
      <c r="CJ99" s="91" t="str">
        <f>IF(CI99=0,"--",(Table645[[#This Row],[Column86]]*$CI$4*(IF(W99&lt;0.5001,1,IF(W99&lt;2.0001,2,3)))+CI99/$CI$3)/60/24)</f>
        <v>--</v>
      </c>
      <c r="CK99" s="92">
        <f>IF(Table645[[#This Row],[Column88]]="--",0,Table645[[#This Row],[Column4]]*Table645[[#This Row],[Column88]])</f>
        <v>0</v>
      </c>
      <c r="CL99" s="217"/>
      <c r="CM99" s="91" t="str">
        <f>IF(Table645[[#This Row],[Column87]]=0,"--",CJ99*$CL$3)</f>
        <v>--</v>
      </c>
      <c r="CN99" s="92">
        <f>IF(Table645[[#This Row],[Column91]]="--",0,Table645[[#This Row],[Column4]]*Table645[[#This Row],[Column91]])</f>
        <v>0</v>
      </c>
      <c r="CO99" s="217"/>
      <c r="CP99" s="91" t="str">
        <f>IF(Table645[[#This Row],[Column10]]+Table645[[#This Row],[Column87]]=0, "--", IF($D99="", 1, $D99) * IF($J99="", 1, $J99) * $CO$3 * $CO$4 * IF(Table645[[#This Row],[Column95]]="", 1, Table645[[#This Row],[Column95]]) / (24 * 60))</f>
        <v>--</v>
      </c>
      <c r="CQ99" s="164"/>
      <c r="CR99" s="92">
        <f>IF(Table645[[#This Row],[Column94]]="--",0,Table645[[#This Row],[Column4]]*Table645[[#This Row],[Column94]])</f>
        <v>0</v>
      </c>
      <c r="CS99" s="218" t="str">
        <f>IF(Table645[[#This Row],[Column87]]="","",Table645[[#This Row],[Column87]])</f>
        <v/>
      </c>
      <c r="CT99" s="91" t="str">
        <f>IF(Table645[[#This Row],[Column97]]="","--",Table645[[#This Row],[Column97]]/$CS$3/60/24)</f>
        <v>--</v>
      </c>
      <c r="CU99" s="92">
        <f>IF(Table645[[#This Row],[Column98]]="--",0,Table645[[#This Row],[Column4]]*Table645[[#This Row],[Column98]])</f>
        <v>0</v>
      </c>
      <c r="CV99" s="93"/>
      <c r="CW99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99" s="91" t="str">
        <f>IF(OR(Table645[[#This Row],[Column74]]&gt;0,Table645[[#This Row],[Column87]]&gt;0),(Table645[[#This Row],[Column73]]+Table645[[#This Row],[Column86]]+1)*$CW$3/60/24,"--")</f>
        <v>--</v>
      </c>
      <c r="CY99" s="92">
        <f>IF(Table645[[#This Row],[Column102]]="--",0,Table645[[#This Row],[Column4]]*Table645[[#This Row],[Column102]])</f>
        <v>0</v>
      </c>
      <c r="CZ99" s="158" t="str">
        <f t="shared" si="80"/>
        <v>--</v>
      </c>
      <c r="DA99" s="153"/>
      <c r="DB99" s="160">
        <f>IF(Table645[[#This Row],[Column104]]="--",0,Table645[[#This Row],[Column4]]*Table645[[#This Row],[Column104]])</f>
        <v>0</v>
      </c>
      <c r="DC99" s="219"/>
      <c r="DD99" s="220" t="str">
        <f>IF(DC99=0,"--",1/$DC$3*1000/(60*60*24)*Table645[[#This Row],[Column107]])</f>
        <v>--</v>
      </c>
      <c r="DE99" s="160">
        <f>IF(Table645[[#This Row],[Column108]]="--",0,Table645[[#This Row],[Column4]]*Table645[[#This Row],[Column108]])</f>
        <v>0</v>
      </c>
      <c r="DF99" s="101" t="s">
        <v>70</v>
      </c>
      <c r="DG99" s="91" t="str">
        <f t="shared" si="81"/>
        <v>--</v>
      </c>
      <c r="DH99" s="89">
        <f>IF(Table645[[#This Row],[Column111]]="--",0,Table645[[#This Row],[Column4]]*Table645[[#This Row],[Column111]])</f>
        <v>0</v>
      </c>
      <c r="DI99" s="96"/>
      <c r="DJ99" s="96"/>
      <c r="DK99" s="96"/>
      <c r="DL99" s="96"/>
      <c r="DM99" s="96"/>
      <c r="DN99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99" s="89">
        <f>IF(Table645[[#This Row],[Column118]]="--",0,Table645[[#This Row],[Column4]]*Table645[[#This Row],[Column118]])</f>
        <v>0</v>
      </c>
      <c r="DP99" s="96"/>
      <c r="DQ99" s="96"/>
      <c r="DR99" s="91" t="str">
        <f t="shared" si="82"/>
        <v>--</v>
      </c>
      <c r="DS99" s="89">
        <f>IF(Table645[[#This Row],[Column122]]="--",0,Table645[[#This Row],[Column4]]*Table645[[#This Row],[Column122]])</f>
        <v>0</v>
      </c>
      <c r="DT99" t="str">
        <f>IF(Table645[[#This Row],[Column125]]=0,"--",Table645[[#This Row],[Column125]]*Table645[[#This Row],[Column126]]*Table645[[#This Row],[Column127]]/1000000000)</f>
        <v>--</v>
      </c>
      <c r="DU99" s="53"/>
      <c r="DV99" s="53"/>
      <c r="DW99" s="53"/>
      <c r="DX99" s="91" t="str">
        <f t="shared" si="83"/>
        <v>--</v>
      </c>
      <c r="DY99" s="89">
        <f>IF(Table645[[#This Row],[Column128]]="--",0,Table645[[#This Row],[Column4]]*Table645[[#This Row],[Column128]])</f>
        <v>0</v>
      </c>
      <c r="EA99" s="89">
        <f>IF(Table645[[#This Row],[Column128]]="--",0,Table645[[#This Row],[Column4]]*Table645[[#This Row],[Column128]])</f>
        <v>0</v>
      </c>
      <c r="EC99" s="89">
        <f>IF(Table645[[#This Row],[Column128]]="--",0,Table645[[#This Row],[Column4]]*Table645[[#This Row],[Column128]])</f>
        <v>0</v>
      </c>
      <c r="EE99" s="89">
        <f>IF(Table645[[#This Row],[Column128]]="--",0,Table645[[#This Row],[Column4]]*Table645[[#This Row],[Column128]])</f>
        <v>0</v>
      </c>
      <c r="EG99" s="89">
        <f>IF(Table645[[#This Row],[Column128]]="--",0,Table645[[#This Row],[Column4]]*Table645[[#This Row],[Column128]])</f>
        <v>0</v>
      </c>
      <c r="EI99" s="89">
        <f>IF(Table645[[#This Row],[Column128]]="--",0,Table645[[#This Row],[Column4]]*Table645[[#This Row],[Column128]])</f>
        <v>0</v>
      </c>
    </row>
    <row r="100" spans="1:139" x14ac:dyDescent="0.25">
      <c r="A100" s="140"/>
      <c r="B100" s="79"/>
      <c r="C100" s="140"/>
      <c r="D100" s="167"/>
      <c r="E100" s="52"/>
      <c r="F100" s="81"/>
      <c r="G100" s="81"/>
      <c r="H100" s="102" t="str">
        <f t="shared" si="74"/>
        <v>--</v>
      </c>
      <c r="I100" s="100">
        <f>IF(Table645[[#This Row],[Column8]]="--",0,Table645[[#This Row],[Column4]]*Table645[[#This Row],[Column8]])</f>
        <v>0</v>
      </c>
      <c r="J100" s="169"/>
      <c r="K100" s="85">
        <f>Table645[[#This Row],[Column4]]*Table645[[#This Row],[Column10]]</f>
        <v>0</v>
      </c>
      <c r="L100" s="170" t="str">
        <f t="shared" si="75"/>
        <v>--</v>
      </c>
      <c r="M100" s="214">
        <f>IF(Table645[[#This Row],[Column10]]=0,0,Table645[[#This Row],[Column4]]*Table645[[#This Row],[Column12]])</f>
        <v>0</v>
      </c>
      <c r="N100" s="87" t="str">
        <f t="shared" si="76"/>
        <v>--</v>
      </c>
      <c r="O100" s="138"/>
      <c r="AZ100" s="89">
        <f>IF(Table645[[#This Row],[Column14]]="--",0,Table645[[#This Row],[Column4]]*Table645[[#This Row],[Column14]])</f>
        <v>0</v>
      </c>
      <c r="BA100" s="90"/>
      <c r="BB100" s="91" t="str">
        <f>IF(BA100=0,"--",BA100*$BA$3*IF(Table645[[#This Row],[Column5]]&lt;4.1,1,2)/60/24)</f>
        <v>--</v>
      </c>
      <c r="BC100" s="92">
        <f>IF(Table645[[#This Row],[Column54]]="--",0,Table645[[#This Row],[Column4]]*Table645[[#This Row],[Column54]])</f>
        <v>0</v>
      </c>
      <c r="BD100" s="119"/>
      <c r="BE100" s="119"/>
      <c r="BF100" s="119"/>
      <c r="BG100" s="91" t="str">
        <f>IF(BD100+Table645[[#This Row],[Column58]]=0,"--",(BD100*$BF$3*Table645[[#This Row],[Column57]]+Table645[[#This Row],[Column58]]*$BF$4)/60/24)</f>
        <v>--</v>
      </c>
      <c r="BH100" s="92">
        <f>IF(Table645[[#This Row],[Column59]]="--",0,Table645[[#This Row],[Column4]]*Table645[[#This Row],[Column59]])</f>
        <v>0</v>
      </c>
      <c r="BI100" s="119"/>
      <c r="BJ100" s="91" t="str">
        <f t="shared" si="84"/>
        <v>--</v>
      </c>
      <c r="BK100" s="92">
        <f>IF(Table645[[#This Row],[Column62]]="--",0,Table645[[#This Row],[Column4]]*Table645[[#This Row],[Column62]])</f>
        <v>0</v>
      </c>
      <c r="BL100" s="93"/>
      <c r="BM100" s="91" t="str">
        <f t="shared" si="77"/>
        <v>--</v>
      </c>
      <c r="BN100" s="89">
        <f>IF(Table645[[#This Row],[Column65]]="--",0,Table645[[#This Row],[Column4]]*Table645[[#This Row],[Column65]])</f>
        <v>0</v>
      </c>
      <c r="BO100" s="163"/>
      <c r="BP100" s="164" t="str">
        <f t="shared" si="78"/>
        <v>--</v>
      </c>
      <c r="BQ100" s="160">
        <f>IF(Table645[[#This Row],[Column68]]="--",0,Table645[[#This Row],[Column4]]*Table645[[#This Row],[Column68]])</f>
        <v>0</v>
      </c>
      <c r="BR100" s="94"/>
      <c r="BS100" s="91" t="str">
        <f t="shared" si="79"/>
        <v>--</v>
      </c>
      <c r="BT100" s="92">
        <f>IF(Table645[[#This Row],[Column71]]="--",0,Table645[[#This Row],[Column4]]*Table645[[#This Row],[Column71]])</f>
        <v>0</v>
      </c>
      <c r="BU100" s="44"/>
      <c r="BV100" s="90"/>
      <c r="BW100" s="91" t="str">
        <f>IF(BV100=0,"--",(Table645[[#This Row],[Column73]]*$BV$4*(IF(J100&lt;0.5001,1,IF(J100&lt;2.0001,2,3)))+BV100/$BV$3)/60/24)</f>
        <v>--</v>
      </c>
      <c r="BX100" s="92">
        <f>IF(Table645[[#This Row],[Column75]]="--",0,Table645[[#This Row],[Column4]]*Table645[[#This Row],[Column75]])</f>
        <v>0</v>
      </c>
      <c r="BY100" s="95" t="s">
        <v>70</v>
      </c>
      <c r="BZ100" s="91" t="str">
        <f>IF(Table645[[#This Row],[Column74]]=0,"--",BW100*$BY$3)</f>
        <v>--</v>
      </c>
      <c r="CA100" s="89">
        <f>IF(Table645[[#This Row],[Column78]]="--",0,Table645[[#This Row],[Column4]]*Table645[[#This Row],[Column78]])</f>
        <v>0</v>
      </c>
      <c r="CB100" s="95" t="s">
        <v>70</v>
      </c>
      <c r="CC100" s="91" t="str">
        <f>IF(Table645[[#This Row],[Column10]]+Table645[[#This Row],[Column74]]=0,"--",J100*$CB$4*$CB$5/(24*60)+IF(Table645[[#This Row],[Column74]]=0,0,$CB$3*Table645[[#This Row],[Column75]]))</f>
        <v>--</v>
      </c>
      <c r="CD100" s="92">
        <f>IF(Table645[[#This Row],[Column81]]="--",0,Table645[[#This Row],[Column4]]*Table645[[#This Row],[Column81]])</f>
        <v>0</v>
      </c>
      <c r="CE100" s="215"/>
      <c r="CF100" s="91" t="str">
        <f t="shared" si="85"/>
        <v>--</v>
      </c>
      <c r="CG100" s="92">
        <f>IF(Table645[[#This Row],[Column84]]="--",0,Table645[[#This Row],[Column4]]*Table645[[#This Row],[Column84]])</f>
        <v>0</v>
      </c>
      <c r="CH100" s="226"/>
      <c r="CI100" s="216"/>
      <c r="CJ100" s="91" t="str">
        <f>IF(CI100=0,"--",(Table645[[#This Row],[Column86]]*$CI$4*(IF(W100&lt;0.5001,1,IF(W100&lt;2.0001,2,3)))+CI100/$CI$3)/60/24)</f>
        <v>--</v>
      </c>
      <c r="CK100" s="92">
        <f>IF(Table645[[#This Row],[Column88]]="--",0,Table645[[#This Row],[Column4]]*Table645[[#This Row],[Column88]])</f>
        <v>0</v>
      </c>
      <c r="CL100" s="217"/>
      <c r="CM100" s="91" t="str">
        <f>IF(Table645[[#This Row],[Column87]]=0,"--",CJ100*$CL$3)</f>
        <v>--</v>
      </c>
      <c r="CN100" s="92">
        <f>IF(Table645[[#This Row],[Column91]]="--",0,Table645[[#This Row],[Column4]]*Table645[[#This Row],[Column91]])</f>
        <v>0</v>
      </c>
      <c r="CO100" s="217"/>
      <c r="CP100" s="91" t="str">
        <f>IF(Table645[[#This Row],[Column10]]+Table645[[#This Row],[Column87]]=0, "--", IF($D100="", 1, $D100) * IF($J100="", 1, $J100) * $CO$3 * $CO$4 * IF(Table645[[#This Row],[Column95]]="", 1, Table645[[#This Row],[Column95]]) / (24 * 60))</f>
        <v>--</v>
      </c>
      <c r="CQ100" s="164"/>
      <c r="CR100" s="92">
        <f>IF(Table645[[#This Row],[Column94]]="--",0,Table645[[#This Row],[Column4]]*Table645[[#This Row],[Column94]])</f>
        <v>0</v>
      </c>
      <c r="CS100" s="218" t="str">
        <f>IF(Table645[[#This Row],[Column87]]="","",Table645[[#This Row],[Column87]])</f>
        <v/>
      </c>
      <c r="CT100" s="91" t="str">
        <f>IF(Table645[[#This Row],[Column97]]="","--",Table645[[#This Row],[Column97]]/$CS$3/60/24)</f>
        <v>--</v>
      </c>
      <c r="CU100" s="92">
        <f>IF(Table645[[#This Row],[Column98]]="--",0,Table645[[#This Row],[Column4]]*Table645[[#This Row],[Column98]])</f>
        <v>0</v>
      </c>
      <c r="CV100" s="93"/>
      <c r="CW100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00" s="91" t="str">
        <f>IF(OR(Table645[[#This Row],[Column74]]&gt;0,Table645[[#This Row],[Column87]]&gt;0),(Table645[[#This Row],[Column73]]+Table645[[#This Row],[Column86]]+1)*$CW$3/60/24,"--")</f>
        <v>--</v>
      </c>
      <c r="CY100" s="92">
        <f>IF(Table645[[#This Row],[Column102]]="--",0,Table645[[#This Row],[Column4]]*Table645[[#This Row],[Column102]])</f>
        <v>0</v>
      </c>
      <c r="CZ100" s="158" t="str">
        <f t="shared" si="80"/>
        <v>--</v>
      </c>
      <c r="DA100" s="153"/>
      <c r="DB100" s="160">
        <f>IF(Table645[[#This Row],[Column104]]="--",0,Table645[[#This Row],[Column4]]*Table645[[#This Row],[Column104]])</f>
        <v>0</v>
      </c>
      <c r="DC100" s="219"/>
      <c r="DD100" s="220" t="str">
        <f>IF(DC100=0,"--",1/$DC$3*1000/(60*60*24)*Table645[[#This Row],[Column107]])</f>
        <v>--</v>
      </c>
      <c r="DE100" s="160">
        <f>IF(Table645[[#This Row],[Column108]]="--",0,Table645[[#This Row],[Column4]]*Table645[[#This Row],[Column108]])</f>
        <v>0</v>
      </c>
      <c r="DF100" s="101" t="s">
        <v>70</v>
      </c>
      <c r="DG100" s="91" t="str">
        <f t="shared" si="81"/>
        <v>--</v>
      </c>
      <c r="DH100" s="89">
        <f>IF(Table645[[#This Row],[Column111]]="--",0,Table645[[#This Row],[Column4]]*Table645[[#This Row],[Column111]])</f>
        <v>0</v>
      </c>
      <c r="DI100" s="96"/>
      <c r="DJ100" s="96"/>
      <c r="DK100" s="96"/>
      <c r="DL100" s="96"/>
      <c r="DM100" s="96"/>
      <c r="DN100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00" s="89">
        <f>IF(Table645[[#This Row],[Column118]]="--",0,Table645[[#This Row],[Column4]]*Table645[[#This Row],[Column118]])</f>
        <v>0</v>
      </c>
      <c r="DP100" s="96"/>
      <c r="DQ100" s="96"/>
      <c r="DR100" s="91" t="str">
        <f t="shared" si="82"/>
        <v>--</v>
      </c>
      <c r="DS100" s="89">
        <f>IF(Table645[[#This Row],[Column122]]="--",0,Table645[[#This Row],[Column4]]*Table645[[#This Row],[Column122]])</f>
        <v>0</v>
      </c>
      <c r="DT100" t="str">
        <f>IF(Table645[[#This Row],[Column125]]=0,"--",Table645[[#This Row],[Column125]]*Table645[[#This Row],[Column126]]*Table645[[#This Row],[Column127]]/1000000000)</f>
        <v>--</v>
      </c>
      <c r="DU100" s="53"/>
      <c r="DV100" s="53"/>
      <c r="DW100" s="53"/>
      <c r="DX100" s="91" t="str">
        <f t="shared" si="83"/>
        <v>--</v>
      </c>
      <c r="DY100" s="89">
        <f>IF(Table645[[#This Row],[Column128]]="--",0,Table645[[#This Row],[Column4]]*Table645[[#This Row],[Column128]])</f>
        <v>0</v>
      </c>
      <c r="EA100" s="89">
        <f>IF(Table645[[#This Row],[Column128]]="--",0,Table645[[#This Row],[Column4]]*Table645[[#This Row],[Column128]])</f>
        <v>0</v>
      </c>
      <c r="EC100" s="89">
        <f>IF(Table645[[#This Row],[Column128]]="--",0,Table645[[#This Row],[Column4]]*Table645[[#This Row],[Column128]])</f>
        <v>0</v>
      </c>
      <c r="EE100" s="89">
        <f>IF(Table645[[#This Row],[Column128]]="--",0,Table645[[#This Row],[Column4]]*Table645[[#This Row],[Column128]])</f>
        <v>0</v>
      </c>
      <c r="EG100" s="89">
        <f>IF(Table645[[#This Row],[Column128]]="--",0,Table645[[#This Row],[Column4]]*Table645[[#This Row],[Column128]])</f>
        <v>0</v>
      </c>
      <c r="EI100" s="89">
        <f>IF(Table645[[#This Row],[Column128]]="--",0,Table645[[#This Row],[Column4]]*Table645[[#This Row],[Column128]])</f>
        <v>0</v>
      </c>
    </row>
    <row r="101" spans="1:139" x14ac:dyDescent="0.25">
      <c r="A101" s="140"/>
      <c r="B101" s="79"/>
      <c r="C101" s="140"/>
      <c r="D101" s="167"/>
      <c r="E101" s="52"/>
      <c r="F101" s="81"/>
      <c r="G101" s="81"/>
      <c r="H101" s="102" t="str">
        <f t="shared" si="74"/>
        <v>--</v>
      </c>
      <c r="I101" s="100">
        <f>IF(Table645[[#This Row],[Column8]]="--",0,Table645[[#This Row],[Column4]]*Table645[[#This Row],[Column8]])</f>
        <v>0</v>
      </c>
      <c r="J101" s="169"/>
      <c r="K101" s="85">
        <f>Table645[[#This Row],[Column4]]*Table645[[#This Row],[Column10]]</f>
        <v>0</v>
      </c>
      <c r="L101" s="170" t="str">
        <f t="shared" si="75"/>
        <v>--</v>
      </c>
      <c r="M101" s="214">
        <f>IF(Table645[[#This Row],[Column10]]=0,0,Table645[[#This Row],[Column4]]*Table645[[#This Row],[Column12]])</f>
        <v>0</v>
      </c>
      <c r="N101" s="87" t="str">
        <f t="shared" si="76"/>
        <v>--</v>
      </c>
      <c r="O101" s="138"/>
      <c r="AZ101" s="89">
        <f>IF(Table645[[#This Row],[Column14]]="--",0,Table645[[#This Row],[Column4]]*Table645[[#This Row],[Column14]])</f>
        <v>0</v>
      </c>
      <c r="BA101" s="90"/>
      <c r="BB101" s="91" t="str">
        <f>IF(BA101=0,"--",BA101*$BA$3*IF(Table645[[#This Row],[Column5]]&lt;4.1,1,2)/60/24)</f>
        <v>--</v>
      </c>
      <c r="BC101" s="92">
        <f>IF(Table645[[#This Row],[Column54]]="--",0,Table645[[#This Row],[Column4]]*Table645[[#This Row],[Column54]])</f>
        <v>0</v>
      </c>
      <c r="BD101" s="119"/>
      <c r="BE101" s="119"/>
      <c r="BF101" s="119"/>
      <c r="BG101" s="91" t="str">
        <f>IF(BD101+Table645[[#This Row],[Column58]]=0,"--",(BD101*$BF$3*Table645[[#This Row],[Column57]]+Table645[[#This Row],[Column58]]*$BF$4)/60/24)</f>
        <v>--</v>
      </c>
      <c r="BH101" s="92">
        <f>IF(Table645[[#This Row],[Column59]]="--",0,Table645[[#This Row],[Column4]]*Table645[[#This Row],[Column59]])</f>
        <v>0</v>
      </c>
      <c r="BI101" s="119"/>
      <c r="BJ101" s="91" t="str">
        <f t="shared" si="84"/>
        <v>--</v>
      </c>
      <c r="BK101" s="92">
        <f>IF(Table645[[#This Row],[Column62]]="--",0,Table645[[#This Row],[Column4]]*Table645[[#This Row],[Column62]])</f>
        <v>0</v>
      </c>
      <c r="BL101" s="93"/>
      <c r="BM101" s="91" t="str">
        <f t="shared" si="77"/>
        <v>--</v>
      </c>
      <c r="BN101" s="89">
        <f>IF(Table645[[#This Row],[Column65]]="--",0,Table645[[#This Row],[Column4]]*Table645[[#This Row],[Column65]])</f>
        <v>0</v>
      </c>
      <c r="BO101" s="163"/>
      <c r="BP101" s="164" t="str">
        <f t="shared" si="78"/>
        <v>--</v>
      </c>
      <c r="BQ101" s="160">
        <f>IF(Table645[[#This Row],[Column68]]="--",0,Table645[[#This Row],[Column4]]*Table645[[#This Row],[Column68]])</f>
        <v>0</v>
      </c>
      <c r="BR101" s="94"/>
      <c r="BS101" s="91" t="str">
        <f t="shared" si="79"/>
        <v>--</v>
      </c>
      <c r="BT101" s="92">
        <f>IF(Table645[[#This Row],[Column71]]="--",0,Table645[[#This Row],[Column4]]*Table645[[#This Row],[Column71]])</f>
        <v>0</v>
      </c>
      <c r="BU101" s="44"/>
      <c r="BV101" s="90"/>
      <c r="BW101" s="91" t="str">
        <f>IF(BV101=0,"--",(Table645[[#This Row],[Column73]]*$BV$4*(IF(J101&lt;0.5001,1,IF(J101&lt;2.0001,2,3)))+BV101/$BV$3)/60/24)</f>
        <v>--</v>
      </c>
      <c r="BX101" s="92">
        <f>IF(Table645[[#This Row],[Column75]]="--",0,Table645[[#This Row],[Column4]]*Table645[[#This Row],[Column75]])</f>
        <v>0</v>
      </c>
      <c r="BY101" s="95" t="s">
        <v>70</v>
      </c>
      <c r="BZ101" s="91" t="str">
        <f>IF(Table645[[#This Row],[Column74]]=0,"--",BW101*$BY$3)</f>
        <v>--</v>
      </c>
      <c r="CA101" s="89">
        <f>IF(Table645[[#This Row],[Column78]]="--",0,Table645[[#This Row],[Column4]]*Table645[[#This Row],[Column78]])</f>
        <v>0</v>
      </c>
      <c r="CB101" s="95" t="s">
        <v>70</v>
      </c>
      <c r="CC101" s="91" t="str">
        <f>IF(Table645[[#This Row],[Column10]]+Table645[[#This Row],[Column74]]=0,"--",J101*$CB$4*$CB$5/(24*60)+IF(Table645[[#This Row],[Column74]]=0,0,$CB$3*Table645[[#This Row],[Column75]]))</f>
        <v>--</v>
      </c>
      <c r="CD101" s="92">
        <f>IF(Table645[[#This Row],[Column81]]="--",0,Table645[[#This Row],[Column4]]*Table645[[#This Row],[Column81]])</f>
        <v>0</v>
      </c>
      <c r="CE101" s="215"/>
      <c r="CF101" s="91" t="str">
        <f t="shared" si="85"/>
        <v>--</v>
      </c>
      <c r="CG101" s="92">
        <f>IF(Table645[[#This Row],[Column84]]="--",0,Table645[[#This Row],[Column4]]*Table645[[#This Row],[Column84]])</f>
        <v>0</v>
      </c>
      <c r="CH101" s="226"/>
      <c r="CI101" s="216"/>
      <c r="CJ101" s="91" t="str">
        <f>IF(CI101=0,"--",(Table645[[#This Row],[Column86]]*$CI$4*(IF(W101&lt;0.5001,1,IF(W101&lt;2.0001,2,3)))+CI101/$CI$3)/60/24)</f>
        <v>--</v>
      </c>
      <c r="CK101" s="92">
        <f>IF(Table645[[#This Row],[Column88]]="--",0,Table645[[#This Row],[Column4]]*Table645[[#This Row],[Column88]])</f>
        <v>0</v>
      </c>
      <c r="CL101" s="217"/>
      <c r="CM101" s="91" t="str">
        <f>IF(Table645[[#This Row],[Column87]]=0,"--",CJ101*$CL$3)</f>
        <v>--</v>
      </c>
      <c r="CN101" s="92">
        <f>IF(Table645[[#This Row],[Column91]]="--",0,Table645[[#This Row],[Column4]]*Table645[[#This Row],[Column91]])</f>
        <v>0</v>
      </c>
      <c r="CO101" s="217"/>
      <c r="CP101" s="91" t="str">
        <f>IF(Table645[[#This Row],[Column10]]+Table645[[#This Row],[Column87]]=0, "--", IF($D101="", 1, $D101) * IF($J101="", 1, $J101) * $CO$3 * $CO$4 * IF(Table645[[#This Row],[Column95]]="", 1, Table645[[#This Row],[Column95]]) / (24 * 60))</f>
        <v>--</v>
      </c>
      <c r="CQ101" s="164"/>
      <c r="CR101" s="92">
        <f>IF(Table645[[#This Row],[Column94]]="--",0,Table645[[#This Row],[Column4]]*Table645[[#This Row],[Column94]])</f>
        <v>0</v>
      </c>
      <c r="CS101" s="218" t="str">
        <f>IF(Table645[[#This Row],[Column87]]="","",Table645[[#This Row],[Column87]])</f>
        <v/>
      </c>
      <c r="CT101" s="91" t="str">
        <f>IF(Table645[[#This Row],[Column97]]="","--",Table645[[#This Row],[Column97]]/$CS$3/60/24)</f>
        <v>--</v>
      </c>
      <c r="CU101" s="92">
        <f>IF(Table645[[#This Row],[Column98]]="--",0,Table645[[#This Row],[Column4]]*Table645[[#This Row],[Column98]])</f>
        <v>0</v>
      </c>
      <c r="CV101" s="93"/>
      <c r="CW101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01" s="91" t="str">
        <f>IF(OR(Table645[[#This Row],[Column74]]&gt;0,Table645[[#This Row],[Column87]]&gt;0),(Table645[[#This Row],[Column73]]+Table645[[#This Row],[Column86]]+1)*$CW$3/60/24,"--")</f>
        <v>--</v>
      </c>
      <c r="CY101" s="92">
        <f>IF(Table645[[#This Row],[Column102]]="--",0,Table645[[#This Row],[Column4]]*Table645[[#This Row],[Column102]])</f>
        <v>0</v>
      </c>
      <c r="CZ101" s="158" t="str">
        <f t="shared" si="80"/>
        <v>--</v>
      </c>
      <c r="DA101" s="153"/>
      <c r="DB101" s="160">
        <f>IF(Table645[[#This Row],[Column104]]="--",0,Table645[[#This Row],[Column4]]*Table645[[#This Row],[Column104]])</f>
        <v>0</v>
      </c>
      <c r="DC101" s="219"/>
      <c r="DD101" s="220" t="str">
        <f>IF(DC101=0,"--",1/$DC$3*1000/(60*60*24)*Table645[[#This Row],[Column107]])</f>
        <v>--</v>
      </c>
      <c r="DE101" s="160">
        <f>IF(Table645[[#This Row],[Column108]]="--",0,Table645[[#This Row],[Column4]]*Table645[[#This Row],[Column108]])</f>
        <v>0</v>
      </c>
      <c r="DF101" s="101" t="s">
        <v>70</v>
      </c>
      <c r="DG101" s="91" t="str">
        <f t="shared" si="81"/>
        <v>--</v>
      </c>
      <c r="DH101" s="89">
        <f>IF(Table645[[#This Row],[Column111]]="--",0,Table645[[#This Row],[Column4]]*Table645[[#This Row],[Column111]])</f>
        <v>0</v>
      </c>
      <c r="DI101" s="96"/>
      <c r="DJ101" s="96"/>
      <c r="DK101" s="96"/>
      <c r="DL101" s="96"/>
      <c r="DM101" s="96"/>
      <c r="DN101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01" s="89">
        <f>IF(Table645[[#This Row],[Column118]]="--",0,Table645[[#This Row],[Column4]]*Table645[[#This Row],[Column118]])</f>
        <v>0</v>
      </c>
      <c r="DP101" s="96"/>
      <c r="DQ101" s="96"/>
      <c r="DR101" s="91" t="str">
        <f t="shared" si="82"/>
        <v>--</v>
      </c>
      <c r="DS101" s="89">
        <f>IF(Table645[[#This Row],[Column122]]="--",0,Table645[[#This Row],[Column4]]*Table645[[#This Row],[Column122]])</f>
        <v>0</v>
      </c>
      <c r="DT101" t="str">
        <f>IF(Table645[[#This Row],[Column125]]=0,"--",Table645[[#This Row],[Column125]]*Table645[[#This Row],[Column126]]*Table645[[#This Row],[Column127]]/1000000000)</f>
        <v>--</v>
      </c>
      <c r="DU101" s="53"/>
      <c r="DV101" s="53"/>
      <c r="DW101" s="53"/>
      <c r="DX101" s="91" t="str">
        <f t="shared" si="83"/>
        <v>--</v>
      </c>
      <c r="DY101" s="89">
        <f>IF(Table645[[#This Row],[Column128]]="--",0,Table645[[#This Row],[Column4]]*Table645[[#This Row],[Column128]])</f>
        <v>0</v>
      </c>
      <c r="EA101" s="89">
        <f>IF(Table645[[#This Row],[Column128]]="--",0,Table645[[#This Row],[Column4]]*Table645[[#This Row],[Column128]])</f>
        <v>0</v>
      </c>
      <c r="EC101" s="89">
        <f>IF(Table645[[#This Row],[Column128]]="--",0,Table645[[#This Row],[Column4]]*Table645[[#This Row],[Column128]])</f>
        <v>0</v>
      </c>
      <c r="EE101" s="89">
        <f>IF(Table645[[#This Row],[Column128]]="--",0,Table645[[#This Row],[Column4]]*Table645[[#This Row],[Column128]])</f>
        <v>0</v>
      </c>
      <c r="EG101" s="89">
        <f>IF(Table645[[#This Row],[Column128]]="--",0,Table645[[#This Row],[Column4]]*Table645[[#This Row],[Column128]])</f>
        <v>0</v>
      </c>
      <c r="EI101" s="89">
        <f>IF(Table645[[#This Row],[Column128]]="--",0,Table645[[#This Row],[Column4]]*Table645[[#This Row],[Column128]])</f>
        <v>0</v>
      </c>
    </row>
    <row r="102" spans="1:139" x14ac:dyDescent="0.25">
      <c r="A102" s="140"/>
      <c r="B102" s="79"/>
      <c r="C102" s="140"/>
      <c r="D102" s="167"/>
      <c r="E102" s="52"/>
      <c r="F102" s="81"/>
      <c r="G102" s="81"/>
      <c r="H102" s="102" t="str">
        <f t="shared" si="74"/>
        <v>--</v>
      </c>
      <c r="I102" s="100">
        <f>IF(Table645[[#This Row],[Column8]]="--",0,Table645[[#This Row],[Column4]]*Table645[[#This Row],[Column8]])</f>
        <v>0</v>
      </c>
      <c r="J102" s="169"/>
      <c r="K102" s="85">
        <f>Table645[[#This Row],[Column4]]*Table645[[#This Row],[Column10]]</f>
        <v>0</v>
      </c>
      <c r="L102" s="170" t="str">
        <f t="shared" si="75"/>
        <v>--</v>
      </c>
      <c r="M102" s="214">
        <f>IF(Table645[[#This Row],[Column10]]=0,0,Table645[[#This Row],[Column4]]*Table645[[#This Row],[Column12]])</f>
        <v>0</v>
      </c>
      <c r="N102" s="87" t="str">
        <f t="shared" si="76"/>
        <v>--</v>
      </c>
      <c r="O102" s="138"/>
      <c r="AZ102" s="89">
        <f>IF(Table645[[#This Row],[Column14]]="--",0,Table645[[#This Row],[Column4]]*Table645[[#This Row],[Column14]])</f>
        <v>0</v>
      </c>
      <c r="BA102" s="90"/>
      <c r="BB102" s="91" t="str">
        <f>IF(BA102=0,"--",BA102*$BA$3*IF(Table645[[#This Row],[Column5]]&lt;4.1,1,2)/60/24)</f>
        <v>--</v>
      </c>
      <c r="BC102" s="92">
        <f>IF(Table645[[#This Row],[Column54]]="--",0,Table645[[#This Row],[Column4]]*Table645[[#This Row],[Column54]])</f>
        <v>0</v>
      </c>
      <c r="BD102" s="119"/>
      <c r="BE102" s="119"/>
      <c r="BF102" s="119"/>
      <c r="BG102" s="91" t="str">
        <f>IF(BD102+Table645[[#This Row],[Column58]]=0,"--",(BD102*$BF$3*Table645[[#This Row],[Column57]]+Table645[[#This Row],[Column58]]*$BF$4)/60/24)</f>
        <v>--</v>
      </c>
      <c r="BH102" s="92">
        <f>IF(Table645[[#This Row],[Column59]]="--",0,Table645[[#This Row],[Column4]]*Table645[[#This Row],[Column59]])</f>
        <v>0</v>
      </c>
      <c r="BI102" s="119"/>
      <c r="BJ102" s="91" t="str">
        <f t="shared" si="84"/>
        <v>--</v>
      </c>
      <c r="BK102" s="92">
        <f>IF(Table645[[#This Row],[Column62]]="--",0,Table645[[#This Row],[Column4]]*Table645[[#This Row],[Column62]])</f>
        <v>0</v>
      </c>
      <c r="BL102" s="93"/>
      <c r="BM102" s="91" t="str">
        <f t="shared" si="77"/>
        <v>--</v>
      </c>
      <c r="BN102" s="89">
        <f>IF(Table645[[#This Row],[Column65]]="--",0,Table645[[#This Row],[Column4]]*Table645[[#This Row],[Column65]])</f>
        <v>0</v>
      </c>
      <c r="BO102" s="163"/>
      <c r="BP102" s="164" t="str">
        <f t="shared" si="78"/>
        <v>--</v>
      </c>
      <c r="BQ102" s="160">
        <f>IF(Table645[[#This Row],[Column68]]="--",0,Table645[[#This Row],[Column4]]*Table645[[#This Row],[Column68]])</f>
        <v>0</v>
      </c>
      <c r="BR102" s="94"/>
      <c r="BS102" s="91" t="str">
        <f t="shared" si="79"/>
        <v>--</v>
      </c>
      <c r="BT102" s="92">
        <f>IF(Table645[[#This Row],[Column71]]="--",0,Table645[[#This Row],[Column4]]*Table645[[#This Row],[Column71]])</f>
        <v>0</v>
      </c>
      <c r="BU102" s="44"/>
      <c r="BV102" s="90"/>
      <c r="BW102" s="91" t="str">
        <f>IF(BV102=0,"--",(Table645[[#This Row],[Column73]]*$BV$4*(IF(J102&lt;0.5001,1,IF(J102&lt;2.0001,2,3)))+BV102/$BV$3)/60/24)</f>
        <v>--</v>
      </c>
      <c r="BX102" s="92">
        <f>IF(Table645[[#This Row],[Column75]]="--",0,Table645[[#This Row],[Column4]]*Table645[[#This Row],[Column75]])</f>
        <v>0</v>
      </c>
      <c r="BY102" s="95" t="s">
        <v>70</v>
      </c>
      <c r="BZ102" s="91" t="str">
        <f>IF(Table645[[#This Row],[Column74]]=0,"--",BW102*$BY$3)</f>
        <v>--</v>
      </c>
      <c r="CA102" s="89">
        <f>IF(Table645[[#This Row],[Column78]]="--",0,Table645[[#This Row],[Column4]]*Table645[[#This Row],[Column78]])</f>
        <v>0</v>
      </c>
      <c r="CB102" s="95" t="s">
        <v>70</v>
      </c>
      <c r="CC102" s="91" t="str">
        <f>IF(Table645[[#This Row],[Column10]]+Table645[[#This Row],[Column74]]=0,"--",J102*$CB$4*$CB$5/(24*60)+IF(Table645[[#This Row],[Column74]]=0,0,$CB$3*Table645[[#This Row],[Column75]]))</f>
        <v>--</v>
      </c>
      <c r="CD102" s="92">
        <f>IF(Table645[[#This Row],[Column81]]="--",0,Table645[[#This Row],[Column4]]*Table645[[#This Row],[Column81]])</f>
        <v>0</v>
      </c>
      <c r="CE102" s="215"/>
      <c r="CF102" s="91" t="str">
        <f t="shared" si="85"/>
        <v>--</v>
      </c>
      <c r="CG102" s="92">
        <f>IF(Table645[[#This Row],[Column84]]="--",0,Table645[[#This Row],[Column4]]*Table645[[#This Row],[Column84]])</f>
        <v>0</v>
      </c>
      <c r="CH102" s="226"/>
      <c r="CI102" s="216"/>
      <c r="CJ102" s="91" t="str">
        <f>IF(CI102=0,"--",(Table645[[#This Row],[Column86]]*$CI$4*(IF(W102&lt;0.5001,1,IF(W102&lt;2.0001,2,3)))+CI102/$CI$3)/60/24)</f>
        <v>--</v>
      </c>
      <c r="CK102" s="92">
        <f>IF(Table645[[#This Row],[Column88]]="--",0,Table645[[#This Row],[Column4]]*Table645[[#This Row],[Column88]])</f>
        <v>0</v>
      </c>
      <c r="CL102" s="217"/>
      <c r="CM102" s="91" t="str">
        <f>IF(Table645[[#This Row],[Column87]]=0,"--",CJ102*$CL$3)</f>
        <v>--</v>
      </c>
      <c r="CN102" s="92">
        <f>IF(Table645[[#This Row],[Column91]]="--",0,Table645[[#This Row],[Column4]]*Table645[[#This Row],[Column91]])</f>
        <v>0</v>
      </c>
      <c r="CO102" s="217"/>
      <c r="CP102" s="91" t="str">
        <f>IF(Table645[[#This Row],[Column10]]+Table645[[#This Row],[Column87]]=0, "--", IF($D102="", 1, $D102) * IF($J102="", 1, $J102) * $CO$3 * $CO$4 * IF(Table645[[#This Row],[Column95]]="", 1, Table645[[#This Row],[Column95]]) / (24 * 60))</f>
        <v>--</v>
      </c>
      <c r="CQ102" s="164"/>
      <c r="CR102" s="92">
        <f>IF(Table645[[#This Row],[Column94]]="--",0,Table645[[#This Row],[Column4]]*Table645[[#This Row],[Column94]])</f>
        <v>0</v>
      </c>
      <c r="CS102" s="218" t="str">
        <f>IF(Table645[[#This Row],[Column87]]="","",Table645[[#This Row],[Column87]])</f>
        <v/>
      </c>
      <c r="CT102" s="91" t="str">
        <f>IF(Table645[[#This Row],[Column97]]="","--",Table645[[#This Row],[Column97]]/$CS$3/60/24)</f>
        <v>--</v>
      </c>
      <c r="CU102" s="92">
        <f>IF(Table645[[#This Row],[Column98]]="--",0,Table645[[#This Row],[Column4]]*Table645[[#This Row],[Column98]])</f>
        <v>0</v>
      </c>
      <c r="CV102" s="93"/>
      <c r="CW102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02" s="91" t="str">
        <f>IF(OR(Table645[[#This Row],[Column74]]&gt;0,Table645[[#This Row],[Column87]]&gt;0),(Table645[[#This Row],[Column73]]+Table645[[#This Row],[Column86]]+1)*$CW$3/60/24,"--")</f>
        <v>--</v>
      </c>
      <c r="CY102" s="92">
        <f>IF(Table645[[#This Row],[Column102]]="--",0,Table645[[#This Row],[Column4]]*Table645[[#This Row],[Column102]])</f>
        <v>0</v>
      </c>
      <c r="CZ102" s="158" t="str">
        <f t="shared" si="80"/>
        <v>--</v>
      </c>
      <c r="DA102" s="153"/>
      <c r="DB102" s="160">
        <f>IF(Table645[[#This Row],[Column104]]="--",0,Table645[[#This Row],[Column4]]*Table645[[#This Row],[Column104]])</f>
        <v>0</v>
      </c>
      <c r="DC102" s="219"/>
      <c r="DD102" s="220" t="str">
        <f>IF(DC102=0,"--",1/$DC$3*1000/(60*60*24)*Table645[[#This Row],[Column107]])</f>
        <v>--</v>
      </c>
      <c r="DE102" s="160">
        <f>IF(Table645[[#This Row],[Column108]]="--",0,Table645[[#This Row],[Column4]]*Table645[[#This Row],[Column108]])</f>
        <v>0</v>
      </c>
      <c r="DF102" s="101" t="s">
        <v>70</v>
      </c>
      <c r="DG102" s="91" t="str">
        <f t="shared" si="81"/>
        <v>--</v>
      </c>
      <c r="DH102" s="89">
        <f>IF(Table645[[#This Row],[Column111]]="--",0,Table645[[#This Row],[Column4]]*Table645[[#This Row],[Column111]])</f>
        <v>0</v>
      </c>
      <c r="DI102" s="96"/>
      <c r="DJ102" s="96"/>
      <c r="DK102" s="96"/>
      <c r="DL102" s="96"/>
      <c r="DM102" s="96"/>
      <c r="DN102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02" s="89">
        <f>IF(Table645[[#This Row],[Column118]]="--",0,Table645[[#This Row],[Column4]]*Table645[[#This Row],[Column118]])</f>
        <v>0</v>
      </c>
      <c r="DP102" s="96"/>
      <c r="DQ102" s="96"/>
      <c r="DR102" s="91" t="str">
        <f t="shared" si="82"/>
        <v>--</v>
      </c>
      <c r="DS102" s="89">
        <f>IF(Table645[[#This Row],[Column122]]="--",0,Table645[[#This Row],[Column4]]*Table645[[#This Row],[Column122]])</f>
        <v>0</v>
      </c>
      <c r="DT102" t="str">
        <f>IF(Table645[[#This Row],[Column125]]=0,"--",Table645[[#This Row],[Column125]]*Table645[[#This Row],[Column126]]*Table645[[#This Row],[Column127]]/1000000000)</f>
        <v>--</v>
      </c>
      <c r="DU102" s="53"/>
      <c r="DV102" s="53"/>
      <c r="DW102" s="53"/>
      <c r="DX102" s="91" t="str">
        <f t="shared" si="83"/>
        <v>--</v>
      </c>
      <c r="DY102" s="89">
        <f>IF(Table645[[#This Row],[Column128]]="--",0,Table645[[#This Row],[Column4]]*Table645[[#This Row],[Column128]])</f>
        <v>0</v>
      </c>
      <c r="EA102" s="89">
        <f>IF(Table645[[#This Row],[Column128]]="--",0,Table645[[#This Row],[Column4]]*Table645[[#This Row],[Column128]])</f>
        <v>0</v>
      </c>
      <c r="EC102" s="89">
        <f>IF(Table645[[#This Row],[Column128]]="--",0,Table645[[#This Row],[Column4]]*Table645[[#This Row],[Column128]])</f>
        <v>0</v>
      </c>
      <c r="EE102" s="89">
        <f>IF(Table645[[#This Row],[Column128]]="--",0,Table645[[#This Row],[Column4]]*Table645[[#This Row],[Column128]])</f>
        <v>0</v>
      </c>
      <c r="EG102" s="89">
        <f>IF(Table645[[#This Row],[Column128]]="--",0,Table645[[#This Row],[Column4]]*Table645[[#This Row],[Column128]])</f>
        <v>0</v>
      </c>
      <c r="EI102" s="89">
        <f>IF(Table645[[#This Row],[Column128]]="--",0,Table645[[#This Row],[Column4]]*Table645[[#This Row],[Column128]])</f>
        <v>0</v>
      </c>
    </row>
    <row r="103" spans="1:139" x14ac:dyDescent="0.25">
      <c r="A103" s="140"/>
      <c r="B103" s="79"/>
      <c r="C103" s="140"/>
      <c r="D103" s="167"/>
      <c r="E103" s="52"/>
      <c r="F103" s="81"/>
      <c r="G103" s="81"/>
      <c r="H103" s="102" t="str">
        <f t="shared" si="74"/>
        <v>--</v>
      </c>
      <c r="I103" s="100">
        <f>IF(Table645[[#This Row],[Column8]]="--",0,Table645[[#This Row],[Column4]]*Table645[[#This Row],[Column8]])</f>
        <v>0</v>
      </c>
      <c r="J103" s="169"/>
      <c r="K103" s="85">
        <f>Table645[[#This Row],[Column4]]*Table645[[#This Row],[Column10]]</f>
        <v>0</v>
      </c>
      <c r="L103" s="170" t="str">
        <f t="shared" si="75"/>
        <v>--</v>
      </c>
      <c r="M103" s="214">
        <f>IF(Table645[[#This Row],[Column10]]=0,0,Table645[[#This Row],[Column4]]*Table645[[#This Row],[Column12]])</f>
        <v>0</v>
      </c>
      <c r="N103" s="87" t="str">
        <f t="shared" si="76"/>
        <v>--</v>
      </c>
      <c r="O103" s="138"/>
      <c r="AZ103" s="89">
        <f>IF(Table645[[#This Row],[Column14]]="--",0,Table645[[#This Row],[Column4]]*Table645[[#This Row],[Column14]])</f>
        <v>0</v>
      </c>
      <c r="BA103" s="90"/>
      <c r="BB103" s="91" t="str">
        <f>IF(BA103=0,"--",BA103*$BA$3*IF(Table645[[#This Row],[Column5]]&lt;4.1,1,2)/60/24)</f>
        <v>--</v>
      </c>
      <c r="BC103" s="92">
        <f>IF(Table645[[#This Row],[Column54]]="--",0,Table645[[#This Row],[Column4]]*Table645[[#This Row],[Column54]])</f>
        <v>0</v>
      </c>
      <c r="BD103" s="119"/>
      <c r="BE103" s="119"/>
      <c r="BF103" s="119"/>
      <c r="BG103" s="91" t="str">
        <f>IF(BD103+Table645[[#This Row],[Column58]]=0,"--",(BD103*$BF$3*Table645[[#This Row],[Column57]]+Table645[[#This Row],[Column58]]*$BF$4)/60/24)</f>
        <v>--</v>
      </c>
      <c r="BH103" s="92">
        <f>IF(Table645[[#This Row],[Column59]]="--",0,Table645[[#This Row],[Column4]]*Table645[[#This Row],[Column59]])</f>
        <v>0</v>
      </c>
      <c r="BI103" s="119"/>
      <c r="BJ103" s="91" t="str">
        <f t="shared" si="84"/>
        <v>--</v>
      </c>
      <c r="BK103" s="92">
        <f>IF(Table645[[#This Row],[Column62]]="--",0,Table645[[#This Row],[Column4]]*Table645[[#This Row],[Column62]])</f>
        <v>0</v>
      </c>
      <c r="BL103" s="93"/>
      <c r="BM103" s="91" t="str">
        <f t="shared" si="77"/>
        <v>--</v>
      </c>
      <c r="BN103" s="89">
        <f>IF(Table645[[#This Row],[Column65]]="--",0,Table645[[#This Row],[Column4]]*Table645[[#This Row],[Column65]])</f>
        <v>0</v>
      </c>
      <c r="BO103" s="163"/>
      <c r="BP103" s="164" t="str">
        <f t="shared" si="78"/>
        <v>--</v>
      </c>
      <c r="BQ103" s="160">
        <f>IF(Table645[[#This Row],[Column68]]="--",0,Table645[[#This Row],[Column4]]*Table645[[#This Row],[Column68]])</f>
        <v>0</v>
      </c>
      <c r="BR103" s="94"/>
      <c r="BS103" s="91" t="str">
        <f t="shared" si="79"/>
        <v>--</v>
      </c>
      <c r="BT103" s="92">
        <f>IF(Table645[[#This Row],[Column71]]="--",0,Table645[[#This Row],[Column4]]*Table645[[#This Row],[Column71]])</f>
        <v>0</v>
      </c>
      <c r="BU103" s="44"/>
      <c r="BV103" s="90"/>
      <c r="BW103" s="91" t="str">
        <f>IF(BV103=0,"--",(Table645[[#This Row],[Column73]]*$BV$4*(IF(J103&lt;0.5001,1,IF(J103&lt;2.0001,2,3)))+BV103/$BV$3)/60/24)</f>
        <v>--</v>
      </c>
      <c r="BX103" s="92">
        <f>IF(Table645[[#This Row],[Column75]]="--",0,Table645[[#This Row],[Column4]]*Table645[[#This Row],[Column75]])</f>
        <v>0</v>
      </c>
      <c r="BY103" s="95" t="s">
        <v>70</v>
      </c>
      <c r="BZ103" s="91" t="str">
        <f>IF(Table645[[#This Row],[Column74]]=0,"--",BW103*$BY$3)</f>
        <v>--</v>
      </c>
      <c r="CA103" s="89">
        <f>IF(Table645[[#This Row],[Column78]]="--",0,Table645[[#This Row],[Column4]]*Table645[[#This Row],[Column78]])</f>
        <v>0</v>
      </c>
      <c r="CB103" s="95" t="s">
        <v>70</v>
      </c>
      <c r="CC103" s="91" t="str">
        <f>IF(Table645[[#This Row],[Column10]]+Table645[[#This Row],[Column74]]=0,"--",J103*$CB$4*$CB$5/(24*60)+IF(Table645[[#This Row],[Column74]]=0,0,$CB$3*Table645[[#This Row],[Column75]]))</f>
        <v>--</v>
      </c>
      <c r="CD103" s="92">
        <f>IF(Table645[[#This Row],[Column81]]="--",0,Table645[[#This Row],[Column4]]*Table645[[#This Row],[Column81]])</f>
        <v>0</v>
      </c>
      <c r="CE103" s="215"/>
      <c r="CF103" s="91" t="str">
        <f t="shared" si="85"/>
        <v>--</v>
      </c>
      <c r="CG103" s="92">
        <f>IF(Table645[[#This Row],[Column84]]="--",0,Table645[[#This Row],[Column4]]*Table645[[#This Row],[Column84]])</f>
        <v>0</v>
      </c>
      <c r="CH103" s="226"/>
      <c r="CI103" s="216"/>
      <c r="CJ103" s="91" t="str">
        <f>IF(CI103=0,"--",(Table645[[#This Row],[Column86]]*$CI$4*(IF(W103&lt;0.5001,1,IF(W103&lt;2.0001,2,3)))+CI103/$CI$3)/60/24)</f>
        <v>--</v>
      </c>
      <c r="CK103" s="92">
        <f>IF(Table645[[#This Row],[Column88]]="--",0,Table645[[#This Row],[Column4]]*Table645[[#This Row],[Column88]])</f>
        <v>0</v>
      </c>
      <c r="CL103" s="217"/>
      <c r="CM103" s="91" t="str">
        <f>IF(Table645[[#This Row],[Column87]]=0,"--",CJ103*$CL$3)</f>
        <v>--</v>
      </c>
      <c r="CN103" s="92">
        <f>IF(Table645[[#This Row],[Column91]]="--",0,Table645[[#This Row],[Column4]]*Table645[[#This Row],[Column91]])</f>
        <v>0</v>
      </c>
      <c r="CO103" s="217"/>
      <c r="CP103" s="91" t="str">
        <f>IF(Table645[[#This Row],[Column10]]+Table645[[#This Row],[Column87]]=0, "--", IF($D103="", 1, $D103) * IF($J103="", 1, $J103) * $CO$3 * $CO$4 * IF(Table645[[#This Row],[Column95]]="", 1, Table645[[#This Row],[Column95]]) / (24 * 60))</f>
        <v>--</v>
      </c>
      <c r="CQ103" s="164"/>
      <c r="CR103" s="92">
        <f>IF(Table645[[#This Row],[Column94]]="--",0,Table645[[#This Row],[Column4]]*Table645[[#This Row],[Column94]])</f>
        <v>0</v>
      </c>
      <c r="CS103" s="218" t="str">
        <f>IF(Table645[[#This Row],[Column87]]="","",Table645[[#This Row],[Column87]])</f>
        <v/>
      </c>
      <c r="CT103" s="91" t="str">
        <f>IF(Table645[[#This Row],[Column97]]="","--",Table645[[#This Row],[Column97]]/$CS$3/60/24)</f>
        <v>--</v>
      </c>
      <c r="CU103" s="92">
        <f>IF(Table645[[#This Row],[Column98]]="--",0,Table645[[#This Row],[Column4]]*Table645[[#This Row],[Column98]])</f>
        <v>0</v>
      </c>
      <c r="CV103" s="93"/>
      <c r="CW103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03" s="91" t="str">
        <f>IF(OR(Table645[[#This Row],[Column74]]&gt;0,Table645[[#This Row],[Column87]]&gt;0),(Table645[[#This Row],[Column73]]+Table645[[#This Row],[Column86]]+1)*$CW$3/60/24,"--")</f>
        <v>--</v>
      </c>
      <c r="CY103" s="92">
        <f>IF(Table645[[#This Row],[Column102]]="--",0,Table645[[#This Row],[Column4]]*Table645[[#This Row],[Column102]])</f>
        <v>0</v>
      </c>
      <c r="CZ103" s="158" t="str">
        <f t="shared" si="80"/>
        <v>--</v>
      </c>
      <c r="DA103" s="153"/>
      <c r="DB103" s="160">
        <f>IF(Table645[[#This Row],[Column104]]="--",0,Table645[[#This Row],[Column4]]*Table645[[#This Row],[Column104]])</f>
        <v>0</v>
      </c>
      <c r="DC103" s="219"/>
      <c r="DD103" s="220" t="str">
        <f>IF(DC103=0,"--",1/$DC$3*1000/(60*60*24)*Table645[[#This Row],[Column107]])</f>
        <v>--</v>
      </c>
      <c r="DE103" s="160">
        <f>IF(Table645[[#This Row],[Column108]]="--",0,Table645[[#This Row],[Column4]]*Table645[[#This Row],[Column108]])</f>
        <v>0</v>
      </c>
      <c r="DF103" s="101" t="s">
        <v>70</v>
      </c>
      <c r="DG103" s="91" t="str">
        <f t="shared" si="81"/>
        <v>--</v>
      </c>
      <c r="DH103" s="89">
        <f>IF(Table645[[#This Row],[Column111]]="--",0,Table645[[#This Row],[Column4]]*Table645[[#This Row],[Column111]])</f>
        <v>0</v>
      </c>
      <c r="DI103" s="96"/>
      <c r="DJ103" s="96"/>
      <c r="DK103" s="96"/>
      <c r="DL103" s="96"/>
      <c r="DM103" s="96"/>
      <c r="DN103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03" s="89">
        <f>IF(Table645[[#This Row],[Column118]]="--",0,Table645[[#This Row],[Column4]]*Table645[[#This Row],[Column118]])</f>
        <v>0</v>
      </c>
      <c r="DP103" s="96"/>
      <c r="DQ103" s="96"/>
      <c r="DR103" s="91" t="str">
        <f t="shared" si="82"/>
        <v>--</v>
      </c>
      <c r="DS103" s="89">
        <f>IF(Table645[[#This Row],[Column122]]="--",0,Table645[[#This Row],[Column4]]*Table645[[#This Row],[Column122]])</f>
        <v>0</v>
      </c>
      <c r="DT103" t="str">
        <f>IF(Table645[[#This Row],[Column125]]=0,"--",Table645[[#This Row],[Column125]]*Table645[[#This Row],[Column126]]*Table645[[#This Row],[Column127]]/1000000000)</f>
        <v>--</v>
      </c>
      <c r="DU103" s="53"/>
      <c r="DV103" s="53"/>
      <c r="DW103" s="53"/>
      <c r="DX103" s="91" t="str">
        <f t="shared" si="83"/>
        <v>--</v>
      </c>
      <c r="DY103" s="89">
        <f>IF(Table645[[#This Row],[Column128]]="--",0,Table645[[#This Row],[Column4]]*Table645[[#This Row],[Column128]])</f>
        <v>0</v>
      </c>
      <c r="EA103" s="89">
        <f>IF(Table645[[#This Row],[Column128]]="--",0,Table645[[#This Row],[Column4]]*Table645[[#This Row],[Column128]])</f>
        <v>0</v>
      </c>
      <c r="EC103" s="89">
        <f>IF(Table645[[#This Row],[Column128]]="--",0,Table645[[#This Row],[Column4]]*Table645[[#This Row],[Column128]])</f>
        <v>0</v>
      </c>
      <c r="EE103" s="89">
        <f>IF(Table645[[#This Row],[Column128]]="--",0,Table645[[#This Row],[Column4]]*Table645[[#This Row],[Column128]])</f>
        <v>0</v>
      </c>
      <c r="EG103" s="89">
        <f>IF(Table645[[#This Row],[Column128]]="--",0,Table645[[#This Row],[Column4]]*Table645[[#This Row],[Column128]])</f>
        <v>0</v>
      </c>
      <c r="EI103" s="89">
        <f>IF(Table645[[#This Row],[Column128]]="--",0,Table645[[#This Row],[Column4]]*Table645[[#This Row],[Column128]])</f>
        <v>0</v>
      </c>
    </row>
    <row r="104" spans="1:139" x14ac:dyDescent="0.25">
      <c r="A104" s="140"/>
      <c r="B104" s="79"/>
      <c r="C104" s="140"/>
      <c r="D104" s="167"/>
      <c r="E104" s="52"/>
      <c r="F104" s="81"/>
      <c r="G104" s="81"/>
      <c r="H104" s="102" t="str">
        <f t="shared" ref="H104:H230" si="86">IF(E104&gt;0,E104*F104*G104/1000000*8*(1+$H$4),"--")</f>
        <v>--</v>
      </c>
      <c r="I104" s="100">
        <f>IF(Table645[[#This Row],[Column8]]="--",0,Table645[[#This Row],[Column4]]*Table645[[#This Row],[Column8]])</f>
        <v>0</v>
      </c>
      <c r="J104" s="169"/>
      <c r="K104" s="85">
        <f>Table645[[#This Row],[Column4]]*Table645[[#This Row],[Column10]]</f>
        <v>0</v>
      </c>
      <c r="L104" s="170" t="str">
        <f t="shared" ref="L104:L230" si="87">IF(J104=0,"--",J104/$J$3)</f>
        <v>--</v>
      </c>
      <c r="M104" s="214">
        <f>IF(Table645[[#This Row],[Column10]]=0,0,Table645[[#This Row],[Column4]]*Table645[[#This Row],[Column12]])</f>
        <v>0</v>
      </c>
      <c r="N104" s="87" t="str">
        <f t="shared" ref="N104:N230" si="88">IF(SUM(Q104:AX104)=0,"--",(Q104/$Q$4+T104/$T$4+W104/$W$4+Z104/$Z$4+AC104/$AC$4+AF104/$AF$4+AI104/$AI$4+AL104/$AL$4+AO104/$AO$4+AR104/$AR$4+AU104/$AU$4+AX104/$AX$4)/60/24)</f>
        <v>--</v>
      </c>
      <c r="O104" s="138"/>
      <c r="AZ104" s="89">
        <f>IF(Table645[[#This Row],[Column14]]="--",0,Table645[[#This Row],[Column4]]*Table645[[#This Row],[Column14]])</f>
        <v>0</v>
      </c>
      <c r="BA104" s="90"/>
      <c r="BB104" s="91" t="str">
        <f>IF(BA104=0,"--",BA104*$BA$3*IF(Table645[[#This Row],[Column5]]&lt;4.1,1,2)/60/24)</f>
        <v>--</v>
      </c>
      <c r="BC104" s="92">
        <f>IF(Table645[[#This Row],[Column54]]="--",0,Table645[[#This Row],[Column4]]*Table645[[#This Row],[Column54]])</f>
        <v>0</v>
      </c>
      <c r="BD104" s="119"/>
      <c r="BE104" s="119"/>
      <c r="BF104" s="119"/>
      <c r="BG104" s="91" t="str">
        <f>IF(BD104+Table645[[#This Row],[Column58]]=0,"--",(BD104*$BF$3*Table645[[#This Row],[Column57]]+Table645[[#This Row],[Column58]]*$BF$4)/60/24)</f>
        <v>--</v>
      </c>
      <c r="BH104" s="92">
        <f>IF(Table645[[#This Row],[Column59]]="--",0,Table645[[#This Row],[Column4]]*Table645[[#This Row],[Column59]])</f>
        <v>0</v>
      </c>
      <c r="BI104" s="119"/>
      <c r="BJ104" s="91" t="str">
        <f t="shared" si="84"/>
        <v>--</v>
      </c>
      <c r="BK104" s="92">
        <f>IF(Table645[[#This Row],[Column62]]="--",0,Table645[[#This Row],[Column4]]*Table645[[#This Row],[Column62]])</f>
        <v>0</v>
      </c>
      <c r="BL104" s="93"/>
      <c r="BM104" s="91" t="str">
        <f t="shared" ref="BM104:BM230" si="89">IF(BL104=0,"--",BL104*$BL$3/60/60/24)</f>
        <v>--</v>
      </c>
      <c r="BN104" s="89">
        <f>IF(Table645[[#This Row],[Column65]]="--",0,Table645[[#This Row],[Column4]]*Table645[[#This Row],[Column65]])</f>
        <v>0</v>
      </c>
      <c r="BO104" s="163"/>
      <c r="BP104" s="164" t="str">
        <f t="shared" ref="BP104:BP230" si="90">IF(BO104=0,"--",BO104*$BO$3/60/60/24)</f>
        <v>--</v>
      </c>
      <c r="BQ104" s="160">
        <f>IF(Table645[[#This Row],[Column68]]="--",0,Table645[[#This Row],[Column4]]*Table645[[#This Row],[Column68]])</f>
        <v>0</v>
      </c>
      <c r="BR104" s="94"/>
      <c r="BS104" s="91" t="str">
        <f t="shared" ref="BS104:BS230" si="91">IF(BR104=0,"--",BR104*$BR$3/60/60/24)</f>
        <v>--</v>
      </c>
      <c r="BT104" s="92">
        <f>IF(Table645[[#This Row],[Column71]]="--",0,Table645[[#This Row],[Column4]]*Table645[[#This Row],[Column71]])</f>
        <v>0</v>
      </c>
      <c r="BU104" s="44"/>
      <c r="BV104" s="90"/>
      <c r="BW104" s="91" t="str">
        <f>IF(BV104=0,"--",(Table645[[#This Row],[Column73]]*$BV$4*(IF(J104&lt;0.5001,1,IF(J104&lt;2.0001,2,3)))+BV104/$BV$3)/60/24)</f>
        <v>--</v>
      </c>
      <c r="BX104" s="92">
        <f>IF(Table645[[#This Row],[Column75]]="--",0,Table645[[#This Row],[Column4]]*Table645[[#This Row],[Column75]])</f>
        <v>0</v>
      </c>
      <c r="BY104" s="95" t="s">
        <v>70</v>
      </c>
      <c r="BZ104" s="91" t="str">
        <f>IF(Table645[[#This Row],[Column74]]=0,"--",BW104*$BY$3)</f>
        <v>--</v>
      </c>
      <c r="CA104" s="89">
        <f>IF(Table645[[#This Row],[Column78]]="--",0,Table645[[#This Row],[Column4]]*Table645[[#This Row],[Column78]])</f>
        <v>0</v>
      </c>
      <c r="CB104" s="95" t="s">
        <v>70</v>
      </c>
      <c r="CC104" s="91" t="str">
        <f>IF(Table645[[#This Row],[Column10]]+Table645[[#This Row],[Column74]]=0,"--",J104*$CB$4*$CB$5/(24*60)+IF(Table645[[#This Row],[Column74]]=0,0,$CB$3*Table645[[#This Row],[Column75]]))</f>
        <v>--</v>
      </c>
      <c r="CD104" s="92">
        <f>IF(Table645[[#This Row],[Column81]]="--",0,Table645[[#This Row],[Column4]]*Table645[[#This Row],[Column81]])</f>
        <v>0</v>
      </c>
      <c r="CE104" s="215"/>
      <c r="CF104" s="91" t="str">
        <f t="shared" si="85"/>
        <v>--</v>
      </c>
      <c r="CG104" s="92">
        <f>IF(Table645[[#This Row],[Column84]]="--",0,Table645[[#This Row],[Column4]]*Table645[[#This Row],[Column84]])</f>
        <v>0</v>
      </c>
      <c r="CH104" s="226"/>
      <c r="CI104" s="216"/>
      <c r="CJ104" s="91" t="str">
        <f>IF(CI104=0,"--",(Table645[[#This Row],[Column86]]*$CI$4*(IF(W104&lt;0.5001,1,IF(W104&lt;2.0001,2,3)))+CI104/$CI$3)/60/24)</f>
        <v>--</v>
      </c>
      <c r="CK104" s="92">
        <f>IF(Table645[[#This Row],[Column88]]="--",0,Table645[[#This Row],[Column4]]*Table645[[#This Row],[Column88]])</f>
        <v>0</v>
      </c>
      <c r="CL104" s="217"/>
      <c r="CM104" s="91" t="str">
        <f>IF(Table645[[#This Row],[Column87]]=0,"--",CJ104*$CL$3)</f>
        <v>--</v>
      </c>
      <c r="CN104" s="92">
        <f>IF(Table645[[#This Row],[Column91]]="--",0,Table645[[#This Row],[Column4]]*Table645[[#This Row],[Column91]])</f>
        <v>0</v>
      </c>
      <c r="CO104" s="217"/>
      <c r="CP104" s="91" t="str">
        <f>IF(Table645[[#This Row],[Column10]]+Table645[[#This Row],[Column87]]=0, "--", IF($D104="", 1, $D104) * IF($J104="", 1, $J104) * $CO$3 * $CO$4 * IF(Table645[[#This Row],[Column95]]="", 1, Table645[[#This Row],[Column95]]) / (24 * 60))</f>
        <v>--</v>
      </c>
      <c r="CQ104" s="164"/>
      <c r="CR104" s="92">
        <f>IF(Table645[[#This Row],[Column94]]="--",0,Table645[[#This Row],[Column4]]*Table645[[#This Row],[Column94]])</f>
        <v>0</v>
      </c>
      <c r="CS104" s="218" t="str">
        <f>IF(Table645[[#This Row],[Column87]]="","",Table645[[#This Row],[Column87]])</f>
        <v/>
      </c>
      <c r="CT104" s="91" t="str">
        <f>IF(Table645[[#This Row],[Column97]]="","--",Table645[[#This Row],[Column97]]/$CS$3/60/24)</f>
        <v>--</v>
      </c>
      <c r="CU104" s="92">
        <f>IF(Table645[[#This Row],[Column98]]="--",0,Table645[[#This Row],[Column4]]*Table645[[#This Row],[Column98]])</f>
        <v>0</v>
      </c>
      <c r="CV104" s="93"/>
      <c r="CW104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04" s="91" t="str">
        <f>IF(OR(Table645[[#This Row],[Column74]]&gt;0,Table645[[#This Row],[Column87]]&gt;0),(Table645[[#This Row],[Column73]]+Table645[[#This Row],[Column86]]+1)*$CW$3/60/24,"--")</f>
        <v>--</v>
      </c>
      <c r="CY104" s="92">
        <f>IF(Table645[[#This Row],[Column102]]="--",0,Table645[[#This Row],[Column4]]*Table645[[#This Row],[Column102]])</f>
        <v>0</v>
      </c>
      <c r="CZ104" s="158" t="str">
        <f t="shared" ref="CZ104:CZ230" si="92">IF(J104=0,"--",J104/$CZ$3/(24)*DA104)</f>
        <v>--</v>
      </c>
      <c r="DA104" s="153"/>
      <c r="DB104" s="160">
        <f>IF(Table645[[#This Row],[Column104]]="--",0,Table645[[#This Row],[Column4]]*Table645[[#This Row],[Column104]])</f>
        <v>0</v>
      </c>
      <c r="DC104" s="219"/>
      <c r="DD104" s="220" t="str">
        <f>IF(DC104=0,"--",1/$DC$3*1000/(60*60*24)*Table645[[#This Row],[Column107]])</f>
        <v>--</v>
      </c>
      <c r="DE104" s="160">
        <f>IF(Table645[[#This Row],[Column108]]="--",0,Table645[[#This Row],[Column4]]*Table645[[#This Row],[Column108]])</f>
        <v>0</v>
      </c>
      <c r="DF104" s="101" t="s">
        <v>70</v>
      </c>
      <c r="DG104" s="91" t="str">
        <f t="shared" ref="DG104:DG230" si="93">IF(DA104=0,"--",(J104*$DF$3)/60/24)</f>
        <v>--</v>
      </c>
      <c r="DH104" s="89">
        <f>IF(Table645[[#This Row],[Column111]]="--",0,Table645[[#This Row],[Column4]]*Table645[[#This Row],[Column111]])</f>
        <v>0</v>
      </c>
      <c r="DI104" s="96"/>
      <c r="DJ104" s="96"/>
      <c r="DK104" s="96"/>
      <c r="DL104" s="96"/>
      <c r="DM104" s="96"/>
      <c r="DN104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04" s="89">
        <f>IF(Table645[[#This Row],[Column118]]="--",0,Table645[[#This Row],[Column4]]*Table645[[#This Row],[Column118]])</f>
        <v>0</v>
      </c>
      <c r="DP104" s="96"/>
      <c r="DQ104" s="96"/>
      <c r="DR104" s="91" t="str">
        <f t="shared" ref="DR104:DR230" si="94">IF(DP104+DQ104&gt;0,(DP104*$DQ$3+DQ104*$DQ$4)/60/24,IF(DN104="--","--",(DP104*$DQ$3+DQ104*$DQ$4)/60/24))</f>
        <v>--</v>
      </c>
      <c r="DS104" s="89">
        <f>IF(Table645[[#This Row],[Column122]]="--",0,Table645[[#This Row],[Column4]]*Table645[[#This Row],[Column122]])</f>
        <v>0</v>
      </c>
      <c r="DT104" t="str">
        <f>IF(Table645[[#This Row],[Column125]]=0,"--",Table645[[#This Row],[Column125]]*Table645[[#This Row],[Column126]]*Table645[[#This Row],[Column127]]/1000000000)</f>
        <v>--</v>
      </c>
      <c r="DU104" s="53"/>
      <c r="DV104" s="53"/>
      <c r="DW104" s="53"/>
      <c r="DX104" s="91" t="str">
        <f t="shared" ref="DX104:DX230" si="95">IF(DT104="--","--",(1+DT104*$DT$3)/60/24)</f>
        <v>--</v>
      </c>
      <c r="DY104" s="89">
        <f>IF(Table645[[#This Row],[Column128]]="--",0,Table645[[#This Row],[Column4]]*Table645[[#This Row],[Column128]])</f>
        <v>0</v>
      </c>
      <c r="EA104" s="89">
        <f>IF(Table645[[#This Row],[Column128]]="--",0,Table645[[#This Row],[Column4]]*Table645[[#This Row],[Column128]])</f>
        <v>0</v>
      </c>
      <c r="EC104" s="89">
        <f>IF(Table645[[#This Row],[Column128]]="--",0,Table645[[#This Row],[Column4]]*Table645[[#This Row],[Column128]])</f>
        <v>0</v>
      </c>
      <c r="EE104" s="89">
        <f>IF(Table645[[#This Row],[Column128]]="--",0,Table645[[#This Row],[Column4]]*Table645[[#This Row],[Column128]])</f>
        <v>0</v>
      </c>
      <c r="EG104" s="89">
        <f>IF(Table645[[#This Row],[Column128]]="--",0,Table645[[#This Row],[Column4]]*Table645[[#This Row],[Column128]])</f>
        <v>0</v>
      </c>
      <c r="EI104" s="89">
        <f>IF(Table645[[#This Row],[Column128]]="--",0,Table645[[#This Row],[Column4]]*Table645[[#This Row],[Column128]])</f>
        <v>0</v>
      </c>
    </row>
    <row r="105" spans="1:139" x14ac:dyDescent="0.25">
      <c r="A105" s="140"/>
      <c r="B105" s="79"/>
      <c r="C105" s="140"/>
      <c r="D105" s="167"/>
      <c r="E105" s="52"/>
      <c r="F105" s="81"/>
      <c r="G105" s="81"/>
      <c r="H105" s="102" t="str">
        <f t="shared" si="86"/>
        <v>--</v>
      </c>
      <c r="I105" s="100">
        <f>IF(Table645[[#This Row],[Column8]]="--",0,Table645[[#This Row],[Column4]]*Table645[[#This Row],[Column8]])</f>
        <v>0</v>
      </c>
      <c r="J105" s="169"/>
      <c r="K105" s="85">
        <f>Table645[[#This Row],[Column4]]*Table645[[#This Row],[Column10]]</f>
        <v>0</v>
      </c>
      <c r="L105" s="170" t="str">
        <f t="shared" si="87"/>
        <v>--</v>
      </c>
      <c r="M105" s="214">
        <f>IF(Table645[[#This Row],[Column10]]=0,0,Table645[[#This Row],[Column4]]*Table645[[#This Row],[Column12]])</f>
        <v>0</v>
      </c>
      <c r="N105" s="87" t="str">
        <f t="shared" si="88"/>
        <v>--</v>
      </c>
      <c r="O105" s="138"/>
      <c r="AZ105" s="89">
        <f>IF(Table645[[#This Row],[Column14]]="--",0,Table645[[#This Row],[Column4]]*Table645[[#This Row],[Column14]])</f>
        <v>0</v>
      </c>
      <c r="BA105" s="90"/>
      <c r="BB105" s="91" t="str">
        <f>IF(BA105=0,"--",BA105*$BA$3*IF(Table645[[#This Row],[Column5]]&lt;4.1,1,2)/60/24)</f>
        <v>--</v>
      </c>
      <c r="BC105" s="92">
        <f>IF(Table645[[#This Row],[Column54]]="--",0,Table645[[#This Row],[Column4]]*Table645[[#This Row],[Column54]])</f>
        <v>0</v>
      </c>
      <c r="BD105" s="119"/>
      <c r="BE105" s="119"/>
      <c r="BF105" s="119"/>
      <c r="BG105" s="91" t="str">
        <f>IF(BD105+Table645[[#This Row],[Column58]]=0,"--",(BD105*$BF$3*Table645[[#This Row],[Column57]]+Table645[[#This Row],[Column58]]*$BF$4)/60/24)</f>
        <v>--</v>
      </c>
      <c r="BH105" s="92">
        <f>IF(Table645[[#This Row],[Column59]]="--",0,Table645[[#This Row],[Column4]]*Table645[[#This Row],[Column59]])</f>
        <v>0</v>
      </c>
      <c r="BI105" s="119"/>
      <c r="BJ105" s="91" t="str">
        <f t="shared" si="84"/>
        <v>--</v>
      </c>
      <c r="BK105" s="92">
        <f>IF(Table645[[#This Row],[Column62]]="--",0,Table645[[#This Row],[Column4]]*Table645[[#This Row],[Column62]])</f>
        <v>0</v>
      </c>
      <c r="BL105" s="93"/>
      <c r="BM105" s="91" t="str">
        <f t="shared" si="89"/>
        <v>--</v>
      </c>
      <c r="BN105" s="89">
        <f>IF(Table645[[#This Row],[Column65]]="--",0,Table645[[#This Row],[Column4]]*Table645[[#This Row],[Column65]])</f>
        <v>0</v>
      </c>
      <c r="BO105" s="163"/>
      <c r="BP105" s="164" t="str">
        <f t="shared" si="90"/>
        <v>--</v>
      </c>
      <c r="BQ105" s="160">
        <f>IF(Table645[[#This Row],[Column68]]="--",0,Table645[[#This Row],[Column4]]*Table645[[#This Row],[Column68]])</f>
        <v>0</v>
      </c>
      <c r="BR105" s="94"/>
      <c r="BS105" s="91" t="str">
        <f t="shared" si="91"/>
        <v>--</v>
      </c>
      <c r="BT105" s="92">
        <f>IF(Table645[[#This Row],[Column71]]="--",0,Table645[[#This Row],[Column4]]*Table645[[#This Row],[Column71]])</f>
        <v>0</v>
      </c>
      <c r="BU105" s="44"/>
      <c r="BV105" s="90"/>
      <c r="BW105" s="91" t="str">
        <f>IF(BV105=0,"--",(Table645[[#This Row],[Column73]]*$BV$4*(IF(J105&lt;0.5001,1,IF(J105&lt;2.0001,2,3)))+BV105/$BV$3)/60/24)</f>
        <v>--</v>
      </c>
      <c r="BX105" s="92">
        <f>IF(Table645[[#This Row],[Column75]]="--",0,Table645[[#This Row],[Column4]]*Table645[[#This Row],[Column75]])</f>
        <v>0</v>
      </c>
      <c r="BY105" s="95" t="s">
        <v>70</v>
      </c>
      <c r="BZ105" s="91" t="str">
        <f>IF(Table645[[#This Row],[Column74]]=0,"--",BW105*$BY$3)</f>
        <v>--</v>
      </c>
      <c r="CA105" s="89">
        <f>IF(Table645[[#This Row],[Column78]]="--",0,Table645[[#This Row],[Column4]]*Table645[[#This Row],[Column78]])</f>
        <v>0</v>
      </c>
      <c r="CB105" s="95" t="s">
        <v>70</v>
      </c>
      <c r="CC105" s="91" t="str">
        <f>IF(Table645[[#This Row],[Column10]]+Table645[[#This Row],[Column74]]=0,"--",J105*$CB$4*$CB$5/(24*60)+IF(Table645[[#This Row],[Column74]]=0,0,$CB$3*Table645[[#This Row],[Column75]]))</f>
        <v>--</v>
      </c>
      <c r="CD105" s="92">
        <f>IF(Table645[[#This Row],[Column81]]="--",0,Table645[[#This Row],[Column4]]*Table645[[#This Row],[Column81]])</f>
        <v>0</v>
      </c>
      <c r="CE105" s="215"/>
      <c r="CF105" s="91" t="str">
        <f t="shared" si="85"/>
        <v>--</v>
      </c>
      <c r="CG105" s="92">
        <f>IF(Table645[[#This Row],[Column84]]="--",0,Table645[[#This Row],[Column4]]*Table645[[#This Row],[Column84]])</f>
        <v>0</v>
      </c>
      <c r="CH105" s="226"/>
      <c r="CI105" s="216"/>
      <c r="CJ105" s="91" t="str">
        <f>IF(CI105=0,"--",(Table645[[#This Row],[Column86]]*$CI$4*(IF(W105&lt;0.5001,1,IF(W105&lt;2.0001,2,3)))+CI105/$CI$3)/60/24)</f>
        <v>--</v>
      </c>
      <c r="CK105" s="92">
        <f>IF(Table645[[#This Row],[Column88]]="--",0,Table645[[#This Row],[Column4]]*Table645[[#This Row],[Column88]])</f>
        <v>0</v>
      </c>
      <c r="CL105" s="217"/>
      <c r="CM105" s="91" t="str">
        <f>IF(Table645[[#This Row],[Column87]]=0,"--",CJ105*$CL$3)</f>
        <v>--</v>
      </c>
      <c r="CN105" s="92">
        <f>IF(Table645[[#This Row],[Column91]]="--",0,Table645[[#This Row],[Column4]]*Table645[[#This Row],[Column91]])</f>
        <v>0</v>
      </c>
      <c r="CO105" s="217"/>
      <c r="CP105" s="91" t="str">
        <f>IF(Table645[[#This Row],[Column10]]+Table645[[#This Row],[Column87]]=0, "--", IF($D105="", 1, $D105) * IF($J105="", 1, $J105) * $CO$3 * $CO$4 * IF(Table645[[#This Row],[Column95]]="", 1, Table645[[#This Row],[Column95]]) / (24 * 60))</f>
        <v>--</v>
      </c>
      <c r="CQ105" s="164"/>
      <c r="CR105" s="92">
        <f>IF(Table645[[#This Row],[Column94]]="--",0,Table645[[#This Row],[Column4]]*Table645[[#This Row],[Column94]])</f>
        <v>0</v>
      </c>
      <c r="CS105" s="218" t="str">
        <f>IF(Table645[[#This Row],[Column87]]="","",Table645[[#This Row],[Column87]])</f>
        <v/>
      </c>
      <c r="CT105" s="91" t="str">
        <f>IF(Table645[[#This Row],[Column97]]="","--",Table645[[#This Row],[Column97]]/$CS$3/60/24)</f>
        <v>--</v>
      </c>
      <c r="CU105" s="92">
        <f>IF(Table645[[#This Row],[Column98]]="--",0,Table645[[#This Row],[Column4]]*Table645[[#This Row],[Column98]])</f>
        <v>0</v>
      </c>
      <c r="CV105" s="93"/>
      <c r="CW105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05" s="91" t="str">
        <f>IF(OR(Table645[[#This Row],[Column74]]&gt;0,Table645[[#This Row],[Column87]]&gt;0),(Table645[[#This Row],[Column73]]+Table645[[#This Row],[Column86]]+1)*$CW$3/60/24,"--")</f>
        <v>--</v>
      </c>
      <c r="CY105" s="92">
        <f>IF(Table645[[#This Row],[Column102]]="--",0,Table645[[#This Row],[Column4]]*Table645[[#This Row],[Column102]])</f>
        <v>0</v>
      </c>
      <c r="CZ105" s="158" t="str">
        <f t="shared" si="92"/>
        <v>--</v>
      </c>
      <c r="DA105" s="153"/>
      <c r="DB105" s="160">
        <f>IF(Table645[[#This Row],[Column104]]="--",0,Table645[[#This Row],[Column4]]*Table645[[#This Row],[Column104]])</f>
        <v>0</v>
      </c>
      <c r="DC105" s="219"/>
      <c r="DD105" s="220" t="str">
        <f>IF(DC105=0,"--",1/$DC$3*1000/(60*60*24)*Table645[[#This Row],[Column107]])</f>
        <v>--</v>
      </c>
      <c r="DE105" s="160">
        <f>IF(Table645[[#This Row],[Column108]]="--",0,Table645[[#This Row],[Column4]]*Table645[[#This Row],[Column108]])</f>
        <v>0</v>
      </c>
      <c r="DF105" s="101" t="s">
        <v>70</v>
      </c>
      <c r="DG105" s="91" t="str">
        <f t="shared" si="93"/>
        <v>--</v>
      </c>
      <c r="DH105" s="89">
        <f>IF(Table645[[#This Row],[Column111]]="--",0,Table645[[#This Row],[Column4]]*Table645[[#This Row],[Column111]])</f>
        <v>0</v>
      </c>
      <c r="DI105" s="96"/>
      <c r="DJ105" s="96"/>
      <c r="DK105" s="96"/>
      <c r="DL105" s="96"/>
      <c r="DM105" s="96"/>
      <c r="DN105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05" s="89">
        <f>IF(Table645[[#This Row],[Column118]]="--",0,Table645[[#This Row],[Column4]]*Table645[[#This Row],[Column118]])</f>
        <v>0</v>
      </c>
      <c r="DP105" s="96"/>
      <c r="DQ105" s="96"/>
      <c r="DR105" s="91" t="str">
        <f t="shared" si="94"/>
        <v>--</v>
      </c>
      <c r="DS105" s="89">
        <f>IF(Table645[[#This Row],[Column122]]="--",0,Table645[[#This Row],[Column4]]*Table645[[#This Row],[Column122]])</f>
        <v>0</v>
      </c>
      <c r="DT105" t="str">
        <f>IF(Table645[[#This Row],[Column125]]=0,"--",Table645[[#This Row],[Column125]]*Table645[[#This Row],[Column126]]*Table645[[#This Row],[Column127]]/1000000000)</f>
        <v>--</v>
      </c>
      <c r="DU105" s="53"/>
      <c r="DV105" s="53"/>
      <c r="DW105" s="53"/>
      <c r="DX105" s="91" t="str">
        <f t="shared" si="95"/>
        <v>--</v>
      </c>
      <c r="DY105" s="89">
        <f>IF(Table645[[#This Row],[Column128]]="--",0,Table645[[#This Row],[Column4]]*Table645[[#This Row],[Column128]])</f>
        <v>0</v>
      </c>
      <c r="EA105" s="89">
        <f>IF(Table645[[#This Row],[Column128]]="--",0,Table645[[#This Row],[Column4]]*Table645[[#This Row],[Column128]])</f>
        <v>0</v>
      </c>
      <c r="EC105" s="89">
        <f>IF(Table645[[#This Row],[Column128]]="--",0,Table645[[#This Row],[Column4]]*Table645[[#This Row],[Column128]])</f>
        <v>0</v>
      </c>
      <c r="EE105" s="89">
        <f>IF(Table645[[#This Row],[Column128]]="--",0,Table645[[#This Row],[Column4]]*Table645[[#This Row],[Column128]])</f>
        <v>0</v>
      </c>
      <c r="EG105" s="89">
        <f>IF(Table645[[#This Row],[Column128]]="--",0,Table645[[#This Row],[Column4]]*Table645[[#This Row],[Column128]])</f>
        <v>0</v>
      </c>
      <c r="EI105" s="89">
        <f>IF(Table645[[#This Row],[Column128]]="--",0,Table645[[#This Row],[Column4]]*Table645[[#This Row],[Column128]])</f>
        <v>0</v>
      </c>
    </row>
    <row r="106" spans="1:139" x14ac:dyDescent="0.25">
      <c r="A106" s="140"/>
      <c r="B106" s="79"/>
      <c r="C106" s="140"/>
      <c r="D106" s="167"/>
      <c r="E106" s="52"/>
      <c r="F106" s="81"/>
      <c r="G106" s="81"/>
      <c r="H106" s="102" t="str">
        <f t="shared" si="86"/>
        <v>--</v>
      </c>
      <c r="I106" s="100">
        <f>IF(Table645[[#This Row],[Column8]]="--",0,Table645[[#This Row],[Column4]]*Table645[[#This Row],[Column8]])</f>
        <v>0</v>
      </c>
      <c r="J106" s="169"/>
      <c r="K106" s="85">
        <f>Table645[[#This Row],[Column4]]*Table645[[#This Row],[Column10]]</f>
        <v>0</v>
      </c>
      <c r="L106" s="170" t="str">
        <f t="shared" si="87"/>
        <v>--</v>
      </c>
      <c r="M106" s="214">
        <f>IF(Table645[[#This Row],[Column10]]=0,0,Table645[[#This Row],[Column4]]*Table645[[#This Row],[Column12]])</f>
        <v>0</v>
      </c>
      <c r="N106" s="87" t="str">
        <f t="shared" si="88"/>
        <v>--</v>
      </c>
      <c r="O106" s="138"/>
      <c r="AZ106" s="89">
        <f>IF(Table645[[#This Row],[Column14]]="--",0,Table645[[#This Row],[Column4]]*Table645[[#This Row],[Column14]])</f>
        <v>0</v>
      </c>
      <c r="BA106" s="90"/>
      <c r="BB106" s="91" t="str">
        <f>IF(BA106=0,"--",BA106*$BA$3*IF(Table645[[#This Row],[Column5]]&lt;4.1,1,2)/60/24)</f>
        <v>--</v>
      </c>
      <c r="BC106" s="92">
        <f>IF(Table645[[#This Row],[Column54]]="--",0,Table645[[#This Row],[Column4]]*Table645[[#This Row],[Column54]])</f>
        <v>0</v>
      </c>
      <c r="BD106" s="119"/>
      <c r="BE106" s="119"/>
      <c r="BF106" s="119"/>
      <c r="BG106" s="91" t="str">
        <f>IF(BD106+Table645[[#This Row],[Column58]]=0,"--",(BD106*$BF$3*Table645[[#This Row],[Column57]]+Table645[[#This Row],[Column58]]*$BF$4)/60/24)</f>
        <v>--</v>
      </c>
      <c r="BH106" s="92">
        <f>IF(Table645[[#This Row],[Column59]]="--",0,Table645[[#This Row],[Column4]]*Table645[[#This Row],[Column59]])</f>
        <v>0</v>
      </c>
      <c r="BI106" s="119"/>
      <c r="BJ106" s="91" t="str">
        <f t="shared" si="84"/>
        <v>--</v>
      </c>
      <c r="BK106" s="92">
        <f>IF(Table645[[#This Row],[Column62]]="--",0,Table645[[#This Row],[Column4]]*Table645[[#This Row],[Column62]])</f>
        <v>0</v>
      </c>
      <c r="BL106" s="93"/>
      <c r="BM106" s="91" t="str">
        <f t="shared" si="89"/>
        <v>--</v>
      </c>
      <c r="BN106" s="89">
        <f>IF(Table645[[#This Row],[Column65]]="--",0,Table645[[#This Row],[Column4]]*Table645[[#This Row],[Column65]])</f>
        <v>0</v>
      </c>
      <c r="BO106" s="163"/>
      <c r="BP106" s="164" t="str">
        <f t="shared" si="90"/>
        <v>--</v>
      </c>
      <c r="BQ106" s="160">
        <f>IF(Table645[[#This Row],[Column68]]="--",0,Table645[[#This Row],[Column4]]*Table645[[#This Row],[Column68]])</f>
        <v>0</v>
      </c>
      <c r="BR106" s="94"/>
      <c r="BS106" s="91" t="str">
        <f t="shared" si="91"/>
        <v>--</v>
      </c>
      <c r="BT106" s="92">
        <f>IF(Table645[[#This Row],[Column71]]="--",0,Table645[[#This Row],[Column4]]*Table645[[#This Row],[Column71]])</f>
        <v>0</v>
      </c>
      <c r="BU106" s="44"/>
      <c r="BV106" s="90"/>
      <c r="BW106" s="91" t="str">
        <f>IF(BV106=0,"--",(Table645[[#This Row],[Column73]]*$BV$4*(IF(J106&lt;0.5001,1,IF(J106&lt;2.0001,2,3)))+BV106/$BV$3)/60/24)</f>
        <v>--</v>
      </c>
      <c r="BX106" s="92">
        <f>IF(Table645[[#This Row],[Column75]]="--",0,Table645[[#This Row],[Column4]]*Table645[[#This Row],[Column75]])</f>
        <v>0</v>
      </c>
      <c r="BY106" s="95" t="s">
        <v>70</v>
      </c>
      <c r="BZ106" s="91" t="str">
        <f>IF(Table645[[#This Row],[Column74]]=0,"--",BW106*$BY$3)</f>
        <v>--</v>
      </c>
      <c r="CA106" s="89">
        <f>IF(Table645[[#This Row],[Column78]]="--",0,Table645[[#This Row],[Column4]]*Table645[[#This Row],[Column78]])</f>
        <v>0</v>
      </c>
      <c r="CB106" s="95" t="s">
        <v>70</v>
      </c>
      <c r="CC106" s="91" t="str">
        <f>IF(Table645[[#This Row],[Column10]]+Table645[[#This Row],[Column74]]=0,"--",J106*$CB$4*$CB$5/(24*60)+IF(Table645[[#This Row],[Column74]]=0,0,$CB$3*Table645[[#This Row],[Column75]]))</f>
        <v>--</v>
      </c>
      <c r="CD106" s="92">
        <f>IF(Table645[[#This Row],[Column81]]="--",0,Table645[[#This Row],[Column4]]*Table645[[#This Row],[Column81]])</f>
        <v>0</v>
      </c>
      <c r="CE106" s="215"/>
      <c r="CF106" s="91" t="str">
        <f t="shared" si="85"/>
        <v>--</v>
      </c>
      <c r="CG106" s="92">
        <f>IF(Table645[[#This Row],[Column84]]="--",0,Table645[[#This Row],[Column4]]*Table645[[#This Row],[Column84]])</f>
        <v>0</v>
      </c>
      <c r="CH106" s="226"/>
      <c r="CI106" s="216"/>
      <c r="CJ106" s="91" t="str">
        <f>IF(CI106=0,"--",(Table645[[#This Row],[Column86]]*$CI$4*(IF(W106&lt;0.5001,1,IF(W106&lt;2.0001,2,3)))+CI106/$CI$3)/60/24)</f>
        <v>--</v>
      </c>
      <c r="CK106" s="92">
        <f>IF(Table645[[#This Row],[Column88]]="--",0,Table645[[#This Row],[Column4]]*Table645[[#This Row],[Column88]])</f>
        <v>0</v>
      </c>
      <c r="CL106" s="217"/>
      <c r="CM106" s="91" t="str">
        <f>IF(Table645[[#This Row],[Column87]]=0,"--",CJ106*$CL$3)</f>
        <v>--</v>
      </c>
      <c r="CN106" s="92">
        <f>IF(Table645[[#This Row],[Column91]]="--",0,Table645[[#This Row],[Column4]]*Table645[[#This Row],[Column91]])</f>
        <v>0</v>
      </c>
      <c r="CO106" s="217"/>
      <c r="CP106" s="91" t="str">
        <f>IF(Table645[[#This Row],[Column10]]+Table645[[#This Row],[Column87]]=0, "--", IF($D106="", 1, $D106) * IF($J106="", 1, $J106) * $CO$3 * $CO$4 * IF(Table645[[#This Row],[Column95]]="", 1, Table645[[#This Row],[Column95]]) / (24 * 60))</f>
        <v>--</v>
      </c>
      <c r="CQ106" s="164"/>
      <c r="CR106" s="92">
        <f>IF(Table645[[#This Row],[Column94]]="--",0,Table645[[#This Row],[Column4]]*Table645[[#This Row],[Column94]])</f>
        <v>0</v>
      </c>
      <c r="CS106" s="218" t="str">
        <f>IF(Table645[[#This Row],[Column87]]="","",Table645[[#This Row],[Column87]])</f>
        <v/>
      </c>
      <c r="CT106" s="91" t="str">
        <f>IF(Table645[[#This Row],[Column97]]="","--",Table645[[#This Row],[Column97]]/$CS$3/60/24)</f>
        <v>--</v>
      </c>
      <c r="CU106" s="92">
        <f>IF(Table645[[#This Row],[Column98]]="--",0,Table645[[#This Row],[Column4]]*Table645[[#This Row],[Column98]])</f>
        <v>0</v>
      </c>
      <c r="CV106" s="93"/>
      <c r="CW106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06" s="91" t="str">
        <f>IF(OR(Table645[[#This Row],[Column74]]&gt;0,Table645[[#This Row],[Column87]]&gt;0),(Table645[[#This Row],[Column73]]+Table645[[#This Row],[Column86]]+1)*$CW$3/60/24,"--")</f>
        <v>--</v>
      </c>
      <c r="CY106" s="92">
        <f>IF(Table645[[#This Row],[Column102]]="--",0,Table645[[#This Row],[Column4]]*Table645[[#This Row],[Column102]])</f>
        <v>0</v>
      </c>
      <c r="CZ106" s="158" t="str">
        <f t="shared" si="92"/>
        <v>--</v>
      </c>
      <c r="DA106" s="153"/>
      <c r="DB106" s="160">
        <f>IF(Table645[[#This Row],[Column104]]="--",0,Table645[[#This Row],[Column4]]*Table645[[#This Row],[Column104]])</f>
        <v>0</v>
      </c>
      <c r="DC106" s="219"/>
      <c r="DD106" s="220" t="str">
        <f>IF(DC106=0,"--",1/$DC$3*1000/(60*60*24)*Table645[[#This Row],[Column107]])</f>
        <v>--</v>
      </c>
      <c r="DE106" s="160">
        <f>IF(Table645[[#This Row],[Column108]]="--",0,Table645[[#This Row],[Column4]]*Table645[[#This Row],[Column108]])</f>
        <v>0</v>
      </c>
      <c r="DF106" s="101" t="s">
        <v>70</v>
      </c>
      <c r="DG106" s="91" t="str">
        <f t="shared" si="93"/>
        <v>--</v>
      </c>
      <c r="DH106" s="89">
        <f>IF(Table645[[#This Row],[Column111]]="--",0,Table645[[#This Row],[Column4]]*Table645[[#This Row],[Column111]])</f>
        <v>0</v>
      </c>
      <c r="DI106" s="96"/>
      <c r="DJ106" s="96"/>
      <c r="DK106" s="96"/>
      <c r="DL106" s="96"/>
      <c r="DM106" s="96"/>
      <c r="DN106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06" s="89">
        <f>IF(Table645[[#This Row],[Column118]]="--",0,Table645[[#This Row],[Column4]]*Table645[[#This Row],[Column118]])</f>
        <v>0</v>
      </c>
      <c r="DP106" s="96"/>
      <c r="DQ106" s="96"/>
      <c r="DR106" s="91" t="str">
        <f t="shared" si="94"/>
        <v>--</v>
      </c>
      <c r="DS106" s="89">
        <f>IF(Table645[[#This Row],[Column122]]="--",0,Table645[[#This Row],[Column4]]*Table645[[#This Row],[Column122]])</f>
        <v>0</v>
      </c>
      <c r="DT106" t="str">
        <f>IF(Table645[[#This Row],[Column125]]=0,"--",Table645[[#This Row],[Column125]]*Table645[[#This Row],[Column126]]*Table645[[#This Row],[Column127]]/1000000000)</f>
        <v>--</v>
      </c>
      <c r="DU106" s="53"/>
      <c r="DV106" s="53"/>
      <c r="DW106" s="53"/>
      <c r="DX106" s="91" t="str">
        <f t="shared" si="95"/>
        <v>--</v>
      </c>
      <c r="DY106" s="89">
        <f>IF(Table645[[#This Row],[Column128]]="--",0,Table645[[#This Row],[Column4]]*Table645[[#This Row],[Column128]])</f>
        <v>0</v>
      </c>
      <c r="EA106" s="89">
        <f>IF(Table645[[#This Row],[Column128]]="--",0,Table645[[#This Row],[Column4]]*Table645[[#This Row],[Column128]])</f>
        <v>0</v>
      </c>
      <c r="EC106" s="89">
        <f>IF(Table645[[#This Row],[Column128]]="--",0,Table645[[#This Row],[Column4]]*Table645[[#This Row],[Column128]])</f>
        <v>0</v>
      </c>
      <c r="EE106" s="89">
        <f>IF(Table645[[#This Row],[Column128]]="--",0,Table645[[#This Row],[Column4]]*Table645[[#This Row],[Column128]])</f>
        <v>0</v>
      </c>
      <c r="EG106" s="89">
        <f>IF(Table645[[#This Row],[Column128]]="--",0,Table645[[#This Row],[Column4]]*Table645[[#This Row],[Column128]])</f>
        <v>0</v>
      </c>
      <c r="EI106" s="89">
        <f>IF(Table645[[#This Row],[Column128]]="--",0,Table645[[#This Row],[Column4]]*Table645[[#This Row],[Column128]])</f>
        <v>0</v>
      </c>
    </row>
    <row r="107" spans="1:139" x14ac:dyDescent="0.25">
      <c r="A107" s="140"/>
      <c r="B107" s="79"/>
      <c r="C107" s="140"/>
      <c r="D107" s="167"/>
      <c r="E107" s="52"/>
      <c r="F107" s="81"/>
      <c r="G107" s="81"/>
      <c r="H107" s="102" t="str">
        <f t="shared" si="86"/>
        <v>--</v>
      </c>
      <c r="I107" s="100">
        <f>IF(Table645[[#This Row],[Column8]]="--",0,Table645[[#This Row],[Column4]]*Table645[[#This Row],[Column8]])</f>
        <v>0</v>
      </c>
      <c r="J107" s="169"/>
      <c r="K107" s="85">
        <f>Table645[[#This Row],[Column4]]*Table645[[#This Row],[Column10]]</f>
        <v>0</v>
      </c>
      <c r="L107" s="170" t="str">
        <f t="shared" si="87"/>
        <v>--</v>
      </c>
      <c r="M107" s="214">
        <f>IF(Table645[[#This Row],[Column10]]=0,0,Table645[[#This Row],[Column4]]*Table645[[#This Row],[Column12]])</f>
        <v>0</v>
      </c>
      <c r="N107" s="87" t="str">
        <f t="shared" si="88"/>
        <v>--</v>
      </c>
      <c r="O107" s="138"/>
      <c r="AZ107" s="89">
        <f>IF(Table645[[#This Row],[Column14]]="--",0,Table645[[#This Row],[Column4]]*Table645[[#This Row],[Column14]])</f>
        <v>0</v>
      </c>
      <c r="BA107" s="90"/>
      <c r="BB107" s="91" t="str">
        <f>IF(BA107=0,"--",BA107*$BA$3*IF(Table645[[#This Row],[Column5]]&lt;4.1,1,2)/60/24)</f>
        <v>--</v>
      </c>
      <c r="BC107" s="92">
        <f>IF(Table645[[#This Row],[Column54]]="--",0,Table645[[#This Row],[Column4]]*Table645[[#This Row],[Column54]])</f>
        <v>0</v>
      </c>
      <c r="BD107" s="119"/>
      <c r="BE107" s="119"/>
      <c r="BF107" s="119"/>
      <c r="BG107" s="91" t="str">
        <f>IF(BD107+Table645[[#This Row],[Column58]]=0,"--",(BD107*$BF$3*Table645[[#This Row],[Column57]]+Table645[[#This Row],[Column58]]*$BF$4)/60/24)</f>
        <v>--</v>
      </c>
      <c r="BH107" s="92">
        <f>IF(Table645[[#This Row],[Column59]]="--",0,Table645[[#This Row],[Column4]]*Table645[[#This Row],[Column59]])</f>
        <v>0</v>
      </c>
      <c r="BI107" s="119"/>
      <c r="BJ107" s="91" t="str">
        <f t="shared" si="84"/>
        <v>--</v>
      </c>
      <c r="BK107" s="92">
        <f>IF(Table645[[#This Row],[Column62]]="--",0,Table645[[#This Row],[Column4]]*Table645[[#This Row],[Column62]])</f>
        <v>0</v>
      </c>
      <c r="BL107" s="93"/>
      <c r="BM107" s="91" t="str">
        <f t="shared" si="89"/>
        <v>--</v>
      </c>
      <c r="BN107" s="89">
        <f>IF(Table645[[#This Row],[Column65]]="--",0,Table645[[#This Row],[Column4]]*Table645[[#This Row],[Column65]])</f>
        <v>0</v>
      </c>
      <c r="BO107" s="163"/>
      <c r="BP107" s="164" t="str">
        <f t="shared" si="90"/>
        <v>--</v>
      </c>
      <c r="BQ107" s="160">
        <f>IF(Table645[[#This Row],[Column68]]="--",0,Table645[[#This Row],[Column4]]*Table645[[#This Row],[Column68]])</f>
        <v>0</v>
      </c>
      <c r="BR107" s="94"/>
      <c r="BS107" s="91" t="str">
        <f t="shared" si="91"/>
        <v>--</v>
      </c>
      <c r="BT107" s="92">
        <f>IF(Table645[[#This Row],[Column71]]="--",0,Table645[[#This Row],[Column4]]*Table645[[#This Row],[Column71]])</f>
        <v>0</v>
      </c>
      <c r="BU107" s="44"/>
      <c r="BV107" s="90"/>
      <c r="BW107" s="91" t="str">
        <f>IF(BV107=0,"--",(Table645[[#This Row],[Column73]]*$BV$4*(IF(J107&lt;0.5001,1,IF(J107&lt;2.0001,2,3)))+BV107/$BV$3)/60/24)</f>
        <v>--</v>
      </c>
      <c r="BX107" s="92">
        <f>IF(Table645[[#This Row],[Column75]]="--",0,Table645[[#This Row],[Column4]]*Table645[[#This Row],[Column75]])</f>
        <v>0</v>
      </c>
      <c r="BY107" s="95" t="s">
        <v>70</v>
      </c>
      <c r="BZ107" s="91" t="str">
        <f>IF(Table645[[#This Row],[Column74]]=0,"--",BW107*$BY$3)</f>
        <v>--</v>
      </c>
      <c r="CA107" s="89">
        <f>IF(Table645[[#This Row],[Column78]]="--",0,Table645[[#This Row],[Column4]]*Table645[[#This Row],[Column78]])</f>
        <v>0</v>
      </c>
      <c r="CB107" s="95" t="s">
        <v>70</v>
      </c>
      <c r="CC107" s="91" t="str">
        <f>IF(Table645[[#This Row],[Column10]]+Table645[[#This Row],[Column74]]=0,"--",J107*$CB$4*$CB$5/(24*60)+IF(Table645[[#This Row],[Column74]]=0,0,$CB$3*Table645[[#This Row],[Column75]]))</f>
        <v>--</v>
      </c>
      <c r="CD107" s="92">
        <f>IF(Table645[[#This Row],[Column81]]="--",0,Table645[[#This Row],[Column4]]*Table645[[#This Row],[Column81]])</f>
        <v>0</v>
      </c>
      <c r="CE107" s="215"/>
      <c r="CF107" s="91" t="str">
        <f t="shared" si="85"/>
        <v>--</v>
      </c>
      <c r="CG107" s="92">
        <f>IF(Table645[[#This Row],[Column84]]="--",0,Table645[[#This Row],[Column4]]*Table645[[#This Row],[Column84]])</f>
        <v>0</v>
      </c>
      <c r="CH107" s="226"/>
      <c r="CI107" s="216"/>
      <c r="CJ107" s="91" t="str">
        <f>IF(CI107=0,"--",(Table645[[#This Row],[Column86]]*$CI$4*(IF(W107&lt;0.5001,1,IF(W107&lt;2.0001,2,3)))+CI107/$CI$3)/60/24)</f>
        <v>--</v>
      </c>
      <c r="CK107" s="92">
        <f>IF(Table645[[#This Row],[Column88]]="--",0,Table645[[#This Row],[Column4]]*Table645[[#This Row],[Column88]])</f>
        <v>0</v>
      </c>
      <c r="CL107" s="217"/>
      <c r="CM107" s="91" t="str">
        <f>IF(Table645[[#This Row],[Column87]]=0,"--",CJ107*$CL$3)</f>
        <v>--</v>
      </c>
      <c r="CN107" s="92">
        <f>IF(Table645[[#This Row],[Column91]]="--",0,Table645[[#This Row],[Column4]]*Table645[[#This Row],[Column91]])</f>
        <v>0</v>
      </c>
      <c r="CO107" s="217"/>
      <c r="CP107" s="91" t="str">
        <f>IF(Table645[[#This Row],[Column10]]+Table645[[#This Row],[Column87]]=0, "--", IF($D107="", 1, $D107) * IF($J107="", 1, $J107) * $CO$3 * $CO$4 * IF(Table645[[#This Row],[Column95]]="", 1, Table645[[#This Row],[Column95]]) / (24 * 60))</f>
        <v>--</v>
      </c>
      <c r="CQ107" s="164"/>
      <c r="CR107" s="92">
        <f>IF(Table645[[#This Row],[Column94]]="--",0,Table645[[#This Row],[Column4]]*Table645[[#This Row],[Column94]])</f>
        <v>0</v>
      </c>
      <c r="CS107" s="218" t="str">
        <f>IF(Table645[[#This Row],[Column87]]="","",Table645[[#This Row],[Column87]])</f>
        <v/>
      </c>
      <c r="CT107" s="91" t="str">
        <f>IF(Table645[[#This Row],[Column97]]="","--",Table645[[#This Row],[Column97]]/$CS$3/60/24)</f>
        <v>--</v>
      </c>
      <c r="CU107" s="92">
        <f>IF(Table645[[#This Row],[Column98]]="--",0,Table645[[#This Row],[Column4]]*Table645[[#This Row],[Column98]])</f>
        <v>0</v>
      </c>
      <c r="CV107" s="93"/>
      <c r="CW107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07" s="91" t="str">
        <f>IF(OR(Table645[[#This Row],[Column74]]&gt;0,Table645[[#This Row],[Column87]]&gt;0),(Table645[[#This Row],[Column73]]+Table645[[#This Row],[Column86]]+1)*$CW$3/60/24,"--")</f>
        <v>--</v>
      </c>
      <c r="CY107" s="92">
        <f>IF(Table645[[#This Row],[Column102]]="--",0,Table645[[#This Row],[Column4]]*Table645[[#This Row],[Column102]])</f>
        <v>0</v>
      </c>
      <c r="CZ107" s="158" t="str">
        <f t="shared" si="92"/>
        <v>--</v>
      </c>
      <c r="DA107" s="153"/>
      <c r="DB107" s="160">
        <f>IF(Table645[[#This Row],[Column104]]="--",0,Table645[[#This Row],[Column4]]*Table645[[#This Row],[Column104]])</f>
        <v>0</v>
      </c>
      <c r="DC107" s="219"/>
      <c r="DD107" s="220" t="str">
        <f>IF(DC107=0,"--",1/$DC$3*1000/(60*60*24)*Table645[[#This Row],[Column107]])</f>
        <v>--</v>
      </c>
      <c r="DE107" s="160">
        <f>IF(Table645[[#This Row],[Column108]]="--",0,Table645[[#This Row],[Column4]]*Table645[[#This Row],[Column108]])</f>
        <v>0</v>
      </c>
      <c r="DF107" s="101" t="s">
        <v>70</v>
      </c>
      <c r="DG107" s="91" t="str">
        <f t="shared" si="93"/>
        <v>--</v>
      </c>
      <c r="DH107" s="89">
        <f>IF(Table645[[#This Row],[Column111]]="--",0,Table645[[#This Row],[Column4]]*Table645[[#This Row],[Column111]])</f>
        <v>0</v>
      </c>
      <c r="DI107" s="96"/>
      <c r="DJ107" s="96"/>
      <c r="DK107" s="96"/>
      <c r="DL107" s="96"/>
      <c r="DM107" s="96"/>
      <c r="DN107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07" s="89">
        <f>IF(Table645[[#This Row],[Column118]]="--",0,Table645[[#This Row],[Column4]]*Table645[[#This Row],[Column118]])</f>
        <v>0</v>
      </c>
      <c r="DP107" s="96"/>
      <c r="DQ107" s="96"/>
      <c r="DR107" s="91" t="str">
        <f t="shared" si="94"/>
        <v>--</v>
      </c>
      <c r="DS107" s="89">
        <f>IF(Table645[[#This Row],[Column122]]="--",0,Table645[[#This Row],[Column4]]*Table645[[#This Row],[Column122]])</f>
        <v>0</v>
      </c>
      <c r="DT107" t="str">
        <f>IF(Table645[[#This Row],[Column125]]=0,"--",Table645[[#This Row],[Column125]]*Table645[[#This Row],[Column126]]*Table645[[#This Row],[Column127]]/1000000000)</f>
        <v>--</v>
      </c>
      <c r="DU107" s="53"/>
      <c r="DV107" s="53"/>
      <c r="DW107" s="53"/>
      <c r="DX107" s="91" t="str">
        <f t="shared" si="95"/>
        <v>--</v>
      </c>
      <c r="DY107" s="89">
        <f>IF(Table645[[#This Row],[Column128]]="--",0,Table645[[#This Row],[Column4]]*Table645[[#This Row],[Column128]])</f>
        <v>0</v>
      </c>
      <c r="EA107" s="89">
        <f>IF(Table645[[#This Row],[Column128]]="--",0,Table645[[#This Row],[Column4]]*Table645[[#This Row],[Column128]])</f>
        <v>0</v>
      </c>
      <c r="EC107" s="89">
        <f>IF(Table645[[#This Row],[Column128]]="--",0,Table645[[#This Row],[Column4]]*Table645[[#This Row],[Column128]])</f>
        <v>0</v>
      </c>
      <c r="EE107" s="89">
        <f>IF(Table645[[#This Row],[Column128]]="--",0,Table645[[#This Row],[Column4]]*Table645[[#This Row],[Column128]])</f>
        <v>0</v>
      </c>
      <c r="EG107" s="89">
        <f>IF(Table645[[#This Row],[Column128]]="--",0,Table645[[#This Row],[Column4]]*Table645[[#This Row],[Column128]])</f>
        <v>0</v>
      </c>
      <c r="EI107" s="89">
        <f>IF(Table645[[#This Row],[Column128]]="--",0,Table645[[#This Row],[Column4]]*Table645[[#This Row],[Column128]])</f>
        <v>0</v>
      </c>
    </row>
    <row r="108" spans="1:139" x14ac:dyDescent="0.25">
      <c r="A108" s="140"/>
      <c r="B108" s="79"/>
      <c r="C108" s="140"/>
      <c r="D108" s="167"/>
      <c r="E108" s="52"/>
      <c r="F108" s="81"/>
      <c r="G108" s="81"/>
      <c r="H108" s="102" t="str">
        <f t="shared" si="86"/>
        <v>--</v>
      </c>
      <c r="I108" s="100">
        <f>IF(Table645[[#This Row],[Column8]]="--",0,Table645[[#This Row],[Column4]]*Table645[[#This Row],[Column8]])</f>
        <v>0</v>
      </c>
      <c r="J108" s="169"/>
      <c r="K108" s="85">
        <f>Table645[[#This Row],[Column4]]*Table645[[#This Row],[Column10]]</f>
        <v>0</v>
      </c>
      <c r="L108" s="170" t="str">
        <f t="shared" si="87"/>
        <v>--</v>
      </c>
      <c r="M108" s="214">
        <f>IF(Table645[[#This Row],[Column10]]=0,0,Table645[[#This Row],[Column4]]*Table645[[#This Row],[Column12]])</f>
        <v>0</v>
      </c>
      <c r="N108" s="87" t="str">
        <f t="shared" si="88"/>
        <v>--</v>
      </c>
      <c r="O108" s="138"/>
      <c r="AZ108" s="89">
        <f>IF(Table645[[#This Row],[Column14]]="--",0,Table645[[#This Row],[Column4]]*Table645[[#This Row],[Column14]])</f>
        <v>0</v>
      </c>
      <c r="BA108" s="90"/>
      <c r="BB108" s="91" t="str">
        <f>IF(BA108=0,"--",BA108*$BA$3*IF(Table645[[#This Row],[Column5]]&lt;4.1,1,2)/60/24)</f>
        <v>--</v>
      </c>
      <c r="BC108" s="92">
        <f>IF(Table645[[#This Row],[Column54]]="--",0,Table645[[#This Row],[Column4]]*Table645[[#This Row],[Column54]])</f>
        <v>0</v>
      </c>
      <c r="BD108" s="119"/>
      <c r="BE108" s="119"/>
      <c r="BF108" s="119"/>
      <c r="BG108" s="91" t="str">
        <f>IF(BD108+Table645[[#This Row],[Column58]]=0,"--",(BD108*$BF$3*Table645[[#This Row],[Column57]]+Table645[[#This Row],[Column58]]*$BF$4)/60/24)</f>
        <v>--</v>
      </c>
      <c r="BH108" s="92">
        <f>IF(Table645[[#This Row],[Column59]]="--",0,Table645[[#This Row],[Column4]]*Table645[[#This Row],[Column59]])</f>
        <v>0</v>
      </c>
      <c r="BI108" s="119"/>
      <c r="BJ108" s="91" t="str">
        <f t="shared" si="84"/>
        <v>--</v>
      </c>
      <c r="BK108" s="92">
        <f>IF(Table645[[#This Row],[Column62]]="--",0,Table645[[#This Row],[Column4]]*Table645[[#This Row],[Column62]])</f>
        <v>0</v>
      </c>
      <c r="BL108" s="93"/>
      <c r="BM108" s="91" t="str">
        <f t="shared" si="89"/>
        <v>--</v>
      </c>
      <c r="BN108" s="89">
        <f>IF(Table645[[#This Row],[Column65]]="--",0,Table645[[#This Row],[Column4]]*Table645[[#This Row],[Column65]])</f>
        <v>0</v>
      </c>
      <c r="BO108" s="163"/>
      <c r="BP108" s="164" t="str">
        <f t="shared" si="90"/>
        <v>--</v>
      </c>
      <c r="BQ108" s="160">
        <f>IF(Table645[[#This Row],[Column68]]="--",0,Table645[[#This Row],[Column4]]*Table645[[#This Row],[Column68]])</f>
        <v>0</v>
      </c>
      <c r="BR108" s="94"/>
      <c r="BS108" s="91" t="str">
        <f t="shared" si="91"/>
        <v>--</v>
      </c>
      <c r="BT108" s="92">
        <f>IF(Table645[[#This Row],[Column71]]="--",0,Table645[[#This Row],[Column4]]*Table645[[#This Row],[Column71]])</f>
        <v>0</v>
      </c>
      <c r="BU108" s="44"/>
      <c r="BV108" s="90"/>
      <c r="BW108" s="91" t="str">
        <f>IF(BV108=0,"--",(Table645[[#This Row],[Column73]]*$BV$4*(IF(J108&lt;0.5001,1,IF(J108&lt;2.0001,2,3)))+BV108/$BV$3)/60/24)</f>
        <v>--</v>
      </c>
      <c r="BX108" s="92">
        <f>IF(Table645[[#This Row],[Column75]]="--",0,Table645[[#This Row],[Column4]]*Table645[[#This Row],[Column75]])</f>
        <v>0</v>
      </c>
      <c r="BY108" s="95" t="s">
        <v>70</v>
      </c>
      <c r="BZ108" s="91" t="str">
        <f>IF(Table645[[#This Row],[Column74]]=0,"--",BW108*$BY$3)</f>
        <v>--</v>
      </c>
      <c r="CA108" s="89">
        <f>IF(Table645[[#This Row],[Column78]]="--",0,Table645[[#This Row],[Column4]]*Table645[[#This Row],[Column78]])</f>
        <v>0</v>
      </c>
      <c r="CB108" s="95" t="s">
        <v>70</v>
      </c>
      <c r="CC108" s="91" t="str">
        <f>IF(Table645[[#This Row],[Column10]]+Table645[[#This Row],[Column74]]=0,"--",J108*$CB$4*$CB$5/(24*60)+IF(Table645[[#This Row],[Column74]]=0,0,$CB$3*Table645[[#This Row],[Column75]]))</f>
        <v>--</v>
      </c>
      <c r="CD108" s="92">
        <f>IF(Table645[[#This Row],[Column81]]="--",0,Table645[[#This Row],[Column4]]*Table645[[#This Row],[Column81]])</f>
        <v>0</v>
      </c>
      <c r="CE108" s="215"/>
      <c r="CF108" s="91" t="str">
        <f t="shared" si="85"/>
        <v>--</v>
      </c>
      <c r="CG108" s="92">
        <f>IF(Table645[[#This Row],[Column84]]="--",0,Table645[[#This Row],[Column4]]*Table645[[#This Row],[Column84]])</f>
        <v>0</v>
      </c>
      <c r="CH108" s="226"/>
      <c r="CI108" s="216"/>
      <c r="CJ108" s="91" t="str">
        <f>IF(CI108=0,"--",(Table645[[#This Row],[Column86]]*$CI$4*(IF(W108&lt;0.5001,1,IF(W108&lt;2.0001,2,3)))+CI108/$CI$3)/60/24)</f>
        <v>--</v>
      </c>
      <c r="CK108" s="92">
        <f>IF(Table645[[#This Row],[Column88]]="--",0,Table645[[#This Row],[Column4]]*Table645[[#This Row],[Column88]])</f>
        <v>0</v>
      </c>
      <c r="CL108" s="217"/>
      <c r="CM108" s="91" t="str">
        <f>IF(Table645[[#This Row],[Column87]]=0,"--",CJ108*$CL$3)</f>
        <v>--</v>
      </c>
      <c r="CN108" s="92">
        <f>IF(Table645[[#This Row],[Column91]]="--",0,Table645[[#This Row],[Column4]]*Table645[[#This Row],[Column91]])</f>
        <v>0</v>
      </c>
      <c r="CO108" s="217"/>
      <c r="CP108" s="91" t="str">
        <f>IF(Table645[[#This Row],[Column10]]+Table645[[#This Row],[Column87]]=0, "--", IF($D108="", 1, $D108) * IF($J108="", 1, $J108) * $CO$3 * $CO$4 * IF(Table645[[#This Row],[Column95]]="", 1, Table645[[#This Row],[Column95]]) / (24 * 60))</f>
        <v>--</v>
      </c>
      <c r="CQ108" s="164"/>
      <c r="CR108" s="92">
        <f>IF(Table645[[#This Row],[Column94]]="--",0,Table645[[#This Row],[Column4]]*Table645[[#This Row],[Column94]])</f>
        <v>0</v>
      </c>
      <c r="CS108" s="218" t="str">
        <f>IF(Table645[[#This Row],[Column87]]="","",Table645[[#This Row],[Column87]])</f>
        <v/>
      </c>
      <c r="CT108" s="91" t="str">
        <f>IF(Table645[[#This Row],[Column97]]="","--",Table645[[#This Row],[Column97]]/$CS$3/60/24)</f>
        <v>--</v>
      </c>
      <c r="CU108" s="92">
        <f>IF(Table645[[#This Row],[Column98]]="--",0,Table645[[#This Row],[Column4]]*Table645[[#This Row],[Column98]])</f>
        <v>0</v>
      </c>
      <c r="CV108" s="93"/>
      <c r="CW108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08" s="91" t="str">
        <f>IF(OR(Table645[[#This Row],[Column74]]&gt;0,Table645[[#This Row],[Column87]]&gt;0),(Table645[[#This Row],[Column73]]+Table645[[#This Row],[Column86]]+1)*$CW$3/60/24,"--")</f>
        <v>--</v>
      </c>
      <c r="CY108" s="92">
        <f>IF(Table645[[#This Row],[Column102]]="--",0,Table645[[#This Row],[Column4]]*Table645[[#This Row],[Column102]])</f>
        <v>0</v>
      </c>
      <c r="CZ108" s="158" t="str">
        <f t="shared" si="92"/>
        <v>--</v>
      </c>
      <c r="DA108" s="153"/>
      <c r="DB108" s="160">
        <f>IF(Table645[[#This Row],[Column104]]="--",0,Table645[[#This Row],[Column4]]*Table645[[#This Row],[Column104]])</f>
        <v>0</v>
      </c>
      <c r="DC108" s="219"/>
      <c r="DD108" s="220" t="str">
        <f>IF(DC108=0,"--",1/$DC$3*1000/(60*60*24)*Table645[[#This Row],[Column107]])</f>
        <v>--</v>
      </c>
      <c r="DE108" s="160">
        <f>IF(Table645[[#This Row],[Column108]]="--",0,Table645[[#This Row],[Column4]]*Table645[[#This Row],[Column108]])</f>
        <v>0</v>
      </c>
      <c r="DF108" s="101" t="s">
        <v>70</v>
      </c>
      <c r="DG108" s="91" t="str">
        <f t="shared" si="93"/>
        <v>--</v>
      </c>
      <c r="DH108" s="89">
        <f>IF(Table645[[#This Row],[Column111]]="--",0,Table645[[#This Row],[Column4]]*Table645[[#This Row],[Column111]])</f>
        <v>0</v>
      </c>
      <c r="DI108" s="96"/>
      <c r="DJ108" s="96"/>
      <c r="DK108" s="96"/>
      <c r="DL108" s="96"/>
      <c r="DM108" s="96"/>
      <c r="DN108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08" s="89">
        <f>IF(Table645[[#This Row],[Column118]]="--",0,Table645[[#This Row],[Column4]]*Table645[[#This Row],[Column118]])</f>
        <v>0</v>
      </c>
      <c r="DP108" s="96"/>
      <c r="DQ108" s="96"/>
      <c r="DR108" s="91" t="str">
        <f t="shared" si="94"/>
        <v>--</v>
      </c>
      <c r="DS108" s="89">
        <f>IF(Table645[[#This Row],[Column122]]="--",0,Table645[[#This Row],[Column4]]*Table645[[#This Row],[Column122]])</f>
        <v>0</v>
      </c>
      <c r="DT108" t="str">
        <f>IF(Table645[[#This Row],[Column125]]=0,"--",Table645[[#This Row],[Column125]]*Table645[[#This Row],[Column126]]*Table645[[#This Row],[Column127]]/1000000000)</f>
        <v>--</v>
      </c>
      <c r="DU108" s="53"/>
      <c r="DV108" s="53"/>
      <c r="DW108" s="53"/>
      <c r="DX108" s="91" t="str">
        <f t="shared" si="95"/>
        <v>--</v>
      </c>
      <c r="DY108" s="89">
        <f>IF(Table645[[#This Row],[Column128]]="--",0,Table645[[#This Row],[Column4]]*Table645[[#This Row],[Column128]])</f>
        <v>0</v>
      </c>
      <c r="EA108" s="89">
        <f>IF(Table645[[#This Row],[Column128]]="--",0,Table645[[#This Row],[Column4]]*Table645[[#This Row],[Column128]])</f>
        <v>0</v>
      </c>
      <c r="EC108" s="89">
        <f>IF(Table645[[#This Row],[Column128]]="--",0,Table645[[#This Row],[Column4]]*Table645[[#This Row],[Column128]])</f>
        <v>0</v>
      </c>
      <c r="EE108" s="89">
        <f>IF(Table645[[#This Row],[Column128]]="--",0,Table645[[#This Row],[Column4]]*Table645[[#This Row],[Column128]])</f>
        <v>0</v>
      </c>
      <c r="EG108" s="89">
        <f>IF(Table645[[#This Row],[Column128]]="--",0,Table645[[#This Row],[Column4]]*Table645[[#This Row],[Column128]])</f>
        <v>0</v>
      </c>
      <c r="EI108" s="89">
        <f>IF(Table645[[#This Row],[Column128]]="--",0,Table645[[#This Row],[Column4]]*Table645[[#This Row],[Column128]])</f>
        <v>0</v>
      </c>
    </row>
    <row r="109" spans="1:139" x14ac:dyDescent="0.25">
      <c r="A109" s="140"/>
      <c r="B109" s="79"/>
      <c r="C109" s="140"/>
      <c r="D109" s="167"/>
      <c r="E109" s="52"/>
      <c r="F109" s="81"/>
      <c r="G109" s="81"/>
      <c r="H109" s="102" t="str">
        <f t="shared" si="86"/>
        <v>--</v>
      </c>
      <c r="I109" s="100">
        <f>IF(Table645[[#This Row],[Column8]]="--",0,Table645[[#This Row],[Column4]]*Table645[[#This Row],[Column8]])</f>
        <v>0</v>
      </c>
      <c r="J109" s="169"/>
      <c r="K109" s="85">
        <f>Table645[[#This Row],[Column4]]*Table645[[#This Row],[Column10]]</f>
        <v>0</v>
      </c>
      <c r="L109" s="170" t="str">
        <f t="shared" si="87"/>
        <v>--</v>
      </c>
      <c r="M109" s="214">
        <f>IF(Table645[[#This Row],[Column10]]=0,0,Table645[[#This Row],[Column4]]*Table645[[#This Row],[Column12]])</f>
        <v>0</v>
      </c>
      <c r="N109" s="87" t="str">
        <f t="shared" si="88"/>
        <v>--</v>
      </c>
      <c r="O109" s="138"/>
      <c r="AZ109" s="89">
        <f>IF(Table645[[#This Row],[Column14]]="--",0,Table645[[#This Row],[Column4]]*Table645[[#This Row],[Column14]])</f>
        <v>0</v>
      </c>
      <c r="BA109" s="90"/>
      <c r="BB109" s="91" t="str">
        <f>IF(BA109=0,"--",BA109*$BA$3*IF(Table645[[#This Row],[Column5]]&lt;4.1,1,2)/60/24)</f>
        <v>--</v>
      </c>
      <c r="BC109" s="92">
        <f>IF(Table645[[#This Row],[Column54]]="--",0,Table645[[#This Row],[Column4]]*Table645[[#This Row],[Column54]])</f>
        <v>0</v>
      </c>
      <c r="BD109" s="119"/>
      <c r="BE109" s="119"/>
      <c r="BF109" s="119"/>
      <c r="BG109" s="91" t="str">
        <f>IF(BD109+Table645[[#This Row],[Column58]]=0,"--",(BD109*$BF$3*Table645[[#This Row],[Column57]]+Table645[[#This Row],[Column58]]*$BF$4)/60/24)</f>
        <v>--</v>
      </c>
      <c r="BH109" s="92">
        <f>IF(Table645[[#This Row],[Column59]]="--",0,Table645[[#This Row],[Column4]]*Table645[[#This Row],[Column59]])</f>
        <v>0</v>
      </c>
      <c r="BI109" s="119"/>
      <c r="BJ109" s="91" t="str">
        <f t="shared" si="84"/>
        <v>--</v>
      </c>
      <c r="BK109" s="92">
        <f>IF(Table645[[#This Row],[Column62]]="--",0,Table645[[#This Row],[Column4]]*Table645[[#This Row],[Column62]])</f>
        <v>0</v>
      </c>
      <c r="BL109" s="93"/>
      <c r="BM109" s="91" t="str">
        <f t="shared" si="89"/>
        <v>--</v>
      </c>
      <c r="BN109" s="89">
        <f>IF(Table645[[#This Row],[Column65]]="--",0,Table645[[#This Row],[Column4]]*Table645[[#This Row],[Column65]])</f>
        <v>0</v>
      </c>
      <c r="BO109" s="163"/>
      <c r="BP109" s="164" t="str">
        <f t="shared" si="90"/>
        <v>--</v>
      </c>
      <c r="BQ109" s="160">
        <f>IF(Table645[[#This Row],[Column68]]="--",0,Table645[[#This Row],[Column4]]*Table645[[#This Row],[Column68]])</f>
        <v>0</v>
      </c>
      <c r="BR109" s="94"/>
      <c r="BS109" s="91" t="str">
        <f t="shared" si="91"/>
        <v>--</v>
      </c>
      <c r="BT109" s="92">
        <f>IF(Table645[[#This Row],[Column71]]="--",0,Table645[[#This Row],[Column4]]*Table645[[#This Row],[Column71]])</f>
        <v>0</v>
      </c>
      <c r="BU109" s="44"/>
      <c r="BV109" s="90"/>
      <c r="BW109" s="91" t="str">
        <f>IF(BV109=0,"--",(Table645[[#This Row],[Column73]]*$BV$4*(IF(J109&lt;0.5001,1,IF(J109&lt;2.0001,2,3)))+BV109/$BV$3)/60/24)</f>
        <v>--</v>
      </c>
      <c r="BX109" s="92">
        <f>IF(Table645[[#This Row],[Column75]]="--",0,Table645[[#This Row],[Column4]]*Table645[[#This Row],[Column75]])</f>
        <v>0</v>
      </c>
      <c r="BY109" s="95" t="s">
        <v>70</v>
      </c>
      <c r="BZ109" s="91" t="str">
        <f>IF(Table645[[#This Row],[Column74]]=0,"--",BW109*$BY$3)</f>
        <v>--</v>
      </c>
      <c r="CA109" s="89">
        <f>IF(Table645[[#This Row],[Column78]]="--",0,Table645[[#This Row],[Column4]]*Table645[[#This Row],[Column78]])</f>
        <v>0</v>
      </c>
      <c r="CB109" s="95" t="s">
        <v>70</v>
      </c>
      <c r="CC109" s="91" t="str">
        <f>IF(Table645[[#This Row],[Column10]]+Table645[[#This Row],[Column74]]=0,"--",J109*$CB$4*$CB$5/(24*60)+IF(Table645[[#This Row],[Column74]]=0,0,$CB$3*Table645[[#This Row],[Column75]]))</f>
        <v>--</v>
      </c>
      <c r="CD109" s="92">
        <f>IF(Table645[[#This Row],[Column81]]="--",0,Table645[[#This Row],[Column4]]*Table645[[#This Row],[Column81]])</f>
        <v>0</v>
      </c>
      <c r="CE109" s="215"/>
      <c r="CF109" s="91" t="str">
        <f t="shared" si="85"/>
        <v>--</v>
      </c>
      <c r="CG109" s="92">
        <f>IF(Table645[[#This Row],[Column84]]="--",0,Table645[[#This Row],[Column4]]*Table645[[#This Row],[Column84]])</f>
        <v>0</v>
      </c>
      <c r="CH109" s="226"/>
      <c r="CI109" s="216"/>
      <c r="CJ109" s="91" t="str">
        <f>IF(CI109=0,"--",(Table645[[#This Row],[Column86]]*$CI$4*(IF(W109&lt;0.5001,1,IF(W109&lt;2.0001,2,3)))+CI109/$CI$3)/60/24)</f>
        <v>--</v>
      </c>
      <c r="CK109" s="92">
        <f>IF(Table645[[#This Row],[Column88]]="--",0,Table645[[#This Row],[Column4]]*Table645[[#This Row],[Column88]])</f>
        <v>0</v>
      </c>
      <c r="CL109" s="217"/>
      <c r="CM109" s="91" t="str">
        <f>IF(Table645[[#This Row],[Column87]]=0,"--",CJ109*$CL$3)</f>
        <v>--</v>
      </c>
      <c r="CN109" s="92">
        <f>IF(Table645[[#This Row],[Column91]]="--",0,Table645[[#This Row],[Column4]]*Table645[[#This Row],[Column91]])</f>
        <v>0</v>
      </c>
      <c r="CO109" s="217"/>
      <c r="CP109" s="91" t="str">
        <f>IF(Table645[[#This Row],[Column10]]+Table645[[#This Row],[Column87]]=0, "--", IF($D109="", 1, $D109) * IF($J109="", 1, $J109) * $CO$3 * $CO$4 * IF(Table645[[#This Row],[Column95]]="", 1, Table645[[#This Row],[Column95]]) / (24 * 60))</f>
        <v>--</v>
      </c>
      <c r="CQ109" s="164"/>
      <c r="CR109" s="92">
        <f>IF(Table645[[#This Row],[Column94]]="--",0,Table645[[#This Row],[Column4]]*Table645[[#This Row],[Column94]])</f>
        <v>0</v>
      </c>
      <c r="CS109" s="218" t="str">
        <f>IF(Table645[[#This Row],[Column87]]="","",Table645[[#This Row],[Column87]])</f>
        <v/>
      </c>
      <c r="CT109" s="91" t="str">
        <f>IF(Table645[[#This Row],[Column97]]="","--",Table645[[#This Row],[Column97]]/$CS$3/60/24)</f>
        <v>--</v>
      </c>
      <c r="CU109" s="92">
        <f>IF(Table645[[#This Row],[Column98]]="--",0,Table645[[#This Row],[Column4]]*Table645[[#This Row],[Column98]])</f>
        <v>0</v>
      </c>
      <c r="CV109" s="93"/>
      <c r="CW109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09" s="91" t="str">
        <f>IF(OR(Table645[[#This Row],[Column74]]&gt;0,Table645[[#This Row],[Column87]]&gt;0),(Table645[[#This Row],[Column73]]+Table645[[#This Row],[Column86]]+1)*$CW$3/60/24,"--")</f>
        <v>--</v>
      </c>
      <c r="CY109" s="92">
        <f>IF(Table645[[#This Row],[Column102]]="--",0,Table645[[#This Row],[Column4]]*Table645[[#This Row],[Column102]])</f>
        <v>0</v>
      </c>
      <c r="CZ109" s="158" t="str">
        <f t="shared" si="92"/>
        <v>--</v>
      </c>
      <c r="DA109" s="153"/>
      <c r="DB109" s="160">
        <f>IF(Table645[[#This Row],[Column104]]="--",0,Table645[[#This Row],[Column4]]*Table645[[#This Row],[Column104]])</f>
        <v>0</v>
      </c>
      <c r="DC109" s="219"/>
      <c r="DD109" s="220" t="str">
        <f>IF(DC109=0,"--",1/$DC$3*1000/(60*60*24)*Table645[[#This Row],[Column107]])</f>
        <v>--</v>
      </c>
      <c r="DE109" s="160">
        <f>IF(Table645[[#This Row],[Column108]]="--",0,Table645[[#This Row],[Column4]]*Table645[[#This Row],[Column108]])</f>
        <v>0</v>
      </c>
      <c r="DF109" s="101" t="s">
        <v>70</v>
      </c>
      <c r="DG109" s="91" t="str">
        <f t="shared" si="93"/>
        <v>--</v>
      </c>
      <c r="DH109" s="89">
        <f>IF(Table645[[#This Row],[Column111]]="--",0,Table645[[#This Row],[Column4]]*Table645[[#This Row],[Column111]])</f>
        <v>0</v>
      </c>
      <c r="DI109" s="96"/>
      <c r="DJ109" s="96"/>
      <c r="DK109" s="96"/>
      <c r="DL109" s="96"/>
      <c r="DM109" s="96"/>
      <c r="DN109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09" s="89">
        <f>IF(Table645[[#This Row],[Column118]]="--",0,Table645[[#This Row],[Column4]]*Table645[[#This Row],[Column118]])</f>
        <v>0</v>
      </c>
      <c r="DP109" s="96"/>
      <c r="DQ109" s="96"/>
      <c r="DR109" s="91" t="str">
        <f t="shared" si="94"/>
        <v>--</v>
      </c>
      <c r="DS109" s="89">
        <f>IF(Table645[[#This Row],[Column122]]="--",0,Table645[[#This Row],[Column4]]*Table645[[#This Row],[Column122]])</f>
        <v>0</v>
      </c>
      <c r="DT109" t="str">
        <f>IF(Table645[[#This Row],[Column125]]=0,"--",Table645[[#This Row],[Column125]]*Table645[[#This Row],[Column126]]*Table645[[#This Row],[Column127]]/1000000000)</f>
        <v>--</v>
      </c>
      <c r="DU109" s="53"/>
      <c r="DV109" s="53"/>
      <c r="DW109" s="53"/>
      <c r="DX109" s="91" t="str">
        <f t="shared" si="95"/>
        <v>--</v>
      </c>
      <c r="DY109" s="89">
        <f>IF(Table645[[#This Row],[Column128]]="--",0,Table645[[#This Row],[Column4]]*Table645[[#This Row],[Column128]])</f>
        <v>0</v>
      </c>
      <c r="EA109" s="89">
        <f>IF(Table645[[#This Row],[Column128]]="--",0,Table645[[#This Row],[Column4]]*Table645[[#This Row],[Column128]])</f>
        <v>0</v>
      </c>
      <c r="EC109" s="89">
        <f>IF(Table645[[#This Row],[Column128]]="--",0,Table645[[#This Row],[Column4]]*Table645[[#This Row],[Column128]])</f>
        <v>0</v>
      </c>
      <c r="EE109" s="89">
        <f>IF(Table645[[#This Row],[Column128]]="--",0,Table645[[#This Row],[Column4]]*Table645[[#This Row],[Column128]])</f>
        <v>0</v>
      </c>
      <c r="EG109" s="89">
        <f>IF(Table645[[#This Row],[Column128]]="--",0,Table645[[#This Row],[Column4]]*Table645[[#This Row],[Column128]])</f>
        <v>0</v>
      </c>
      <c r="EI109" s="89">
        <f>IF(Table645[[#This Row],[Column128]]="--",0,Table645[[#This Row],[Column4]]*Table645[[#This Row],[Column128]])</f>
        <v>0</v>
      </c>
    </row>
    <row r="110" spans="1:139" x14ac:dyDescent="0.25">
      <c r="A110" s="140"/>
      <c r="B110" s="79"/>
      <c r="C110" s="140"/>
      <c r="D110" s="167"/>
      <c r="E110" s="52"/>
      <c r="F110" s="81"/>
      <c r="G110" s="81"/>
      <c r="H110" s="102" t="str">
        <f t="shared" si="86"/>
        <v>--</v>
      </c>
      <c r="I110" s="100">
        <f>IF(Table645[[#This Row],[Column8]]="--",0,Table645[[#This Row],[Column4]]*Table645[[#This Row],[Column8]])</f>
        <v>0</v>
      </c>
      <c r="J110" s="169"/>
      <c r="K110" s="85">
        <f>Table645[[#This Row],[Column4]]*Table645[[#This Row],[Column10]]</f>
        <v>0</v>
      </c>
      <c r="L110" s="170" t="str">
        <f t="shared" si="87"/>
        <v>--</v>
      </c>
      <c r="M110" s="214">
        <f>IF(Table645[[#This Row],[Column10]]=0,0,Table645[[#This Row],[Column4]]*Table645[[#This Row],[Column12]])</f>
        <v>0</v>
      </c>
      <c r="N110" s="87" t="str">
        <f t="shared" si="88"/>
        <v>--</v>
      </c>
      <c r="O110" s="138"/>
      <c r="AZ110" s="89">
        <f>IF(Table645[[#This Row],[Column14]]="--",0,Table645[[#This Row],[Column4]]*Table645[[#This Row],[Column14]])</f>
        <v>0</v>
      </c>
      <c r="BA110" s="90"/>
      <c r="BB110" s="91" t="str">
        <f>IF(BA110=0,"--",BA110*$BA$3*IF(Table645[[#This Row],[Column5]]&lt;4.1,1,2)/60/24)</f>
        <v>--</v>
      </c>
      <c r="BC110" s="92">
        <f>IF(Table645[[#This Row],[Column54]]="--",0,Table645[[#This Row],[Column4]]*Table645[[#This Row],[Column54]])</f>
        <v>0</v>
      </c>
      <c r="BD110" s="119"/>
      <c r="BE110" s="119"/>
      <c r="BF110" s="119"/>
      <c r="BG110" s="91" t="str">
        <f>IF(BD110+Table645[[#This Row],[Column58]]=0,"--",(BD110*$BF$3*Table645[[#This Row],[Column57]]+Table645[[#This Row],[Column58]]*$BF$4)/60/24)</f>
        <v>--</v>
      </c>
      <c r="BH110" s="92">
        <f>IF(Table645[[#This Row],[Column59]]="--",0,Table645[[#This Row],[Column4]]*Table645[[#This Row],[Column59]])</f>
        <v>0</v>
      </c>
      <c r="BI110" s="119"/>
      <c r="BJ110" s="91" t="str">
        <f t="shared" si="84"/>
        <v>--</v>
      </c>
      <c r="BK110" s="92">
        <f>IF(Table645[[#This Row],[Column62]]="--",0,Table645[[#This Row],[Column4]]*Table645[[#This Row],[Column62]])</f>
        <v>0</v>
      </c>
      <c r="BL110" s="93"/>
      <c r="BM110" s="91" t="str">
        <f t="shared" si="89"/>
        <v>--</v>
      </c>
      <c r="BN110" s="89">
        <f>IF(Table645[[#This Row],[Column65]]="--",0,Table645[[#This Row],[Column4]]*Table645[[#This Row],[Column65]])</f>
        <v>0</v>
      </c>
      <c r="BO110" s="163"/>
      <c r="BP110" s="164" t="str">
        <f t="shared" si="90"/>
        <v>--</v>
      </c>
      <c r="BQ110" s="160">
        <f>IF(Table645[[#This Row],[Column68]]="--",0,Table645[[#This Row],[Column4]]*Table645[[#This Row],[Column68]])</f>
        <v>0</v>
      </c>
      <c r="BR110" s="94"/>
      <c r="BS110" s="91" t="str">
        <f t="shared" si="91"/>
        <v>--</v>
      </c>
      <c r="BT110" s="92">
        <f>IF(Table645[[#This Row],[Column71]]="--",0,Table645[[#This Row],[Column4]]*Table645[[#This Row],[Column71]])</f>
        <v>0</v>
      </c>
      <c r="BU110" s="44"/>
      <c r="BV110" s="90"/>
      <c r="BW110" s="91" t="str">
        <f>IF(BV110=0,"--",(Table645[[#This Row],[Column73]]*$BV$4*(IF(J110&lt;0.5001,1,IF(J110&lt;2.0001,2,3)))+BV110/$BV$3)/60/24)</f>
        <v>--</v>
      </c>
      <c r="BX110" s="92">
        <f>IF(Table645[[#This Row],[Column75]]="--",0,Table645[[#This Row],[Column4]]*Table645[[#This Row],[Column75]])</f>
        <v>0</v>
      </c>
      <c r="BY110" s="95" t="s">
        <v>70</v>
      </c>
      <c r="BZ110" s="91" t="str">
        <f>IF(Table645[[#This Row],[Column74]]=0,"--",BW110*$BY$3)</f>
        <v>--</v>
      </c>
      <c r="CA110" s="89">
        <f>IF(Table645[[#This Row],[Column78]]="--",0,Table645[[#This Row],[Column4]]*Table645[[#This Row],[Column78]])</f>
        <v>0</v>
      </c>
      <c r="CB110" s="95" t="s">
        <v>70</v>
      </c>
      <c r="CC110" s="91" t="str">
        <f>IF(Table645[[#This Row],[Column10]]+Table645[[#This Row],[Column74]]=0,"--",J110*$CB$4*$CB$5/(24*60)+IF(Table645[[#This Row],[Column74]]=0,0,$CB$3*Table645[[#This Row],[Column75]]))</f>
        <v>--</v>
      </c>
      <c r="CD110" s="92">
        <f>IF(Table645[[#This Row],[Column81]]="--",0,Table645[[#This Row],[Column4]]*Table645[[#This Row],[Column81]])</f>
        <v>0</v>
      </c>
      <c r="CE110" s="215"/>
      <c r="CF110" s="91" t="str">
        <f t="shared" si="85"/>
        <v>--</v>
      </c>
      <c r="CG110" s="92">
        <f>IF(Table645[[#This Row],[Column84]]="--",0,Table645[[#This Row],[Column4]]*Table645[[#This Row],[Column84]])</f>
        <v>0</v>
      </c>
      <c r="CH110" s="226"/>
      <c r="CI110" s="216"/>
      <c r="CJ110" s="91" t="str">
        <f>IF(CI110=0,"--",(Table645[[#This Row],[Column86]]*$CI$4*(IF(W110&lt;0.5001,1,IF(W110&lt;2.0001,2,3)))+CI110/$CI$3)/60/24)</f>
        <v>--</v>
      </c>
      <c r="CK110" s="92">
        <f>IF(Table645[[#This Row],[Column88]]="--",0,Table645[[#This Row],[Column4]]*Table645[[#This Row],[Column88]])</f>
        <v>0</v>
      </c>
      <c r="CL110" s="217"/>
      <c r="CM110" s="91" t="str">
        <f>IF(Table645[[#This Row],[Column87]]=0,"--",CJ110*$CL$3)</f>
        <v>--</v>
      </c>
      <c r="CN110" s="92">
        <f>IF(Table645[[#This Row],[Column91]]="--",0,Table645[[#This Row],[Column4]]*Table645[[#This Row],[Column91]])</f>
        <v>0</v>
      </c>
      <c r="CO110" s="217"/>
      <c r="CP110" s="91" t="str">
        <f>IF(Table645[[#This Row],[Column10]]+Table645[[#This Row],[Column87]]=0, "--", IF($D110="", 1, $D110) * IF($J110="", 1, $J110) * $CO$3 * $CO$4 * IF(Table645[[#This Row],[Column95]]="", 1, Table645[[#This Row],[Column95]]) / (24 * 60))</f>
        <v>--</v>
      </c>
      <c r="CQ110" s="164"/>
      <c r="CR110" s="92">
        <f>IF(Table645[[#This Row],[Column94]]="--",0,Table645[[#This Row],[Column4]]*Table645[[#This Row],[Column94]])</f>
        <v>0</v>
      </c>
      <c r="CS110" s="218" t="str">
        <f>IF(Table645[[#This Row],[Column87]]="","",Table645[[#This Row],[Column87]])</f>
        <v/>
      </c>
      <c r="CT110" s="91" t="str">
        <f>IF(Table645[[#This Row],[Column97]]="","--",Table645[[#This Row],[Column97]]/$CS$3/60/24)</f>
        <v>--</v>
      </c>
      <c r="CU110" s="92">
        <f>IF(Table645[[#This Row],[Column98]]="--",0,Table645[[#This Row],[Column4]]*Table645[[#This Row],[Column98]])</f>
        <v>0</v>
      </c>
      <c r="CV110" s="93"/>
      <c r="CW110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10" s="91" t="str">
        <f>IF(OR(Table645[[#This Row],[Column74]]&gt;0,Table645[[#This Row],[Column87]]&gt;0),(Table645[[#This Row],[Column73]]+Table645[[#This Row],[Column86]]+1)*$CW$3/60/24,"--")</f>
        <v>--</v>
      </c>
      <c r="CY110" s="92">
        <f>IF(Table645[[#This Row],[Column102]]="--",0,Table645[[#This Row],[Column4]]*Table645[[#This Row],[Column102]])</f>
        <v>0</v>
      </c>
      <c r="CZ110" s="158" t="str">
        <f t="shared" si="92"/>
        <v>--</v>
      </c>
      <c r="DA110" s="153"/>
      <c r="DB110" s="160">
        <f>IF(Table645[[#This Row],[Column104]]="--",0,Table645[[#This Row],[Column4]]*Table645[[#This Row],[Column104]])</f>
        <v>0</v>
      </c>
      <c r="DC110" s="219"/>
      <c r="DD110" s="220" t="str">
        <f>IF(DC110=0,"--",1/$DC$3*1000/(60*60*24)*Table645[[#This Row],[Column107]])</f>
        <v>--</v>
      </c>
      <c r="DE110" s="160">
        <f>IF(Table645[[#This Row],[Column108]]="--",0,Table645[[#This Row],[Column4]]*Table645[[#This Row],[Column108]])</f>
        <v>0</v>
      </c>
      <c r="DF110" s="101" t="s">
        <v>70</v>
      </c>
      <c r="DG110" s="91" t="str">
        <f t="shared" si="93"/>
        <v>--</v>
      </c>
      <c r="DH110" s="89">
        <f>IF(Table645[[#This Row],[Column111]]="--",0,Table645[[#This Row],[Column4]]*Table645[[#This Row],[Column111]])</f>
        <v>0</v>
      </c>
      <c r="DI110" s="96"/>
      <c r="DJ110" s="96"/>
      <c r="DK110" s="96"/>
      <c r="DL110" s="96"/>
      <c r="DM110" s="96"/>
      <c r="DN110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10" s="89">
        <f>IF(Table645[[#This Row],[Column118]]="--",0,Table645[[#This Row],[Column4]]*Table645[[#This Row],[Column118]])</f>
        <v>0</v>
      </c>
      <c r="DP110" s="96"/>
      <c r="DQ110" s="96"/>
      <c r="DR110" s="91" t="str">
        <f t="shared" si="94"/>
        <v>--</v>
      </c>
      <c r="DS110" s="89">
        <f>IF(Table645[[#This Row],[Column122]]="--",0,Table645[[#This Row],[Column4]]*Table645[[#This Row],[Column122]])</f>
        <v>0</v>
      </c>
      <c r="DT110" t="str">
        <f>IF(Table645[[#This Row],[Column125]]=0,"--",Table645[[#This Row],[Column125]]*Table645[[#This Row],[Column126]]*Table645[[#This Row],[Column127]]/1000000000)</f>
        <v>--</v>
      </c>
      <c r="DU110" s="53"/>
      <c r="DV110" s="53"/>
      <c r="DW110" s="53"/>
      <c r="DX110" s="91" t="str">
        <f t="shared" si="95"/>
        <v>--</v>
      </c>
      <c r="DY110" s="89">
        <f>IF(Table645[[#This Row],[Column128]]="--",0,Table645[[#This Row],[Column4]]*Table645[[#This Row],[Column128]])</f>
        <v>0</v>
      </c>
      <c r="EA110" s="89">
        <f>IF(Table645[[#This Row],[Column128]]="--",0,Table645[[#This Row],[Column4]]*Table645[[#This Row],[Column128]])</f>
        <v>0</v>
      </c>
      <c r="EC110" s="89">
        <f>IF(Table645[[#This Row],[Column128]]="--",0,Table645[[#This Row],[Column4]]*Table645[[#This Row],[Column128]])</f>
        <v>0</v>
      </c>
      <c r="EE110" s="89">
        <f>IF(Table645[[#This Row],[Column128]]="--",0,Table645[[#This Row],[Column4]]*Table645[[#This Row],[Column128]])</f>
        <v>0</v>
      </c>
      <c r="EG110" s="89">
        <f>IF(Table645[[#This Row],[Column128]]="--",0,Table645[[#This Row],[Column4]]*Table645[[#This Row],[Column128]])</f>
        <v>0</v>
      </c>
      <c r="EI110" s="89">
        <f>IF(Table645[[#This Row],[Column128]]="--",0,Table645[[#This Row],[Column4]]*Table645[[#This Row],[Column128]])</f>
        <v>0</v>
      </c>
    </row>
    <row r="111" spans="1:139" x14ac:dyDescent="0.25">
      <c r="A111" s="140"/>
      <c r="B111" s="79"/>
      <c r="C111" s="140"/>
      <c r="D111" s="167"/>
      <c r="E111" s="52"/>
      <c r="F111" s="81"/>
      <c r="G111" s="81"/>
      <c r="H111" s="102" t="str">
        <f t="shared" si="86"/>
        <v>--</v>
      </c>
      <c r="I111" s="100">
        <f>IF(Table645[[#This Row],[Column8]]="--",0,Table645[[#This Row],[Column4]]*Table645[[#This Row],[Column8]])</f>
        <v>0</v>
      </c>
      <c r="J111" s="169"/>
      <c r="K111" s="85">
        <f>Table645[[#This Row],[Column4]]*Table645[[#This Row],[Column10]]</f>
        <v>0</v>
      </c>
      <c r="L111" s="170" t="str">
        <f t="shared" si="87"/>
        <v>--</v>
      </c>
      <c r="M111" s="214">
        <f>IF(Table645[[#This Row],[Column10]]=0,0,Table645[[#This Row],[Column4]]*Table645[[#This Row],[Column12]])</f>
        <v>0</v>
      </c>
      <c r="N111" s="87" t="str">
        <f t="shared" si="88"/>
        <v>--</v>
      </c>
      <c r="O111" s="138"/>
      <c r="AZ111" s="89">
        <f>IF(Table645[[#This Row],[Column14]]="--",0,Table645[[#This Row],[Column4]]*Table645[[#This Row],[Column14]])</f>
        <v>0</v>
      </c>
      <c r="BA111" s="90"/>
      <c r="BB111" s="91" t="str">
        <f>IF(BA111=0,"--",BA111*$BA$3*IF(Table645[[#This Row],[Column5]]&lt;4.1,1,2)/60/24)</f>
        <v>--</v>
      </c>
      <c r="BC111" s="92">
        <f>IF(Table645[[#This Row],[Column54]]="--",0,Table645[[#This Row],[Column4]]*Table645[[#This Row],[Column54]])</f>
        <v>0</v>
      </c>
      <c r="BD111" s="119"/>
      <c r="BE111" s="119"/>
      <c r="BF111" s="119"/>
      <c r="BG111" s="91" t="str">
        <f>IF(BD111+Table645[[#This Row],[Column58]]=0,"--",(BD111*$BF$3*Table645[[#This Row],[Column57]]+Table645[[#This Row],[Column58]]*$BF$4)/60/24)</f>
        <v>--</v>
      </c>
      <c r="BH111" s="92">
        <f>IF(Table645[[#This Row],[Column59]]="--",0,Table645[[#This Row],[Column4]]*Table645[[#This Row],[Column59]])</f>
        <v>0</v>
      </c>
      <c r="BI111" s="119"/>
      <c r="BJ111" s="91" t="str">
        <f t="shared" si="84"/>
        <v>--</v>
      </c>
      <c r="BK111" s="92">
        <f>IF(Table645[[#This Row],[Column62]]="--",0,Table645[[#This Row],[Column4]]*Table645[[#This Row],[Column62]])</f>
        <v>0</v>
      </c>
      <c r="BL111" s="93"/>
      <c r="BM111" s="91" t="str">
        <f t="shared" si="89"/>
        <v>--</v>
      </c>
      <c r="BN111" s="89">
        <f>IF(Table645[[#This Row],[Column65]]="--",0,Table645[[#This Row],[Column4]]*Table645[[#This Row],[Column65]])</f>
        <v>0</v>
      </c>
      <c r="BO111" s="163"/>
      <c r="BP111" s="164" t="str">
        <f t="shared" si="90"/>
        <v>--</v>
      </c>
      <c r="BQ111" s="160">
        <f>IF(Table645[[#This Row],[Column68]]="--",0,Table645[[#This Row],[Column4]]*Table645[[#This Row],[Column68]])</f>
        <v>0</v>
      </c>
      <c r="BR111" s="94"/>
      <c r="BS111" s="91" t="str">
        <f t="shared" si="91"/>
        <v>--</v>
      </c>
      <c r="BT111" s="92">
        <f>IF(Table645[[#This Row],[Column71]]="--",0,Table645[[#This Row],[Column4]]*Table645[[#This Row],[Column71]])</f>
        <v>0</v>
      </c>
      <c r="BU111" s="44"/>
      <c r="BV111" s="90"/>
      <c r="BW111" s="91" t="str">
        <f>IF(BV111=0,"--",(Table645[[#This Row],[Column73]]*$BV$4*(IF(J111&lt;0.5001,1,IF(J111&lt;2.0001,2,3)))+BV111/$BV$3)/60/24)</f>
        <v>--</v>
      </c>
      <c r="BX111" s="92">
        <f>IF(Table645[[#This Row],[Column75]]="--",0,Table645[[#This Row],[Column4]]*Table645[[#This Row],[Column75]])</f>
        <v>0</v>
      </c>
      <c r="BY111" s="95" t="s">
        <v>70</v>
      </c>
      <c r="BZ111" s="91" t="str">
        <f>IF(Table645[[#This Row],[Column74]]=0,"--",BW111*$BY$3)</f>
        <v>--</v>
      </c>
      <c r="CA111" s="89">
        <f>IF(Table645[[#This Row],[Column78]]="--",0,Table645[[#This Row],[Column4]]*Table645[[#This Row],[Column78]])</f>
        <v>0</v>
      </c>
      <c r="CB111" s="95" t="s">
        <v>70</v>
      </c>
      <c r="CC111" s="91" t="str">
        <f>IF(Table645[[#This Row],[Column10]]+Table645[[#This Row],[Column74]]=0,"--",J111*$CB$4*$CB$5/(24*60)+IF(Table645[[#This Row],[Column74]]=0,0,$CB$3*Table645[[#This Row],[Column75]]))</f>
        <v>--</v>
      </c>
      <c r="CD111" s="92">
        <f>IF(Table645[[#This Row],[Column81]]="--",0,Table645[[#This Row],[Column4]]*Table645[[#This Row],[Column81]])</f>
        <v>0</v>
      </c>
      <c r="CE111" s="215"/>
      <c r="CF111" s="91" t="str">
        <f t="shared" si="85"/>
        <v>--</v>
      </c>
      <c r="CG111" s="92">
        <f>IF(Table645[[#This Row],[Column84]]="--",0,Table645[[#This Row],[Column4]]*Table645[[#This Row],[Column84]])</f>
        <v>0</v>
      </c>
      <c r="CH111" s="226"/>
      <c r="CI111" s="216"/>
      <c r="CJ111" s="91" t="str">
        <f>IF(CI111=0,"--",(Table645[[#This Row],[Column86]]*$CI$4*(IF(W111&lt;0.5001,1,IF(W111&lt;2.0001,2,3)))+CI111/$CI$3)/60/24)</f>
        <v>--</v>
      </c>
      <c r="CK111" s="92">
        <f>IF(Table645[[#This Row],[Column88]]="--",0,Table645[[#This Row],[Column4]]*Table645[[#This Row],[Column88]])</f>
        <v>0</v>
      </c>
      <c r="CL111" s="217"/>
      <c r="CM111" s="91" t="str">
        <f>IF(Table645[[#This Row],[Column87]]=0,"--",CJ111*$CL$3)</f>
        <v>--</v>
      </c>
      <c r="CN111" s="92">
        <f>IF(Table645[[#This Row],[Column91]]="--",0,Table645[[#This Row],[Column4]]*Table645[[#This Row],[Column91]])</f>
        <v>0</v>
      </c>
      <c r="CO111" s="217"/>
      <c r="CP111" s="91" t="str">
        <f>IF(Table645[[#This Row],[Column10]]+Table645[[#This Row],[Column87]]=0, "--", IF($D111="", 1, $D111) * IF($J111="", 1, $J111) * $CO$3 * $CO$4 * IF(Table645[[#This Row],[Column95]]="", 1, Table645[[#This Row],[Column95]]) / (24 * 60))</f>
        <v>--</v>
      </c>
      <c r="CQ111" s="164"/>
      <c r="CR111" s="92">
        <f>IF(Table645[[#This Row],[Column94]]="--",0,Table645[[#This Row],[Column4]]*Table645[[#This Row],[Column94]])</f>
        <v>0</v>
      </c>
      <c r="CS111" s="218" t="str">
        <f>IF(Table645[[#This Row],[Column87]]="","",Table645[[#This Row],[Column87]])</f>
        <v/>
      </c>
      <c r="CT111" s="91" t="str">
        <f>IF(Table645[[#This Row],[Column97]]="","--",Table645[[#This Row],[Column97]]/$CS$3/60/24)</f>
        <v>--</v>
      </c>
      <c r="CU111" s="92">
        <f>IF(Table645[[#This Row],[Column98]]="--",0,Table645[[#This Row],[Column4]]*Table645[[#This Row],[Column98]])</f>
        <v>0</v>
      </c>
      <c r="CV111" s="93"/>
      <c r="CW111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11" s="91" t="str">
        <f>IF(OR(Table645[[#This Row],[Column74]]&gt;0,Table645[[#This Row],[Column87]]&gt;0),(Table645[[#This Row],[Column73]]+Table645[[#This Row],[Column86]]+1)*$CW$3/60/24,"--")</f>
        <v>--</v>
      </c>
      <c r="CY111" s="92">
        <f>IF(Table645[[#This Row],[Column102]]="--",0,Table645[[#This Row],[Column4]]*Table645[[#This Row],[Column102]])</f>
        <v>0</v>
      </c>
      <c r="CZ111" s="158" t="str">
        <f t="shared" si="92"/>
        <v>--</v>
      </c>
      <c r="DA111" s="153"/>
      <c r="DB111" s="160">
        <f>IF(Table645[[#This Row],[Column104]]="--",0,Table645[[#This Row],[Column4]]*Table645[[#This Row],[Column104]])</f>
        <v>0</v>
      </c>
      <c r="DC111" s="219"/>
      <c r="DD111" s="220" t="str">
        <f>IF(DC111=0,"--",1/$DC$3*1000/(60*60*24)*Table645[[#This Row],[Column107]])</f>
        <v>--</v>
      </c>
      <c r="DE111" s="160">
        <f>IF(Table645[[#This Row],[Column108]]="--",0,Table645[[#This Row],[Column4]]*Table645[[#This Row],[Column108]])</f>
        <v>0</v>
      </c>
      <c r="DF111" s="101" t="s">
        <v>70</v>
      </c>
      <c r="DG111" s="91" t="str">
        <f t="shared" si="93"/>
        <v>--</v>
      </c>
      <c r="DH111" s="89">
        <f>IF(Table645[[#This Row],[Column111]]="--",0,Table645[[#This Row],[Column4]]*Table645[[#This Row],[Column111]])</f>
        <v>0</v>
      </c>
      <c r="DI111" s="96"/>
      <c r="DJ111" s="96"/>
      <c r="DK111" s="96"/>
      <c r="DL111" s="96"/>
      <c r="DM111" s="96"/>
      <c r="DN111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11" s="89">
        <f>IF(Table645[[#This Row],[Column118]]="--",0,Table645[[#This Row],[Column4]]*Table645[[#This Row],[Column118]])</f>
        <v>0</v>
      </c>
      <c r="DP111" s="96"/>
      <c r="DQ111" s="96"/>
      <c r="DR111" s="91" t="str">
        <f t="shared" si="94"/>
        <v>--</v>
      </c>
      <c r="DS111" s="89">
        <f>IF(Table645[[#This Row],[Column122]]="--",0,Table645[[#This Row],[Column4]]*Table645[[#This Row],[Column122]])</f>
        <v>0</v>
      </c>
      <c r="DT111" t="str">
        <f>IF(Table645[[#This Row],[Column125]]=0,"--",Table645[[#This Row],[Column125]]*Table645[[#This Row],[Column126]]*Table645[[#This Row],[Column127]]/1000000000)</f>
        <v>--</v>
      </c>
      <c r="DU111" s="53"/>
      <c r="DV111" s="53"/>
      <c r="DW111" s="53"/>
      <c r="DX111" s="91" t="str">
        <f t="shared" si="95"/>
        <v>--</v>
      </c>
      <c r="DY111" s="89">
        <f>IF(Table645[[#This Row],[Column128]]="--",0,Table645[[#This Row],[Column4]]*Table645[[#This Row],[Column128]])</f>
        <v>0</v>
      </c>
      <c r="EA111" s="89">
        <f>IF(Table645[[#This Row],[Column128]]="--",0,Table645[[#This Row],[Column4]]*Table645[[#This Row],[Column128]])</f>
        <v>0</v>
      </c>
      <c r="EC111" s="89">
        <f>IF(Table645[[#This Row],[Column128]]="--",0,Table645[[#This Row],[Column4]]*Table645[[#This Row],[Column128]])</f>
        <v>0</v>
      </c>
      <c r="EE111" s="89">
        <f>IF(Table645[[#This Row],[Column128]]="--",0,Table645[[#This Row],[Column4]]*Table645[[#This Row],[Column128]])</f>
        <v>0</v>
      </c>
      <c r="EG111" s="89">
        <f>IF(Table645[[#This Row],[Column128]]="--",0,Table645[[#This Row],[Column4]]*Table645[[#This Row],[Column128]])</f>
        <v>0</v>
      </c>
      <c r="EI111" s="89">
        <f>IF(Table645[[#This Row],[Column128]]="--",0,Table645[[#This Row],[Column4]]*Table645[[#This Row],[Column128]])</f>
        <v>0</v>
      </c>
    </row>
    <row r="112" spans="1:139" x14ac:dyDescent="0.25">
      <c r="A112" s="140"/>
      <c r="B112" s="79"/>
      <c r="C112" s="140"/>
      <c r="D112" s="167"/>
      <c r="E112" s="52"/>
      <c r="F112" s="81"/>
      <c r="G112" s="81"/>
      <c r="H112" s="102" t="str">
        <f t="shared" ref="H112:H133" si="96">IF(E112&gt;0,E112*F112*G112/1000000*8*(1+$H$4),"--")</f>
        <v>--</v>
      </c>
      <c r="I112" s="100">
        <f>IF(Table645[[#This Row],[Column8]]="--",0,Table645[[#This Row],[Column4]]*Table645[[#This Row],[Column8]])</f>
        <v>0</v>
      </c>
      <c r="J112" s="169"/>
      <c r="K112" s="85">
        <f>Table645[[#This Row],[Column4]]*Table645[[#This Row],[Column10]]</f>
        <v>0</v>
      </c>
      <c r="L112" s="170" t="str">
        <f t="shared" ref="L112:L133" si="97">IF(J112=0,"--",J112/$J$3)</f>
        <v>--</v>
      </c>
      <c r="M112" s="214">
        <f>IF(Table645[[#This Row],[Column10]]=0,0,Table645[[#This Row],[Column4]]*Table645[[#This Row],[Column12]])</f>
        <v>0</v>
      </c>
      <c r="N112" s="87" t="str">
        <f t="shared" ref="N112:N133" si="98">IF(SUM(Q112:AX112)=0,"--",(Q112/$Q$4+T112/$T$4+W112/$W$4+Z112/$Z$4+AC112/$AC$4+AF112/$AF$4+AI112/$AI$4+AL112/$AL$4+AO112/$AO$4+AR112/$AR$4+AU112/$AU$4+AX112/$AX$4)/60/24)</f>
        <v>--</v>
      </c>
      <c r="O112" s="138"/>
      <c r="AZ112" s="89">
        <f>IF(Table645[[#This Row],[Column14]]="--",0,Table645[[#This Row],[Column4]]*Table645[[#This Row],[Column14]])</f>
        <v>0</v>
      </c>
      <c r="BA112" s="90"/>
      <c r="BB112" s="91" t="str">
        <f>IF(BA112=0,"--",BA112*$BA$3*IF(Table645[[#This Row],[Column5]]&lt;4.1,1,2)/60/24)</f>
        <v>--</v>
      </c>
      <c r="BC112" s="92">
        <f>IF(Table645[[#This Row],[Column54]]="--",0,Table645[[#This Row],[Column4]]*Table645[[#This Row],[Column54]])</f>
        <v>0</v>
      </c>
      <c r="BD112" s="119"/>
      <c r="BE112" s="119"/>
      <c r="BF112" s="119"/>
      <c r="BG112" s="91" t="str">
        <f>IF(BD112+Table645[[#This Row],[Column58]]=0,"--",(BD112*$BF$3*Table645[[#This Row],[Column57]]+Table645[[#This Row],[Column58]]*$BF$4)/60/24)</f>
        <v>--</v>
      </c>
      <c r="BH112" s="92">
        <f>IF(Table645[[#This Row],[Column59]]="--",0,Table645[[#This Row],[Column4]]*Table645[[#This Row],[Column59]])</f>
        <v>0</v>
      </c>
      <c r="BI112" s="119"/>
      <c r="BJ112" s="91" t="str">
        <f t="shared" si="84"/>
        <v>--</v>
      </c>
      <c r="BK112" s="92">
        <f>IF(Table645[[#This Row],[Column62]]="--",0,Table645[[#This Row],[Column4]]*Table645[[#This Row],[Column62]])</f>
        <v>0</v>
      </c>
      <c r="BL112" s="93"/>
      <c r="BM112" s="91" t="str">
        <f t="shared" ref="BM112:BM133" si="99">IF(BL112=0,"--",BL112*$BL$3/60/60/24)</f>
        <v>--</v>
      </c>
      <c r="BN112" s="89">
        <f>IF(Table645[[#This Row],[Column65]]="--",0,Table645[[#This Row],[Column4]]*Table645[[#This Row],[Column65]])</f>
        <v>0</v>
      </c>
      <c r="BO112" s="163"/>
      <c r="BP112" s="164" t="str">
        <f t="shared" ref="BP112:BP133" si="100">IF(BO112=0,"--",BO112*$BO$3/60/60/24)</f>
        <v>--</v>
      </c>
      <c r="BQ112" s="160">
        <f>IF(Table645[[#This Row],[Column68]]="--",0,Table645[[#This Row],[Column4]]*Table645[[#This Row],[Column68]])</f>
        <v>0</v>
      </c>
      <c r="BR112" s="94"/>
      <c r="BS112" s="91" t="str">
        <f t="shared" ref="BS112:BS133" si="101">IF(BR112=0,"--",BR112*$BR$3/60/60/24)</f>
        <v>--</v>
      </c>
      <c r="BT112" s="92">
        <f>IF(Table645[[#This Row],[Column71]]="--",0,Table645[[#This Row],[Column4]]*Table645[[#This Row],[Column71]])</f>
        <v>0</v>
      </c>
      <c r="BU112" s="44"/>
      <c r="BV112" s="90"/>
      <c r="BW112" s="91" t="str">
        <f>IF(BV112=0,"--",(Table645[[#This Row],[Column73]]*$BV$4*(IF(J112&lt;0.5001,1,IF(J112&lt;2.0001,2,3)))+BV112/$BV$3)/60/24)</f>
        <v>--</v>
      </c>
      <c r="BX112" s="92">
        <f>IF(Table645[[#This Row],[Column75]]="--",0,Table645[[#This Row],[Column4]]*Table645[[#This Row],[Column75]])</f>
        <v>0</v>
      </c>
      <c r="BY112" s="95" t="s">
        <v>70</v>
      </c>
      <c r="BZ112" s="91" t="str">
        <f>IF(Table645[[#This Row],[Column74]]=0,"--",BW112*$BY$3)</f>
        <v>--</v>
      </c>
      <c r="CA112" s="89">
        <f>IF(Table645[[#This Row],[Column78]]="--",0,Table645[[#This Row],[Column4]]*Table645[[#This Row],[Column78]])</f>
        <v>0</v>
      </c>
      <c r="CB112" s="95" t="s">
        <v>70</v>
      </c>
      <c r="CC112" s="91" t="str">
        <f>IF(Table645[[#This Row],[Column10]]+Table645[[#This Row],[Column74]]=0,"--",J112*$CB$4*$CB$5/(24*60)+IF(Table645[[#This Row],[Column74]]=0,0,$CB$3*Table645[[#This Row],[Column75]]))</f>
        <v>--</v>
      </c>
      <c r="CD112" s="92">
        <f>IF(Table645[[#This Row],[Column81]]="--",0,Table645[[#This Row],[Column4]]*Table645[[#This Row],[Column81]])</f>
        <v>0</v>
      </c>
      <c r="CE112" s="215"/>
      <c r="CF112" s="91" t="str">
        <f t="shared" si="85"/>
        <v>--</v>
      </c>
      <c r="CG112" s="92">
        <f>IF(Table645[[#This Row],[Column84]]="--",0,Table645[[#This Row],[Column4]]*Table645[[#This Row],[Column84]])</f>
        <v>0</v>
      </c>
      <c r="CH112" s="226"/>
      <c r="CI112" s="216"/>
      <c r="CJ112" s="91" t="str">
        <f>IF(CI112=0,"--",(Table645[[#This Row],[Column86]]*$CI$4*(IF(W112&lt;0.5001,1,IF(W112&lt;2.0001,2,3)))+CI112/$CI$3)/60/24)</f>
        <v>--</v>
      </c>
      <c r="CK112" s="92">
        <f>IF(Table645[[#This Row],[Column88]]="--",0,Table645[[#This Row],[Column4]]*Table645[[#This Row],[Column88]])</f>
        <v>0</v>
      </c>
      <c r="CL112" s="217"/>
      <c r="CM112" s="91" t="str">
        <f>IF(Table645[[#This Row],[Column87]]=0,"--",CJ112*$CL$3)</f>
        <v>--</v>
      </c>
      <c r="CN112" s="92">
        <f>IF(Table645[[#This Row],[Column91]]="--",0,Table645[[#This Row],[Column4]]*Table645[[#This Row],[Column91]])</f>
        <v>0</v>
      </c>
      <c r="CO112" s="217"/>
      <c r="CP112" s="91" t="str">
        <f>IF(Table645[[#This Row],[Column10]]+Table645[[#This Row],[Column87]]=0, "--", IF($D112="", 1, $D112) * IF($J112="", 1, $J112) * $CO$3 * $CO$4 * IF(Table645[[#This Row],[Column95]]="", 1, Table645[[#This Row],[Column95]]) / (24 * 60))</f>
        <v>--</v>
      </c>
      <c r="CQ112" s="164"/>
      <c r="CR112" s="92">
        <f>IF(Table645[[#This Row],[Column94]]="--",0,Table645[[#This Row],[Column4]]*Table645[[#This Row],[Column94]])</f>
        <v>0</v>
      </c>
      <c r="CS112" s="218" t="str">
        <f>IF(Table645[[#This Row],[Column87]]="","",Table645[[#This Row],[Column87]])</f>
        <v/>
      </c>
      <c r="CT112" s="91" t="str">
        <f>IF(Table645[[#This Row],[Column97]]="","--",Table645[[#This Row],[Column97]]/$CS$3/60/24)</f>
        <v>--</v>
      </c>
      <c r="CU112" s="92">
        <f>IF(Table645[[#This Row],[Column98]]="--",0,Table645[[#This Row],[Column4]]*Table645[[#This Row],[Column98]])</f>
        <v>0</v>
      </c>
      <c r="CV112" s="93"/>
      <c r="CW112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12" s="91" t="str">
        <f>IF(OR(Table645[[#This Row],[Column74]]&gt;0,Table645[[#This Row],[Column87]]&gt;0),(Table645[[#This Row],[Column73]]+Table645[[#This Row],[Column86]]+1)*$CW$3/60/24,"--")</f>
        <v>--</v>
      </c>
      <c r="CY112" s="92">
        <f>IF(Table645[[#This Row],[Column102]]="--",0,Table645[[#This Row],[Column4]]*Table645[[#This Row],[Column102]])</f>
        <v>0</v>
      </c>
      <c r="CZ112" s="158" t="str">
        <f t="shared" ref="CZ112:CZ133" si="102">IF(J112=0,"--",J112/$CZ$3/(24)*DA112)</f>
        <v>--</v>
      </c>
      <c r="DA112" s="153"/>
      <c r="DB112" s="160">
        <f>IF(Table645[[#This Row],[Column104]]="--",0,Table645[[#This Row],[Column4]]*Table645[[#This Row],[Column104]])</f>
        <v>0</v>
      </c>
      <c r="DC112" s="219"/>
      <c r="DD112" s="220" t="str">
        <f>IF(DC112=0,"--",1/$DC$3*1000/(60*60*24)*Table645[[#This Row],[Column107]])</f>
        <v>--</v>
      </c>
      <c r="DE112" s="160">
        <f>IF(Table645[[#This Row],[Column108]]="--",0,Table645[[#This Row],[Column4]]*Table645[[#This Row],[Column108]])</f>
        <v>0</v>
      </c>
      <c r="DF112" s="101" t="s">
        <v>70</v>
      </c>
      <c r="DG112" s="91" t="str">
        <f t="shared" ref="DG112:DG133" si="103">IF(DA112=0,"--",(J112*$DF$3)/60/24)</f>
        <v>--</v>
      </c>
      <c r="DH112" s="89">
        <f>IF(Table645[[#This Row],[Column111]]="--",0,Table645[[#This Row],[Column4]]*Table645[[#This Row],[Column111]])</f>
        <v>0</v>
      </c>
      <c r="DI112" s="96"/>
      <c r="DJ112" s="96"/>
      <c r="DK112" s="96"/>
      <c r="DL112" s="96"/>
      <c r="DM112" s="96"/>
      <c r="DN112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12" s="89">
        <f>IF(Table645[[#This Row],[Column118]]="--",0,Table645[[#This Row],[Column4]]*Table645[[#This Row],[Column118]])</f>
        <v>0</v>
      </c>
      <c r="DP112" s="96"/>
      <c r="DQ112" s="96"/>
      <c r="DR112" s="91" t="str">
        <f t="shared" ref="DR112:DR133" si="104">IF(DP112+DQ112&gt;0,(DP112*$DQ$3+DQ112*$DQ$4)/60/24,IF(DN112="--","--",(DP112*$DQ$3+DQ112*$DQ$4)/60/24))</f>
        <v>--</v>
      </c>
      <c r="DS112" s="89">
        <f>IF(Table645[[#This Row],[Column122]]="--",0,Table645[[#This Row],[Column4]]*Table645[[#This Row],[Column122]])</f>
        <v>0</v>
      </c>
      <c r="DT112" t="str">
        <f>IF(Table645[[#This Row],[Column125]]=0,"--",Table645[[#This Row],[Column125]]*Table645[[#This Row],[Column126]]*Table645[[#This Row],[Column127]]/1000000000)</f>
        <v>--</v>
      </c>
      <c r="DU112" s="53"/>
      <c r="DV112" s="53"/>
      <c r="DW112" s="53"/>
      <c r="DX112" s="91" t="str">
        <f t="shared" ref="DX112:DX133" si="105">IF(DT112="--","--",(1+DT112*$DT$3)/60/24)</f>
        <v>--</v>
      </c>
      <c r="DY112" s="89">
        <f>IF(Table645[[#This Row],[Column128]]="--",0,Table645[[#This Row],[Column4]]*Table645[[#This Row],[Column128]])</f>
        <v>0</v>
      </c>
      <c r="EA112" s="89">
        <f>IF(Table645[[#This Row],[Column128]]="--",0,Table645[[#This Row],[Column4]]*Table645[[#This Row],[Column128]])</f>
        <v>0</v>
      </c>
      <c r="EC112" s="89">
        <f>IF(Table645[[#This Row],[Column128]]="--",0,Table645[[#This Row],[Column4]]*Table645[[#This Row],[Column128]])</f>
        <v>0</v>
      </c>
      <c r="EE112" s="89">
        <f>IF(Table645[[#This Row],[Column128]]="--",0,Table645[[#This Row],[Column4]]*Table645[[#This Row],[Column128]])</f>
        <v>0</v>
      </c>
      <c r="EG112" s="89">
        <f>IF(Table645[[#This Row],[Column128]]="--",0,Table645[[#This Row],[Column4]]*Table645[[#This Row],[Column128]])</f>
        <v>0</v>
      </c>
      <c r="EI112" s="89">
        <f>IF(Table645[[#This Row],[Column128]]="--",0,Table645[[#This Row],[Column4]]*Table645[[#This Row],[Column128]])</f>
        <v>0</v>
      </c>
    </row>
    <row r="113" spans="1:139" x14ac:dyDescent="0.25">
      <c r="A113" s="140"/>
      <c r="B113" s="79"/>
      <c r="C113" s="140"/>
      <c r="D113" s="167"/>
      <c r="E113" s="52"/>
      <c r="F113" s="81"/>
      <c r="G113" s="81"/>
      <c r="H113" s="102" t="str">
        <f t="shared" si="96"/>
        <v>--</v>
      </c>
      <c r="I113" s="100">
        <f>IF(Table645[[#This Row],[Column8]]="--",0,Table645[[#This Row],[Column4]]*Table645[[#This Row],[Column8]])</f>
        <v>0</v>
      </c>
      <c r="J113" s="169"/>
      <c r="K113" s="85">
        <f>Table645[[#This Row],[Column4]]*Table645[[#This Row],[Column10]]</f>
        <v>0</v>
      </c>
      <c r="L113" s="170" t="str">
        <f t="shared" si="97"/>
        <v>--</v>
      </c>
      <c r="M113" s="214">
        <f>IF(Table645[[#This Row],[Column10]]=0,0,Table645[[#This Row],[Column4]]*Table645[[#This Row],[Column12]])</f>
        <v>0</v>
      </c>
      <c r="N113" s="87" t="str">
        <f t="shared" si="98"/>
        <v>--</v>
      </c>
      <c r="O113" s="138"/>
      <c r="AZ113" s="89">
        <f>IF(Table645[[#This Row],[Column14]]="--",0,Table645[[#This Row],[Column4]]*Table645[[#This Row],[Column14]])</f>
        <v>0</v>
      </c>
      <c r="BA113" s="90"/>
      <c r="BB113" s="91" t="str">
        <f>IF(BA113=0,"--",BA113*$BA$3*IF(Table645[[#This Row],[Column5]]&lt;4.1,1,2)/60/24)</f>
        <v>--</v>
      </c>
      <c r="BC113" s="92">
        <f>IF(Table645[[#This Row],[Column54]]="--",0,Table645[[#This Row],[Column4]]*Table645[[#This Row],[Column54]])</f>
        <v>0</v>
      </c>
      <c r="BD113" s="119"/>
      <c r="BE113" s="119"/>
      <c r="BF113" s="119"/>
      <c r="BG113" s="91" t="str">
        <f>IF(BD113+Table645[[#This Row],[Column58]]=0,"--",(BD113*$BF$3*Table645[[#This Row],[Column57]]+Table645[[#This Row],[Column58]]*$BF$4)/60/24)</f>
        <v>--</v>
      </c>
      <c r="BH113" s="92">
        <f>IF(Table645[[#This Row],[Column59]]="--",0,Table645[[#This Row],[Column4]]*Table645[[#This Row],[Column59]])</f>
        <v>0</v>
      </c>
      <c r="BI113" s="119"/>
      <c r="BJ113" s="91" t="str">
        <f t="shared" si="84"/>
        <v>--</v>
      </c>
      <c r="BK113" s="92">
        <f>IF(Table645[[#This Row],[Column62]]="--",0,Table645[[#This Row],[Column4]]*Table645[[#This Row],[Column62]])</f>
        <v>0</v>
      </c>
      <c r="BL113" s="93"/>
      <c r="BM113" s="91" t="str">
        <f t="shared" si="99"/>
        <v>--</v>
      </c>
      <c r="BN113" s="89">
        <f>IF(Table645[[#This Row],[Column65]]="--",0,Table645[[#This Row],[Column4]]*Table645[[#This Row],[Column65]])</f>
        <v>0</v>
      </c>
      <c r="BO113" s="163"/>
      <c r="BP113" s="164" t="str">
        <f t="shared" si="100"/>
        <v>--</v>
      </c>
      <c r="BQ113" s="160">
        <f>IF(Table645[[#This Row],[Column68]]="--",0,Table645[[#This Row],[Column4]]*Table645[[#This Row],[Column68]])</f>
        <v>0</v>
      </c>
      <c r="BR113" s="94"/>
      <c r="BS113" s="91" t="str">
        <f t="shared" si="101"/>
        <v>--</v>
      </c>
      <c r="BT113" s="92">
        <f>IF(Table645[[#This Row],[Column71]]="--",0,Table645[[#This Row],[Column4]]*Table645[[#This Row],[Column71]])</f>
        <v>0</v>
      </c>
      <c r="BU113" s="44"/>
      <c r="BV113" s="90"/>
      <c r="BW113" s="91" t="str">
        <f>IF(BV113=0,"--",(Table645[[#This Row],[Column73]]*$BV$4*(IF(J113&lt;0.5001,1,IF(J113&lt;2.0001,2,3)))+BV113/$BV$3)/60/24)</f>
        <v>--</v>
      </c>
      <c r="BX113" s="92">
        <f>IF(Table645[[#This Row],[Column75]]="--",0,Table645[[#This Row],[Column4]]*Table645[[#This Row],[Column75]])</f>
        <v>0</v>
      </c>
      <c r="BY113" s="95" t="s">
        <v>70</v>
      </c>
      <c r="BZ113" s="91" t="str">
        <f>IF(Table645[[#This Row],[Column74]]=0,"--",BW113*$BY$3)</f>
        <v>--</v>
      </c>
      <c r="CA113" s="89">
        <f>IF(Table645[[#This Row],[Column78]]="--",0,Table645[[#This Row],[Column4]]*Table645[[#This Row],[Column78]])</f>
        <v>0</v>
      </c>
      <c r="CB113" s="95" t="s">
        <v>70</v>
      </c>
      <c r="CC113" s="91" t="str">
        <f>IF(Table645[[#This Row],[Column10]]+Table645[[#This Row],[Column74]]=0,"--",J113*$CB$4*$CB$5/(24*60)+IF(Table645[[#This Row],[Column74]]=0,0,$CB$3*Table645[[#This Row],[Column75]]))</f>
        <v>--</v>
      </c>
      <c r="CD113" s="92">
        <f>IF(Table645[[#This Row],[Column81]]="--",0,Table645[[#This Row],[Column4]]*Table645[[#This Row],[Column81]])</f>
        <v>0</v>
      </c>
      <c r="CE113" s="215"/>
      <c r="CF113" s="91" t="str">
        <f t="shared" si="85"/>
        <v>--</v>
      </c>
      <c r="CG113" s="92">
        <f>IF(Table645[[#This Row],[Column84]]="--",0,Table645[[#This Row],[Column4]]*Table645[[#This Row],[Column84]])</f>
        <v>0</v>
      </c>
      <c r="CH113" s="226"/>
      <c r="CI113" s="216"/>
      <c r="CJ113" s="91" t="str">
        <f>IF(CI113=0,"--",(Table645[[#This Row],[Column86]]*$CI$4*(IF(W113&lt;0.5001,1,IF(W113&lt;2.0001,2,3)))+CI113/$CI$3)/60/24)</f>
        <v>--</v>
      </c>
      <c r="CK113" s="92">
        <f>IF(Table645[[#This Row],[Column88]]="--",0,Table645[[#This Row],[Column4]]*Table645[[#This Row],[Column88]])</f>
        <v>0</v>
      </c>
      <c r="CL113" s="217"/>
      <c r="CM113" s="91" t="str">
        <f>IF(Table645[[#This Row],[Column87]]=0,"--",CJ113*$CL$3)</f>
        <v>--</v>
      </c>
      <c r="CN113" s="92">
        <f>IF(Table645[[#This Row],[Column91]]="--",0,Table645[[#This Row],[Column4]]*Table645[[#This Row],[Column91]])</f>
        <v>0</v>
      </c>
      <c r="CO113" s="217"/>
      <c r="CP113" s="91" t="str">
        <f>IF(Table645[[#This Row],[Column10]]+Table645[[#This Row],[Column87]]=0, "--", IF($D113="", 1, $D113) * IF($J113="", 1, $J113) * $CO$3 * $CO$4 * IF(Table645[[#This Row],[Column95]]="", 1, Table645[[#This Row],[Column95]]) / (24 * 60))</f>
        <v>--</v>
      </c>
      <c r="CQ113" s="164"/>
      <c r="CR113" s="92">
        <f>IF(Table645[[#This Row],[Column94]]="--",0,Table645[[#This Row],[Column4]]*Table645[[#This Row],[Column94]])</f>
        <v>0</v>
      </c>
      <c r="CS113" s="218" t="str">
        <f>IF(Table645[[#This Row],[Column87]]="","",Table645[[#This Row],[Column87]])</f>
        <v/>
      </c>
      <c r="CT113" s="91" t="str">
        <f>IF(Table645[[#This Row],[Column97]]="","--",Table645[[#This Row],[Column97]]/$CS$3/60/24)</f>
        <v>--</v>
      </c>
      <c r="CU113" s="92">
        <f>IF(Table645[[#This Row],[Column98]]="--",0,Table645[[#This Row],[Column4]]*Table645[[#This Row],[Column98]])</f>
        <v>0</v>
      </c>
      <c r="CV113" s="93"/>
      <c r="CW113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13" s="91" t="str">
        <f>IF(OR(Table645[[#This Row],[Column74]]&gt;0,Table645[[#This Row],[Column87]]&gt;0),(Table645[[#This Row],[Column73]]+Table645[[#This Row],[Column86]]+1)*$CW$3/60/24,"--")</f>
        <v>--</v>
      </c>
      <c r="CY113" s="92">
        <f>IF(Table645[[#This Row],[Column102]]="--",0,Table645[[#This Row],[Column4]]*Table645[[#This Row],[Column102]])</f>
        <v>0</v>
      </c>
      <c r="CZ113" s="158" t="str">
        <f t="shared" si="102"/>
        <v>--</v>
      </c>
      <c r="DA113" s="153"/>
      <c r="DB113" s="160">
        <f>IF(Table645[[#This Row],[Column104]]="--",0,Table645[[#This Row],[Column4]]*Table645[[#This Row],[Column104]])</f>
        <v>0</v>
      </c>
      <c r="DC113" s="219"/>
      <c r="DD113" s="220" t="str">
        <f>IF(DC113=0,"--",1/$DC$3*1000/(60*60*24)*Table645[[#This Row],[Column107]])</f>
        <v>--</v>
      </c>
      <c r="DE113" s="160">
        <f>IF(Table645[[#This Row],[Column108]]="--",0,Table645[[#This Row],[Column4]]*Table645[[#This Row],[Column108]])</f>
        <v>0</v>
      </c>
      <c r="DF113" s="101" t="s">
        <v>70</v>
      </c>
      <c r="DG113" s="91" t="str">
        <f t="shared" si="103"/>
        <v>--</v>
      </c>
      <c r="DH113" s="89">
        <f>IF(Table645[[#This Row],[Column111]]="--",0,Table645[[#This Row],[Column4]]*Table645[[#This Row],[Column111]])</f>
        <v>0</v>
      </c>
      <c r="DI113" s="96"/>
      <c r="DJ113" s="96"/>
      <c r="DK113" s="96"/>
      <c r="DL113" s="96"/>
      <c r="DM113" s="96"/>
      <c r="DN113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13" s="89">
        <f>IF(Table645[[#This Row],[Column118]]="--",0,Table645[[#This Row],[Column4]]*Table645[[#This Row],[Column118]])</f>
        <v>0</v>
      </c>
      <c r="DP113" s="96"/>
      <c r="DQ113" s="96"/>
      <c r="DR113" s="91" t="str">
        <f t="shared" si="104"/>
        <v>--</v>
      </c>
      <c r="DS113" s="89">
        <f>IF(Table645[[#This Row],[Column122]]="--",0,Table645[[#This Row],[Column4]]*Table645[[#This Row],[Column122]])</f>
        <v>0</v>
      </c>
      <c r="DT113" t="str">
        <f>IF(Table645[[#This Row],[Column125]]=0,"--",Table645[[#This Row],[Column125]]*Table645[[#This Row],[Column126]]*Table645[[#This Row],[Column127]]/1000000000)</f>
        <v>--</v>
      </c>
      <c r="DU113" s="53"/>
      <c r="DV113" s="53"/>
      <c r="DW113" s="53"/>
      <c r="DX113" s="91" t="str">
        <f t="shared" si="105"/>
        <v>--</v>
      </c>
      <c r="DY113" s="89">
        <f>IF(Table645[[#This Row],[Column128]]="--",0,Table645[[#This Row],[Column4]]*Table645[[#This Row],[Column128]])</f>
        <v>0</v>
      </c>
      <c r="EA113" s="89">
        <f>IF(Table645[[#This Row],[Column128]]="--",0,Table645[[#This Row],[Column4]]*Table645[[#This Row],[Column128]])</f>
        <v>0</v>
      </c>
      <c r="EC113" s="89">
        <f>IF(Table645[[#This Row],[Column128]]="--",0,Table645[[#This Row],[Column4]]*Table645[[#This Row],[Column128]])</f>
        <v>0</v>
      </c>
      <c r="EE113" s="89">
        <f>IF(Table645[[#This Row],[Column128]]="--",0,Table645[[#This Row],[Column4]]*Table645[[#This Row],[Column128]])</f>
        <v>0</v>
      </c>
      <c r="EG113" s="89">
        <f>IF(Table645[[#This Row],[Column128]]="--",0,Table645[[#This Row],[Column4]]*Table645[[#This Row],[Column128]])</f>
        <v>0</v>
      </c>
      <c r="EI113" s="89">
        <f>IF(Table645[[#This Row],[Column128]]="--",0,Table645[[#This Row],[Column4]]*Table645[[#This Row],[Column128]])</f>
        <v>0</v>
      </c>
    </row>
    <row r="114" spans="1:139" x14ac:dyDescent="0.25">
      <c r="A114" s="140"/>
      <c r="B114" s="79"/>
      <c r="C114" s="140"/>
      <c r="D114" s="167"/>
      <c r="E114" s="52"/>
      <c r="F114" s="81"/>
      <c r="G114" s="81"/>
      <c r="H114" s="102" t="str">
        <f t="shared" si="96"/>
        <v>--</v>
      </c>
      <c r="I114" s="100">
        <f>IF(Table645[[#This Row],[Column8]]="--",0,Table645[[#This Row],[Column4]]*Table645[[#This Row],[Column8]])</f>
        <v>0</v>
      </c>
      <c r="J114" s="169"/>
      <c r="K114" s="85">
        <f>Table645[[#This Row],[Column4]]*Table645[[#This Row],[Column10]]</f>
        <v>0</v>
      </c>
      <c r="L114" s="170" t="str">
        <f t="shared" si="97"/>
        <v>--</v>
      </c>
      <c r="M114" s="214">
        <f>IF(Table645[[#This Row],[Column10]]=0,0,Table645[[#This Row],[Column4]]*Table645[[#This Row],[Column12]])</f>
        <v>0</v>
      </c>
      <c r="N114" s="87" t="str">
        <f t="shared" si="98"/>
        <v>--</v>
      </c>
      <c r="O114" s="138"/>
      <c r="AZ114" s="89">
        <f>IF(Table645[[#This Row],[Column14]]="--",0,Table645[[#This Row],[Column4]]*Table645[[#This Row],[Column14]])</f>
        <v>0</v>
      </c>
      <c r="BA114" s="90"/>
      <c r="BB114" s="91" t="str">
        <f>IF(BA114=0,"--",BA114*$BA$3*IF(Table645[[#This Row],[Column5]]&lt;4.1,1,2)/60/24)</f>
        <v>--</v>
      </c>
      <c r="BC114" s="92">
        <f>IF(Table645[[#This Row],[Column54]]="--",0,Table645[[#This Row],[Column4]]*Table645[[#This Row],[Column54]])</f>
        <v>0</v>
      </c>
      <c r="BD114" s="119"/>
      <c r="BE114" s="119"/>
      <c r="BF114" s="119"/>
      <c r="BG114" s="91" t="str">
        <f>IF(BD114+Table645[[#This Row],[Column58]]=0,"--",(BD114*$BF$3*Table645[[#This Row],[Column57]]+Table645[[#This Row],[Column58]]*$BF$4)/60/24)</f>
        <v>--</v>
      </c>
      <c r="BH114" s="92">
        <f>IF(Table645[[#This Row],[Column59]]="--",0,Table645[[#This Row],[Column4]]*Table645[[#This Row],[Column59]])</f>
        <v>0</v>
      </c>
      <c r="BI114" s="119"/>
      <c r="BJ114" s="91" t="str">
        <f t="shared" si="84"/>
        <v>--</v>
      </c>
      <c r="BK114" s="92">
        <f>IF(Table645[[#This Row],[Column62]]="--",0,Table645[[#This Row],[Column4]]*Table645[[#This Row],[Column62]])</f>
        <v>0</v>
      </c>
      <c r="BL114" s="93"/>
      <c r="BM114" s="91" t="str">
        <f t="shared" si="99"/>
        <v>--</v>
      </c>
      <c r="BN114" s="89">
        <f>IF(Table645[[#This Row],[Column65]]="--",0,Table645[[#This Row],[Column4]]*Table645[[#This Row],[Column65]])</f>
        <v>0</v>
      </c>
      <c r="BO114" s="163"/>
      <c r="BP114" s="164" t="str">
        <f t="shared" si="100"/>
        <v>--</v>
      </c>
      <c r="BQ114" s="160">
        <f>IF(Table645[[#This Row],[Column68]]="--",0,Table645[[#This Row],[Column4]]*Table645[[#This Row],[Column68]])</f>
        <v>0</v>
      </c>
      <c r="BR114" s="94"/>
      <c r="BS114" s="91" t="str">
        <f t="shared" si="101"/>
        <v>--</v>
      </c>
      <c r="BT114" s="92">
        <f>IF(Table645[[#This Row],[Column71]]="--",0,Table645[[#This Row],[Column4]]*Table645[[#This Row],[Column71]])</f>
        <v>0</v>
      </c>
      <c r="BU114" s="44"/>
      <c r="BV114" s="90"/>
      <c r="BW114" s="91" t="str">
        <f>IF(BV114=0,"--",(Table645[[#This Row],[Column73]]*$BV$4*(IF(J114&lt;0.5001,1,IF(J114&lt;2.0001,2,3)))+BV114/$BV$3)/60/24)</f>
        <v>--</v>
      </c>
      <c r="BX114" s="92">
        <f>IF(Table645[[#This Row],[Column75]]="--",0,Table645[[#This Row],[Column4]]*Table645[[#This Row],[Column75]])</f>
        <v>0</v>
      </c>
      <c r="BY114" s="95" t="s">
        <v>70</v>
      </c>
      <c r="BZ114" s="91" t="str">
        <f>IF(Table645[[#This Row],[Column74]]=0,"--",BW114*$BY$3)</f>
        <v>--</v>
      </c>
      <c r="CA114" s="89">
        <f>IF(Table645[[#This Row],[Column78]]="--",0,Table645[[#This Row],[Column4]]*Table645[[#This Row],[Column78]])</f>
        <v>0</v>
      </c>
      <c r="CB114" s="95" t="s">
        <v>70</v>
      </c>
      <c r="CC114" s="91" t="str">
        <f>IF(Table645[[#This Row],[Column10]]+Table645[[#This Row],[Column74]]=0,"--",J114*$CB$4*$CB$5/(24*60)+IF(Table645[[#This Row],[Column74]]=0,0,$CB$3*Table645[[#This Row],[Column75]]))</f>
        <v>--</v>
      </c>
      <c r="CD114" s="92">
        <f>IF(Table645[[#This Row],[Column81]]="--",0,Table645[[#This Row],[Column4]]*Table645[[#This Row],[Column81]])</f>
        <v>0</v>
      </c>
      <c r="CE114" s="215"/>
      <c r="CF114" s="91" t="str">
        <f t="shared" si="85"/>
        <v>--</v>
      </c>
      <c r="CG114" s="92">
        <f>IF(Table645[[#This Row],[Column84]]="--",0,Table645[[#This Row],[Column4]]*Table645[[#This Row],[Column84]])</f>
        <v>0</v>
      </c>
      <c r="CH114" s="226"/>
      <c r="CI114" s="216"/>
      <c r="CJ114" s="91" t="str">
        <f>IF(CI114=0,"--",(Table645[[#This Row],[Column86]]*$CI$4*(IF(W114&lt;0.5001,1,IF(W114&lt;2.0001,2,3)))+CI114/$CI$3)/60/24)</f>
        <v>--</v>
      </c>
      <c r="CK114" s="92">
        <f>IF(Table645[[#This Row],[Column88]]="--",0,Table645[[#This Row],[Column4]]*Table645[[#This Row],[Column88]])</f>
        <v>0</v>
      </c>
      <c r="CL114" s="217"/>
      <c r="CM114" s="91" t="str">
        <f>IF(Table645[[#This Row],[Column87]]=0,"--",CJ114*$CL$3)</f>
        <v>--</v>
      </c>
      <c r="CN114" s="92">
        <f>IF(Table645[[#This Row],[Column91]]="--",0,Table645[[#This Row],[Column4]]*Table645[[#This Row],[Column91]])</f>
        <v>0</v>
      </c>
      <c r="CO114" s="217"/>
      <c r="CP114" s="91" t="str">
        <f>IF(Table645[[#This Row],[Column10]]+Table645[[#This Row],[Column87]]=0, "--", IF($D114="", 1, $D114) * IF($J114="", 1, $J114) * $CO$3 * $CO$4 * IF(Table645[[#This Row],[Column95]]="", 1, Table645[[#This Row],[Column95]]) / (24 * 60))</f>
        <v>--</v>
      </c>
      <c r="CQ114" s="164"/>
      <c r="CR114" s="92">
        <f>IF(Table645[[#This Row],[Column94]]="--",0,Table645[[#This Row],[Column4]]*Table645[[#This Row],[Column94]])</f>
        <v>0</v>
      </c>
      <c r="CS114" s="218" t="str">
        <f>IF(Table645[[#This Row],[Column87]]="","",Table645[[#This Row],[Column87]])</f>
        <v/>
      </c>
      <c r="CT114" s="91" t="str">
        <f>IF(Table645[[#This Row],[Column97]]="","--",Table645[[#This Row],[Column97]]/$CS$3/60/24)</f>
        <v>--</v>
      </c>
      <c r="CU114" s="92">
        <f>IF(Table645[[#This Row],[Column98]]="--",0,Table645[[#This Row],[Column4]]*Table645[[#This Row],[Column98]])</f>
        <v>0</v>
      </c>
      <c r="CV114" s="93"/>
      <c r="CW114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14" s="91" t="str">
        <f>IF(OR(Table645[[#This Row],[Column74]]&gt;0,Table645[[#This Row],[Column87]]&gt;0),(Table645[[#This Row],[Column73]]+Table645[[#This Row],[Column86]]+1)*$CW$3/60/24,"--")</f>
        <v>--</v>
      </c>
      <c r="CY114" s="92">
        <f>IF(Table645[[#This Row],[Column102]]="--",0,Table645[[#This Row],[Column4]]*Table645[[#This Row],[Column102]])</f>
        <v>0</v>
      </c>
      <c r="CZ114" s="158" t="str">
        <f t="shared" si="102"/>
        <v>--</v>
      </c>
      <c r="DA114" s="153"/>
      <c r="DB114" s="160">
        <f>IF(Table645[[#This Row],[Column104]]="--",0,Table645[[#This Row],[Column4]]*Table645[[#This Row],[Column104]])</f>
        <v>0</v>
      </c>
      <c r="DC114" s="219"/>
      <c r="DD114" s="220" t="str">
        <f>IF(DC114=0,"--",1/$DC$3*1000/(60*60*24)*Table645[[#This Row],[Column107]])</f>
        <v>--</v>
      </c>
      <c r="DE114" s="160">
        <f>IF(Table645[[#This Row],[Column108]]="--",0,Table645[[#This Row],[Column4]]*Table645[[#This Row],[Column108]])</f>
        <v>0</v>
      </c>
      <c r="DF114" s="101" t="s">
        <v>70</v>
      </c>
      <c r="DG114" s="91" t="str">
        <f t="shared" si="103"/>
        <v>--</v>
      </c>
      <c r="DH114" s="89">
        <f>IF(Table645[[#This Row],[Column111]]="--",0,Table645[[#This Row],[Column4]]*Table645[[#This Row],[Column111]])</f>
        <v>0</v>
      </c>
      <c r="DI114" s="96"/>
      <c r="DJ114" s="96"/>
      <c r="DK114" s="96"/>
      <c r="DL114" s="96"/>
      <c r="DM114" s="96"/>
      <c r="DN114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14" s="89">
        <f>IF(Table645[[#This Row],[Column118]]="--",0,Table645[[#This Row],[Column4]]*Table645[[#This Row],[Column118]])</f>
        <v>0</v>
      </c>
      <c r="DP114" s="96"/>
      <c r="DQ114" s="96"/>
      <c r="DR114" s="91" t="str">
        <f t="shared" si="104"/>
        <v>--</v>
      </c>
      <c r="DS114" s="89">
        <f>IF(Table645[[#This Row],[Column122]]="--",0,Table645[[#This Row],[Column4]]*Table645[[#This Row],[Column122]])</f>
        <v>0</v>
      </c>
      <c r="DT114" t="str">
        <f>IF(Table645[[#This Row],[Column125]]=0,"--",Table645[[#This Row],[Column125]]*Table645[[#This Row],[Column126]]*Table645[[#This Row],[Column127]]/1000000000)</f>
        <v>--</v>
      </c>
      <c r="DU114" s="53"/>
      <c r="DV114" s="53"/>
      <c r="DW114" s="53"/>
      <c r="DX114" s="91" t="str">
        <f t="shared" si="105"/>
        <v>--</v>
      </c>
      <c r="DY114" s="89">
        <f>IF(Table645[[#This Row],[Column128]]="--",0,Table645[[#This Row],[Column4]]*Table645[[#This Row],[Column128]])</f>
        <v>0</v>
      </c>
      <c r="EA114" s="89">
        <f>IF(Table645[[#This Row],[Column128]]="--",0,Table645[[#This Row],[Column4]]*Table645[[#This Row],[Column128]])</f>
        <v>0</v>
      </c>
      <c r="EC114" s="89">
        <f>IF(Table645[[#This Row],[Column128]]="--",0,Table645[[#This Row],[Column4]]*Table645[[#This Row],[Column128]])</f>
        <v>0</v>
      </c>
      <c r="EE114" s="89">
        <f>IF(Table645[[#This Row],[Column128]]="--",0,Table645[[#This Row],[Column4]]*Table645[[#This Row],[Column128]])</f>
        <v>0</v>
      </c>
      <c r="EG114" s="89">
        <f>IF(Table645[[#This Row],[Column128]]="--",0,Table645[[#This Row],[Column4]]*Table645[[#This Row],[Column128]])</f>
        <v>0</v>
      </c>
      <c r="EI114" s="89">
        <f>IF(Table645[[#This Row],[Column128]]="--",0,Table645[[#This Row],[Column4]]*Table645[[#This Row],[Column128]])</f>
        <v>0</v>
      </c>
    </row>
    <row r="115" spans="1:139" x14ac:dyDescent="0.25">
      <c r="A115" s="140"/>
      <c r="B115" s="79"/>
      <c r="C115" s="140"/>
      <c r="D115" s="167"/>
      <c r="E115" s="52"/>
      <c r="F115" s="81"/>
      <c r="G115" s="81"/>
      <c r="H115" s="102" t="str">
        <f t="shared" si="96"/>
        <v>--</v>
      </c>
      <c r="I115" s="100">
        <f>IF(Table645[[#This Row],[Column8]]="--",0,Table645[[#This Row],[Column4]]*Table645[[#This Row],[Column8]])</f>
        <v>0</v>
      </c>
      <c r="J115" s="169"/>
      <c r="K115" s="85">
        <f>Table645[[#This Row],[Column4]]*Table645[[#This Row],[Column10]]</f>
        <v>0</v>
      </c>
      <c r="L115" s="170" t="str">
        <f t="shared" si="97"/>
        <v>--</v>
      </c>
      <c r="M115" s="214">
        <f>IF(Table645[[#This Row],[Column10]]=0,0,Table645[[#This Row],[Column4]]*Table645[[#This Row],[Column12]])</f>
        <v>0</v>
      </c>
      <c r="N115" s="87" t="str">
        <f t="shared" si="98"/>
        <v>--</v>
      </c>
      <c r="O115" s="138"/>
      <c r="AZ115" s="89">
        <f>IF(Table645[[#This Row],[Column14]]="--",0,Table645[[#This Row],[Column4]]*Table645[[#This Row],[Column14]])</f>
        <v>0</v>
      </c>
      <c r="BA115" s="90"/>
      <c r="BB115" s="91" t="str">
        <f>IF(BA115=0,"--",BA115*$BA$3*IF(Table645[[#This Row],[Column5]]&lt;4.1,1,2)/60/24)</f>
        <v>--</v>
      </c>
      <c r="BC115" s="92">
        <f>IF(Table645[[#This Row],[Column54]]="--",0,Table645[[#This Row],[Column4]]*Table645[[#This Row],[Column54]])</f>
        <v>0</v>
      </c>
      <c r="BD115" s="119"/>
      <c r="BE115" s="119"/>
      <c r="BF115" s="119"/>
      <c r="BG115" s="91" t="str">
        <f>IF(BD115+Table645[[#This Row],[Column58]]=0,"--",(BD115*$BF$3*Table645[[#This Row],[Column57]]+Table645[[#This Row],[Column58]]*$BF$4)/60/24)</f>
        <v>--</v>
      </c>
      <c r="BH115" s="92">
        <f>IF(Table645[[#This Row],[Column59]]="--",0,Table645[[#This Row],[Column4]]*Table645[[#This Row],[Column59]])</f>
        <v>0</v>
      </c>
      <c r="BI115" s="119"/>
      <c r="BJ115" s="91" t="str">
        <f t="shared" si="84"/>
        <v>--</v>
      </c>
      <c r="BK115" s="92">
        <f>IF(Table645[[#This Row],[Column62]]="--",0,Table645[[#This Row],[Column4]]*Table645[[#This Row],[Column62]])</f>
        <v>0</v>
      </c>
      <c r="BL115" s="93"/>
      <c r="BM115" s="91" t="str">
        <f t="shared" si="99"/>
        <v>--</v>
      </c>
      <c r="BN115" s="89">
        <f>IF(Table645[[#This Row],[Column65]]="--",0,Table645[[#This Row],[Column4]]*Table645[[#This Row],[Column65]])</f>
        <v>0</v>
      </c>
      <c r="BO115" s="163"/>
      <c r="BP115" s="164" t="str">
        <f t="shared" si="100"/>
        <v>--</v>
      </c>
      <c r="BQ115" s="160">
        <f>IF(Table645[[#This Row],[Column68]]="--",0,Table645[[#This Row],[Column4]]*Table645[[#This Row],[Column68]])</f>
        <v>0</v>
      </c>
      <c r="BR115" s="94"/>
      <c r="BS115" s="91" t="str">
        <f t="shared" si="101"/>
        <v>--</v>
      </c>
      <c r="BT115" s="92">
        <f>IF(Table645[[#This Row],[Column71]]="--",0,Table645[[#This Row],[Column4]]*Table645[[#This Row],[Column71]])</f>
        <v>0</v>
      </c>
      <c r="BU115" s="44"/>
      <c r="BV115" s="90"/>
      <c r="BW115" s="91" t="str">
        <f>IF(BV115=0,"--",(Table645[[#This Row],[Column73]]*$BV$4*(IF(J115&lt;0.5001,1,IF(J115&lt;2.0001,2,3)))+BV115/$BV$3)/60/24)</f>
        <v>--</v>
      </c>
      <c r="BX115" s="92">
        <f>IF(Table645[[#This Row],[Column75]]="--",0,Table645[[#This Row],[Column4]]*Table645[[#This Row],[Column75]])</f>
        <v>0</v>
      </c>
      <c r="BY115" s="95" t="s">
        <v>70</v>
      </c>
      <c r="BZ115" s="91" t="str">
        <f>IF(Table645[[#This Row],[Column74]]=0,"--",BW115*$BY$3)</f>
        <v>--</v>
      </c>
      <c r="CA115" s="89">
        <f>IF(Table645[[#This Row],[Column78]]="--",0,Table645[[#This Row],[Column4]]*Table645[[#This Row],[Column78]])</f>
        <v>0</v>
      </c>
      <c r="CB115" s="95" t="s">
        <v>70</v>
      </c>
      <c r="CC115" s="91" t="str">
        <f>IF(Table645[[#This Row],[Column10]]+Table645[[#This Row],[Column74]]=0,"--",J115*$CB$4*$CB$5/(24*60)+IF(Table645[[#This Row],[Column74]]=0,0,$CB$3*Table645[[#This Row],[Column75]]))</f>
        <v>--</v>
      </c>
      <c r="CD115" s="92">
        <f>IF(Table645[[#This Row],[Column81]]="--",0,Table645[[#This Row],[Column4]]*Table645[[#This Row],[Column81]])</f>
        <v>0</v>
      </c>
      <c r="CE115" s="215"/>
      <c r="CF115" s="91" t="str">
        <f t="shared" si="85"/>
        <v>--</v>
      </c>
      <c r="CG115" s="92">
        <f>IF(Table645[[#This Row],[Column84]]="--",0,Table645[[#This Row],[Column4]]*Table645[[#This Row],[Column84]])</f>
        <v>0</v>
      </c>
      <c r="CH115" s="226"/>
      <c r="CI115" s="216"/>
      <c r="CJ115" s="91" t="str">
        <f>IF(CI115=0,"--",(Table645[[#This Row],[Column86]]*$CI$4*(IF(W115&lt;0.5001,1,IF(W115&lt;2.0001,2,3)))+CI115/$CI$3)/60/24)</f>
        <v>--</v>
      </c>
      <c r="CK115" s="92">
        <f>IF(Table645[[#This Row],[Column88]]="--",0,Table645[[#This Row],[Column4]]*Table645[[#This Row],[Column88]])</f>
        <v>0</v>
      </c>
      <c r="CL115" s="217"/>
      <c r="CM115" s="91" t="str">
        <f>IF(Table645[[#This Row],[Column87]]=0,"--",CJ115*$CL$3)</f>
        <v>--</v>
      </c>
      <c r="CN115" s="92">
        <f>IF(Table645[[#This Row],[Column91]]="--",0,Table645[[#This Row],[Column4]]*Table645[[#This Row],[Column91]])</f>
        <v>0</v>
      </c>
      <c r="CO115" s="217"/>
      <c r="CP115" s="91" t="str">
        <f>IF(Table645[[#This Row],[Column10]]+Table645[[#This Row],[Column87]]=0, "--", IF($D115="", 1, $D115) * IF($J115="", 1, $J115) * $CO$3 * $CO$4 * IF(Table645[[#This Row],[Column95]]="", 1, Table645[[#This Row],[Column95]]) / (24 * 60))</f>
        <v>--</v>
      </c>
      <c r="CQ115" s="164"/>
      <c r="CR115" s="92">
        <f>IF(Table645[[#This Row],[Column94]]="--",0,Table645[[#This Row],[Column4]]*Table645[[#This Row],[Column94]])</f>
        <v>0</v>
      </c>
      <c r="CS115" s="218" t="str">
        <f>IF(Table645[[#This Row],[Column87]]="","",Table645[[#This Row],[Column87]])</f>
        <v/>
      </c>
      <c r="CT115" s="91" t="str">
        <f>IF(Table645[[#This Row],[Column97]]="","--",Table645[[#This Row],[Column97]]/$CS$3/60/24)</f>
        <v>--</v>
      </c>
      <c r="CU115" s="92">
        <f>IF(Table645[[#This Row],[Column98]]="--",0,Table645[[#This Row],[Column4]]*Table645[[#This Row],[Column98]])</f>
        <v>0</v>
      </c>
      <c r="CV115" s="93"/>
      <c r="CW115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15" s="91" t="str">
        <f>IF(OR(Table645[[#This Row],[Column74]]&gt;0,Table645[[#This Row],[Column87]]&gt;0),(Table645[[#This Row],[Column73]]+Table645[[#This Row],[Column86]]+1)*$CW$3/60/24,"--")</f>
        <v>--</v>
      </c>
      <c r="CY115" s="92">
        <f>IF(Table645[[#This Row],[Column102]]="--",0,Table645[[#This Row],[Column4]]*Table645[[#This Row],[Column102]])</f>
        <v>0</v>
      </c>
      <c r="CZ115" s="158" t="str">
        <f t="shared" si="102"/>
        <v>--</v>
      </c>
      <c r="DA115" s="153"/>
      <c r="DB115" s="160">
        <f>IF(Table645[[#This Row],[Column104]]="--",0,Table645[[#This Row],[Column4]]*Table645[[#This Row],[Column104]])</f>
        <v>0</v>
      </c>
      <c r="DC115" s="219"/>
      <c r="DD115" s="220" t="str">
        <f>IF(DC115=0,"--",1/$DC$3*1000/(60*60*24)*Table645[[#This Row],[Column107]])</f>
        <v>--</v>
      </c>
      <c r="DE115" s="160">
        <f>IF(Table645[[#This Row],[Column108]]="--",0,Table645[[#This Row],[Column4]]*Table645[[#This Row],[Column108]])</f>
        <v>0</v>
      </c>
      <c r="DF115" s="101" t="s">
        <v>70</v>
      </c>
      <c r="DG115" s="91" t="str">
        <f t="shared" si="103"/>
        <v>--</v>
      </c>
      <c r="DH115" s="89">
        <f>IF(Table645[[#This Row],[Column111]]="--",0,Table645[[#This Row],[Column4]]*Table645[[#This Row],[Column111]])</f>
        <v>0</v>
      </c>
      <c r="DI115" s="96"/>
      <c r="DJ115" s="96"/>
      <c r="DK115" s="96"/>
      <c r="DL115" s="96"/>
      <c r="DM115" s="96"/>
      <c r="DN115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15" s="89">
        <f>IF(Table645[[#This Row],[Column118]]="--",0,Table645[[#This Row],[Column4]]*Table645[[#This Row],[Column118]])</f>
        <v>0</v>
      </c>
      <c r="DP115" s="96"/>
      <c r="DQ115" s="96"/>
      <c r="DR115" s="91" t="str">
        <f t="shared" si="104"/>
        <v>--</v>
      </c>
      <c r="DS115" s="89">
        <f>IF(Table645[[#This Row],[Column122]]="--",0,Table645[[#This Row],[Column4]]*Table645[[#This Row],[Column122]])</f>
        <v>0</v>
      </c>
      <c r="DT115" t="str">
        <f>IF(Table645[[#This Row],[Column125]]=0,"--",Table645[[#This Row],[Column125]]*Table645[[#This Row],[Column126]]*Table645[[#This Row],[Column127]]/1000000000)</f>
        <v>--</v>
      </c>
      <c r="DU115" s="53"/>
      <c r="DV115" s="53"/>
      <c r="DW115" s="53"/>
      <c r="DX115" s="91" t="str">
        <f t="shared" si="105"/>
        <v>--</v>
      </c>
      <c r="DY115" s="89">
        <f>IF(Table645[[#This Row],[Column128]]="--",0,Table645[[#This Row],[Column4]]*Table645[[#This Row],[Column128]])</f>
        <v>0</v>
      </c>
      <c r="EA115" s="89">
        <f>IF(Table645[[#This Row],[Column128]]="--",0,Table645[[#This Row],[Column4]]*Table645[[#This Row],[Column128]])</f>
        <v>0</v>
      </c>
      <c r="EC115" s="89">
        <f>IF(Table645[[#This Row],[Column128]]="--",0,Table645[[#This Row],[Column4]]*Table645[[#This Row],[Column128]])</f>
        <v>0</v>
      </c>
      <c r="EE115" s="89">
        <f>IF(Table645[[#This Row],[Column128]]="--",0,Table645[[#This Row],[Column4]]*Table645[[#This Row],[Column128]])</f>
        <v>0</v>
      </c>
      <c r="EG115" s="89">
        <f>IF(Table645[[#This Row],[Column128]]="--",0,Table645[[#This Row],[Column4]]*Table645[[#This Row],[Column128]])</f>
        <v>0</v>
      </c>
      <c r="EI115" s="89">
        <f>IF(Table645[[#This Row],[Column128]]="--",0,Table645[[#This Row],[Column4]]*Table645[[#This Row],[Column128]])</f>
        <v>0</v>
      </c>
    </row>
    <row r="116" spans="1:139" x14ac:dyDescent="0.25">
      <c r="A116" s="140"/>
      <c r="B116" s="79"/>
      <c r="C116" s="140"/>
      <c r="D116" s="167"/>
      <c r="E116" s="52"/>
      <c r="F116" s="81"/>
      <c r="G116" s="81"/>
      <c r="H116" s="102" t="str">
        <f t="shared" si="96"/>
        <v>--</v>
      </c>
      <c r="I116" s="100">
        <f>IF(Table645[[#This Row],[Column8]]="--",0,Table645[[#This Row],[Column4]]*Table645[[#This Row],[Column8]])</f>
        <v>0</v>
      </c>
      <c r="J116" s="169"/>
      <c r="K116" s="85">
        <f>Table645[[#This Row],[Column4]]*Table645[[#This Row],[Column10]]</f>
        <v>0</v>
      </c>
      <c r="L116" s="170" t="str">
        <f t="shared" si="97"/>
        <v>--</v>
      </c>
      <c r="M116" s="214">
        <f>IF(Table645[[#This Row],[Column10]]=0,0,Table645[[#This Row],[Column4]]*Table645[[#This Row],[Column12]])</f>
        <v>0</v>
      </c>
      <c r="N116" s="87" t="str">
        <f t="shared" si="98"/>
        <v>--</v>
      </c>
      <c r="O116" s="138"/>
      <c r="AZ116" s="89">
        <f>IF(Table645[[#This Row],[Column14]]="--",0,Table645[[#This Row],[Column4]]*Table645[[#This Row],[Column14]])</f>
        <v>0</v>
      </c>
      <c r="BA116" s="90"/>
      <c r="BB116" s="91" t="str">
        <f>IF(BA116=0,"--",BA116*$BA$3*IF(Table645[[#This Row],[Column5]]&lt;4.1,1,2)/60/24)</f>
        <v>--</v>
      </c>
      <c r="BC116" s="92">
        <f>IF(Table645[[#This Row],[Column54]]="--",0,Table645[[#This Row],[Column4]]*Table645[[#This Row],[Column54]])</f>
        <v>0</v>
      </c>
      <c r="BD116" s="119"/>
      <c r="BE116" s="119"/>
      <c r="BF116" s="119"/>
      <c r="BG116" s="91" t="str">
        <f>IF(BD116+Table645[[#This Row],[Column58]]=0,"--",(BD116*$BF$3*Table645[[#This Row],[Column57]]+Table645[[#This Row],[Column58]]*$BF$4)/60/24)</f>
        <v>--</v>
      </c>
      <c r="BH116" s="92">
        <f>IF(Table645[[#This Row],[Column59]]="--",0,Table645[[#This Row],[Column4]]*Table645[[#This Row],[Column59]])</f>
        <v>0</v>
      </c>
      <c r="BI116" s="119"/>
      <c r="BJ116" s="91" t="str">
        <f t="shared" si="84"/>
        <v>--</v>
      </c>
      <c r="BK116" s="92">
        <f>IF(Table645[[#This Row],[Column62]]="--",0,Table645[[#This Row],[Column4]]*Table645[[#This Row],[Column62]])</f>
        <v>0</v>
      </c>
      <c r="BL116" s="93"/>
      <c r="BM116" s="91" t="str">
        <f t="shared" si="99"/>
        <v>--</v>
      </c>
      <c r="BN116" s="89">
        <f>IF(Table645[[#This Row],[Column65]]="--",0,Table645[[#This Row],[Column4]]*Table645[[#This Row],[Column65]])</f>
        <v>0</v>
      </c>
      <c r="BO116" s="163"/>
      <c r="BP116" s="164" t="str">
        <f t="shared" si="100"/>
        <v>--</v>
      </c>
      <c r="BQ116" s="160">
        <f>IF(Table645[[#This Row],[Column68]]="--",0,Table645[[#This Row],[Column4]]*Table645[[#This Row],[Column68]])</f>
        <v>0</v>
      </c>
      <c r="BR116" s="94"/>
      <c r="BS116" s="91" t="str">
        <f t="shared" si="101"/>
        <v>--</v>
      </c>
      <c r="BT116" s="92">
        <f>IF(Table645[[#This Row],[Column71]]="--",0,Table645[[#This Row],[Column4]]*Table645[[#This Row],[Column71]])</f>
        <v>0</v>
      </c>
      <c r="BU116" s="44"/>
      <c r="BV116" s="90"/>
      <c r="BW116" s="91" t="str">
        <f>IF(BV116=0,"--",(Table645[[#This Row],[Column73]]*$BV$4*(IF(J116&lt;0.5001,1,IF(J116&lt;2.0001,2,3)))+BV116/$BV$3)/60/24)</f>
        <v>--</v>
      </c>
      <c r="BX116" s="92">
        <f>IF(Table645[[#This Row],[Column75]]="--",0,Table645[[#This Row],[Column4]]*Table645[[#This Row],[Column75]])</f>
        <v>0</v>
      </c>
      <c r="BY116" s="95" t="s">
        <v>70</v>
      </c>
      <c r="BZ116" s="91" t="str">
        <f>IF(Table645[[#This Row],[Column74]]=0,"--",BW116*$BY$3)</f>
        <v>--</v>
      </c>
      <c r="CA116" s="89">
        <f>IF(Table645[[#This Row],[Column78]]="--",0,Table645[[#This Row],[Column4]]*Table645[[#This Row],[Column78]])</f>
        <v>0</v>
      </c>
      <c r="CB116" s="95" t="s">
        <v>70</v>
      </c>
      <c r="CC116" s="91" t="str">
        <f>IF(Table645[[#This Row],[Column10]]+Table645[[#This Row],[Column74]]=0,"--",J116*$CB$4*$CB$5/(24*60)+IF(Table645[[#This Row],[Column74]]=0,0,$CB$3*Table645[[#This Row],[Column75]]))</f>
        <v>--</v>
      </c>
      <c r="CD116" s="92">
        <f>IF(Table645[[#This Row],[Column81]]="--",0,Table645[[#This Row],[Column4]]*Table645[[#This Row],[Column81]])</f>
        <v>0</v>
      </c>
      <c r="CE116" s="215"/>
      <c r="CF116" s="91" t="str">
        <f t="shared" si="85"/>
        <v>--</v>
      </c>
      <c r="CG116" s="92">
        <f>IF(Table645[[#This Row],[Column84]]="--",0,Table645[[#This Row],[Column4]]*Table645[[#This Row],[Column84]])</f>
        <v>0</v>
      </c>
      <c r="CH116" s="226"/>
      <c r="CI116" s="216"/>
      <c r="CJ116" s="91" t="str">
        <f>IF(CI116=0,"--",(Table645[[#This Row],[Column86]]*$CI$4*(IF(W116&lt;0.5001,1,IF(W116&lt;2.0001,2,3)))+CI116/$CI$3)/60/24)</f>
        <v>--</v>
      </c>
      <c r="CK116" s="92">
        <f>IF(Table645[[#This Row],[Column88]]="--",0,Table645[[#This Row],[Column4]]*Table645[[#This Row],[Column88]])</f>
        <v>0</v>
      </c>
      <c r="CL116" s="217"/>
      <c r="CM116" s="91" t="str">
        <f>IF(Table645[[#This Row],[Column87]]=0,"--",CJ116*$CL$3)</f>
        <v>--</v>
      </c>
      <c r="CN116" s="92">
        <f>IF(Table645[[#This Row],[Column91]]="--",0,Table645[[#This Row],[Column4]]*Table645[[#This Row],[Column91]])</f>
        <v>0</v>
      </c>
      <c r="CO116" s="217"/>
      <c r="CP116" s="91" t="str">
        <f>IF(Table645[[#This Row],[Column10]]+Table645[[#This Row],[Column87]]=0, "--", IF($D116="", 1, $D116) * IF($J116="", 1, $J116) * $CO$3 * $CO$4 * IF(Table645[[#This Row],[Column95]]="", 1, Table645[[#This Row],[Column95]]) / (24 * 60))</f>
        <v>--</v>
      </c>
      <c r="CQ116" s="164"/>
      <c r="CR116" s="92">
        <f>IF(Table645[[#This Row],[Column94]]="--",0,Table645[[#This Row],[Column4]]*Table645[[#This Row],[Column94]])</f>
        <v>0</v>
      </c>
      <c r="CS116" s="218" t="str">
        <f>IF(Table645[[#This Row],[Column87]]="","",Table645[[#This Row],[Column87]])</f>
        <v/>
      </c>
      <c r="CT116" s="91" t="str">
        <f>IF(Table645[[#This Row],[Column97]]="","--",Table645[[#This Row],[Column97]]/$CS$3/60/24)</f>
        <v>--</v>
      </c>
      <c r="CU116" s="92">
        <f>IF(Table645[[#This Row],[Column98]]="--",0,Table645[[#This Row],[Column4]]*Table645[[#This Row],[Column98]])</f>
        <v>0</v>
      </c>
      <c r="CV116" s="93"/>
      <c r="CW116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16" s="91" t="str">
        <f>IF(OR(Table645[[#This Row],[Column74]]&gt;0,Table645[[#This Row],[Column87]]&gt;0),(Table645[[#This Row],[Column73]]+Table645[[#This Row],[Column86]]+1)*$CW$3/60/24,"--")</f>
        <v>--</v>
      </c>
      <c r="CY116" s="92">
        <f>IF(Table645[[#This Row],[Column102]]="--",0,Table645[[#This Row],[Column4]]*Table645[[#This Row],[Column102]])</f>
        <v>0</v>
      </c>
      <c r="CZ116" s="158" t="str">
        <f t="shared" si="102"/>
        <v>--</v>
      </c>
      <c r="DA116" s="153"/>
      <c r="DB116" s="160">
        <f>IF(Table645[[#This Row],[Column104]]="--",0,Table645[[#This Row],[Column4]]*Table645[[#This Row],[Column104]])</f>
        <v>0</v>
      </c>
      <c r="DC116" s="219"/>
      <c r="DD116" s="220" t="str">
        <f>IF(DC116=0,"--",1/$DC$3*1000/(60*60*24)*Table645[[#This Row],[Column107]])</f>
        <v>--</v>
      </c>
      <c r="DE116" s="160">
        <f>IF(Table645[[#This Row],[Column108]]="--",0,Table645[[#This Row],[Column4]]*Table645[[#This Row],[Column108]])</f>
        <v>0</v>
      </c>
      <c r="DF116" s="101" t="s">
        <v>70</v>
      </c>
      <c r="DG116" s="91" t="str">
        <f t="shared" si="103"/>
        <v>--</v>
      </c>
      <c r="DH116" s="89">
        <f>IF(Table645[[#This Row],[Column111]]="--",0,Table645[[#This Row],[Column4]]*Table645[[#This Row],[Column111]])</f>
        <v>0</v>
      </c>
      <c r="DI116" s="96"/>
      <c r="DJ116" s="96"/>
      <c r="DK116" s="96"/>
      <c r="DL116" s="96"/>
      <c r="DM116" s="96"/>
      <c r="DN116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16" s="89">
        <f>IF(Table645[[#This Row],[Column118]]="--",0,Table645[[#This Row],[Column4]]*Table645[[#This Row],[Column118]])</f>
        <v>0</v>
      </c>
      <c r="DP116" s="96"/>
      <c r="DQ116" s="96"/>
      <c r="DR116" s="91" t="str">
        <f t="shared" si="104"/>
        <v>--</v>
      </c>
      <c r="DS116" s="89">
        <f>IF(Table645[[#This Row],[Column122]]="--",0,Table645[[#This Row],[Column4]]*Table645[[#This Row],[Column122]])</f>
        <v>0</v>
      </c>
      <c r="DT116" t="str">
        <f>IF(Table645[[#This Row],[Column125]]=0,"--",Table645[[#This Row],[Column125]]*Table645[[#This Row],[Column126]]*Table645[[#This Row],[Column127]]/1000000000)</f>
        <v>--</v>
      </c>
      <c r="DU116" s="53"/>
      <c r="DV116" s="53"/>
      <c r="DW116" s="53"/>
      <c r="DX116" s="91" t="str">
        <f t="shared" si="105"/>
        <v>--</v>
      </c>
      <c r="DY116" s="89">
        <f>IF(Table645[[#This Row],[Column128]]="--",0,Table645[[#This Row],[Column4]]*Table645[[#This Row],[Column128]])</f>
        <v>0</v>
      </c>
      <c r="EA116" s="89">
        <f>IF(Table645[[#This Row],[Column128]]="--",0,Table645[[#This Row],[Column4]]*Table645[[#This Row],[Column128]])</f>
        <v>0</v>
      </c>
      <c r="EC116" s="89">
        <f>IF(Table645[[#This Row],[Column128]]="--",0,Table645[[#This Row],[Column4]]*Table645[[#This Row],[Column128]])</f>
        <v>0</v>
      </c>
      <c r="EE116" s="89">
        <f>IF(Table645[[#This Row],[Column128]]="--",0,Table645[[#This Row],[Column4]]*Table645[[#This Row],[Column128]])</f>
        <v>0</v>
      </c>
      <c r="EG116" s="89">
        <f>IF(Table645[[#This Row],[Column128]]="--",0,Table645[[#This Row],[Column4]]*Table645[[#This Row],[Column128]])</f>
        <v>0</v>
      </c>
      <c r="EI116" s="89">
        <f>IF(Table645[[#This Row],[Column128]]="--",0,Table645[[#This Row],[Column4]]*Table645[[#This Row],[Column128]])</f>
        <v>0</v>
      </c>
    </row>
    <row r="117" spans="1:139" x14ac:dyDescent="0.25">
      <c r="A117" s="140"/>
      <c r="B117" s="79"/>
      <c r="C117" s="140"/>
      <c r="D117" s="167"/>
      <c r="E117" s="52"/>
      <c r="F117" s="81"/>
      <c r="G117" s="81"/>
      <c r="H117" s="102" t="str">
        <f t="shared" si="96"/>
        <v>--</v>
      </c>
      <c r="I117" s="100">
        <f>IF(Table645[[#This Row],[Column8]]="--",0,Table645[[#This Row],[Column4]]*Table645[[#This Row],[Column8]])</f>
        <v>0</v>
      </c>
      <c r="J117" s="169"/>
      <c r="K117" s="85">
        <f>Table645[[#This Row],[Column4]]*Table645[[#This Row],[Column10]]</f>
        <v>0</v>
      </c>
      <c r="L117" s="170" t="str">
        <f t="shared" si="97"/>
        <v>--</v>
      </c>
      <c r="M117" s="214">
        <f>IF(Table645[[#This Row],[Column10]]=0,0,Table645[[#This Row],[Column4]]*Table645[[#This Row],[Column12]])</f>
        <v>0</v>
      </c>
      <c r="N117" s="87" t="str">
        <f t="shared" si="98"/>
        <v>--</v>
      </c>
      <c r="O117" s="138"/>
      <c r="AZ117" s="89">
        <f>IF(Table645[[#This Row],[Column14]]="--",0,Table645[[#This Row],[Column4]]*Table645[[#This Row],[Column14]])</f>
        <v>0</v>
      </c>
      <c r="BA117" s="90"/>
      <c r="BB117" s="91" t="str">
        <f>IF(BA117=0,"--",BA117*$BA$3*IF(Table645[[#This Row],[Column5]]&lt;4.1,1,2)/60/24)</f>
        <v>--</v>
      </c>
      <c r="BC117" s="92">
        <f>IF(Table645[[#This Row],[Column54]]="--",0,Table645[[#This Row],[Column4]]*Table645[[#This Row],[Column54]])</f>
        <v>0</v>
      </c>
      <c r="BD117" s="119"/>
      <c r="BE117" s="119"/>
      <c r="BF117" s="119"/>
      <c r="BG117" s="91" t="str">
        <f>IF(BD117+Table645[[#This Row],[Column58]]=0,"--",(BD117*$BF$3*Table645[[#This Row],[Column57]]+Table645[[#This Row],[Column58]]*$BF$4)/60/24)</f>
        <v>--</v>
      </c>
      <c r="BH117" s="92">
        <f>IF(Table645[[#This Row],[Column59]]="--",0,Table645[[#This Row],[Column4]]*Table645[[#This Row],[Column59]])</f>
        <v>0</v>
      </c>
      <c r="BI117" s="119"/>
      <c r="BJ117" s="91" t="str">
        <f t="shared" si="84"/>
        <v>--</v>
      </c>
      <c r="BK117" s="92">
        <f>IF(Table645[[#This Row],[Column62]]="--",0,Table645[[#This Row],[Column4]]*Table645[[#This Row],[Column62]])</f>
        <v>0</v>
      </c>
      <c r="BL117" s="93"/>
      <c r="BM117" s="91" t="str">
        <f t="shared" si="99"/>
        <v>--</v>
      </c>
      <c r="BN117" s="89">
        <f>IF(Table645[[#This Row],[Column65]]="--",0,Table645[[#This Row],[Column4]]*Table645[[#This Row],[Column65]])</f>
        <v>0</v>
      </c>
      <c r="BO117" s="163"/>
      <c r="BP117" s="164" t="str">
        <f t="shared" si="100"/>
        <v>--</v>
      </c>
      <c r="BQ117" s="160">
        <f>IF(Table645[[#This Row],[Column68]]="--",0,Table645[[#This Row],[Column4]]*Table645[[#This Row],[Column68]])</f>
        <v>0</v>
      </c>
      <c r="BR117" s="94"/>
      <c r="BS117" s="91" t="str">
        <f t="shared" si="101"/>
        <v>--</v>
      </c>
      <c r="BT117" s="92">
        <f>IF(Table645[[#This Row],[Column71]]="--",0,Table645[[#This Row],[Column4]]*Table645[[#This Row],[Column71]])</f>
        <v>0</v>
      </c>
      <c r="BU117" s="44"/>
      <c r="BV117" s="90"/>
      <c r="BW117" s="91" t="str">
        <f>IF(BV117=0,"--",(Table645[[#This Row],[Column73]]*$BV$4*(IF(J117&lt;0.5001,1,IF(J117&lt;2.0001,2,3)))+BV117/$BV$3)/60/24)</f>
        <v>--</v>
      </c>
      <c r="BX117" s="92">
        <f>IF(Table645[[#This Row],[Column75]]="--",0,Table645[[#This Row],[Column4]]*Table645[[#This Row],[Column75]])</f>
        <v>0</v>
      </c>
      <c r="BY117" s="95" t="s">
        <v>70</v>
      </c>
      <c r="BZ117" s="91" t="str">
        <f>IF(Table645[[#This Row],[Column74]]=0,"--",BW117*$BY$3)</f>
        <v>--</v>
      </c>
      <c r="CA117" s="89">
        <f>IF(Table645[[#This Row],[Column78]]="--",0,Table645[[#This Row],[Column4]]*Table645[[#This Row],[Column78]])</f>
        <v>0</v>
      </c>
      <c r="CB117" s="95" t="s">
        <v>70</v>
      </c>
      <c r="CC117" s="91" t="str">
        <f>IF(Table645[[#This Row],[Column10]]+Table645[[#This Row],[Column74]]=0,"--",J117*$CB$4*$CB$5/(24*60)+IF(Table645[[#This Row],[Column74]]=0,0,$CB$3*Table645[[#This Row],[Column75]]))</f>
        <v>--</v>
      </c>
      <c r="CD117" s="92">
        <f>IF(Table645[[#This Row],[Column81]]="--",0,Table645[[#This Row],[Column4]]*Table645[[#This Row],[Column81]])</f>
        <v>0</v>
      </c>
      <c r="CE117" s="215"/>
      <c r="CF117" s="91" t="str">
        <f t="shared" si="85"/>
        <v>--</v>
      </c>
      <c r="CG117" s="92">
        <f>IF(Table645[[#This Row],[Column84]]="--",0,Table645[[#This Row],[Column4]]*Table645[[#This Row],[Column84]])</f>
        <v>0</v>
      </c>
      <c r="CH117" s="226"/>
      <c r="CI117" s="216"/>
      <c r="CJ117" s="91" t="str">
        <f>IF(CI117=0,"--",(Table645[[#This Row],[Column86]]*$CI$4*(IF(W117&lt;0.5001,1,IF(W117&lt;2.0001,2,3)))+CI117/$CI$3)/60/24)</f>
        <v>--</v>
      </c>
      <c r="CK117" s="92">
        <f>IF(Table645[[#This Row],[Column88]]="--",0,Table645[[#This Row],[Column4]]*Table645[[#This Row],[Column88]])</f>
        <v>0</v>
      </c>
      <c r="CL117" s="217"/>
      <c r="CM117" s="91" t="str">
        <f>IF(Table645[[#This Row],[Column87]]=0,"--",CJ117*$CL$3)</f>
        <v>--</v>
      </c>
      <c r="CN117" s="92">
        <f>IF(Table645[[#This Row],[Column91]]="--",0,Table645[[#This Row],[Column4]]*Table645[[#This Row],[Column91]])</f>
        <v>0</v>
      </c>
      <c r="CO117" s="217"/>
      <c r="CP117" s="91" t="str">
        <f>IF(Table645[[#This Row],[Column10]]+Table645[[#This Row],[Column87]]=0, "--", IF($D117="", 1, $D117) * IF($J117="", 1, $J117) * $CO$3 * $CO$4 * IF(Table645[[#This Row],[Column95]]="", 1, Table645[[#This Row],[Column95]]) / (24 * 60))</f>
        <v>--</v>
      </c>
      <c r="CQ117" s="164"/>
      <c r="CR117" s="92">
        <f>IF(Table645[[#This Row],[Column94]]="--",0,Table645[[#This Row],[Column4]]*Table645[[#This Row],[Column94]])</f>
        <v>0</v>
      </c>
      <c r="CS117" s="218" t="str">
        <f>IF(Table645[[#This Row],[Column87]]="","",Table645[[#This Row],[Column87]])</f>
        <v/>
      </c>
      <c r="CT117" s="91" t="str">
        <f>IF(Table645[[#This Row],[Column97]]="","--",Table645[[#This Row],[Column97]]/$CS$3/60/24)</f>
        <v>--</v>
      </c>
      <c r="CU117" s="92">
        <f>IF(Table645[[#This Row],[Column98]]="--",0,Table645[[#This Row],[Column4]]*Table645[[#This Row],[Column98]])</f>
        <v>0</v>
      </c>
      <c r="CV117" s="93"/>
      <c r="CW117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17" s="91" t="str">
        <f>IF(OR(Table645[[#This Row],[Column74]]&gt;0,Table645[[#This Row],[Column87]]&gt;0),(Table645[[#This Row],[Column73]]+Table645[[#This Row],[Column86]]+1)*$CW$3/60/24,"--")</f>
        <v>--</v>
      </c>
      <c r="CY117" s="92">
        <f>IF(Table645[[#This Row],[Column102]]="--",0,Table645[[#This Row],[Column4]]*Table645[[#This Row],[Column102]])</f>
        <v>0</v>
      </c>
      <c r="CZ117" s="158" t="str">
        <f t="shared" si="102"/>
        <v>--</v>
      </c>
      <c r="DA117" s="153"/>
      <c r="DB117" s="160">
        <f>IF(Table645[[#This Row],[Column104]]="--",0,Table645[[#This Row],[Column4]]*Table645[[#This Row],[Column104]])</f>
        <v>0</v>
      </c>
      <c r="DC117" s="219"/>
      <c r="DD117" s="220" t="str">
        <f>IF(DC117=0,"--",1/$DC$3*1000/(60*60*24)*Table645[[#This Row],[Column107]])</f>
        <v>--</v>
      </c>
      <c r="DE117" s="160">
        <f>IF(Table645[[#This Row],[Column108]]="--",0,Table645[[#This Row],[Column4]]*Table645[[#This Row],[Column108]])</f>
        <v>0</v>
      </c>
      <c r="DF117" s="101" t="s">
        <v>70</v>
      </c>
      <c r="DG117" s="91" t="str">
        <f t="shared" si="103"/>
        <v>--</v>
      </c>
      <c r="DH117" s="89">
        <f>IF(Table645[[#This Row],[Column111]]="--",0,Table645[[#This Row],[Column4]]*Table645[[#This Row],[Column111]])</f>
        <v>0</v>
      </c>
      <c r="DI117" s="96"/>
      <c r="DJ117" s="96"/>
      <c r="DK117" s="96"/>
      <c r="DL117" s="96"/>
      <c r="DM117" s="96"/>
      <c r="DN117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17" s="89">
        <f>IF(Table645[[#This Row],[Column118]]="--",0,Table645[[#This Row],[Column4]]*Table645[[#This Row],[Column118]])</f>
        <v>0</v>
      </c>
      <c r="DP117" s="96"/>
      <c r="DQ117" s="96"/>
      <c r="DR117" s="91" t="str">
        <f t="shared" si="104"/>
        <v>--</v>
      </c>
      <c r="DS117" s="89">
        <f>IF(Table645[[#This Row],[Column122]]="--",0,Table645[[#This Row],[Column4]]*Table645[[#This Row],[Column122]])</f>
        <v>0</v>
      </c>
      <c r="DT117" t="str">
        <f>IF(Table645[[#This Row],[Column125]]=0,"--",Table645[[#This Row],[Column125]]*Table645[[#This Row],[Column126]]*Table645[[#This Row],[Column127]]/1000000000)</f>
        <v>--</v>
      </c>
      <c r="DU117" s="53"/>
      <c r="DV117" s="53"/>
      <c r="DW117" s="53"/>
      <c r="DX117" s="91" t="str">
        <f t="shared" si="105"/>
        <v>--</v>
      </c>
      <c r="DY117" s="89">
        <f>IF(Table645[[#This Row],[Column128]]="--",0,Table645[[#This Row],[Column4]]*Table645[[#This Row],[Column128]])</f>
        <v>0</v>
      </c>
      <c r="EA117" s="89">
        <f>IF(Table645[[#This Row],[Column128]]="--",0,Table645[[#This Row],[Column4]]*Table645[[#This Row],[Column128]])</f>
        <v>0</v>
      </c>
      <c r="EC117" s="89">
        <f>IF(Table645[[#This Row],[Column128]]="--",0,Table645[[#This Row],[Column4]]*Table645[[#This Row],[Column128]])</f>
        <v>0</v>
      </c>
      <c r="EE117" s="89">
        <f>IF(Table645[[#This Row],[Column128]]="--",0,Table645[[#This Row],[Column4]]*Table645[[#This Row],[Column128]])</f>
        <v>0</v>
      </c>
      <c r="EG117" s="89">
        <f>IF(Table645[[#This Row],[Column128]]="--",0,Table645[[#This Row],[Column4]]*Table645[[#This Row],[Column128]])</f>
        <v>0</v>
      </c>
      <c r="EI117" s="89">
        <f>IF(Table645[[#This Row],[Column128]]="--",0,Table645[[#This Row],[Column4]]*Table645[[#This Row],[Column128]])</f>
        <v>0</v>
      </c>
    </row>
    <row r="118" spans="1:139" x14ac:dyDescent="0.25">
      <c r="A118" s="140"/>
      <c r="B118" s="79"/>
      <c r="C118" s="140"/>
      <c r="D118" s="167"/>
      <c r="E118" s="52"/>
      <c r="F118" s="81"/>
      <c r="G118" s="81"/>
      <c r="H118" s="102" t="str">
        <f t="shared" si="96"/>
        <v>--</v>
      </c>
      <c r="I118" s="100">
        <f>IF(Table645[[#This Row],[Column8]]="--",0,Table645[[#This Row],[Column4]]*Table645[[#This Row],[Column8]])</f>
        <v>0</v>
      </c>
      <c r="J118" s="169"/>
      <c r="K118" s="85">
        <f>Table645[[#This Row],[Column4]]*Table645[[#This Row],[Column10]]</f>
        <v>0</v>
      </c>
      <c r="L118" s="170" t="str">
        <f t="shared" si="97"/>
        <v>--</v>
      </c>
      <c r="M118" s="214">
        <f>IF(Table645[[#This Row],[Column10]]=0,0,Table645[[#This Row],[Column4]]*Table645[[#This Row],[Column12]])</f>
        <v>0</v>
      </c>
      <c r="N118" s="87" t="str">
        <f t="shared" si="98"/>
        <v>--</v>
      </c>
      <c r="O118" s="138"/>
      <c r="AZ118" s="89">
        <f>IF(Table645[[#This Row],[Column14]]="--",0,Table645[[#This Row],[Column4]]*Table645[[#This Row],[Column14]])</f>
        <v>0</v>
      </c>
      <c r="BA118" s="90"/>
      <c r="BB118" s="91" t="str">
        <f>IF(BA118=0,"--",BA118*$BA$3*IF(Table645[[#This Row],[Column5]]&lt;4.1,1,2)/60/24)</f>
        <v>--</v>
      </c>
      <c r="BC118" s="92">
        <f>IF(Table645[[#This Row],[Column54]]="--",0,Table645[[#This Row],[Column4]]*Table645[[#This Row],[Column54]])</f>
        <v>0</v>
      </c>
      <c r="BD118" s="119"/>
      <c r="BE118" s="119"/>
      <c r="BF118" s="119"/>
      <c r="BG118" s="91" t="str">
        <f>IF(BD118+Table645[[#This Row],[Column58]]=0,"--",(BD118*$BF$3*Table645[[#This Row],[Column57]]+Table645[[#This Row],[Column58]]*$BF$4)/60/24)</f>
        <v>--</v>
      </c>
      <c r="BH118" s="92">
        <f>IF(Table645[[#This Row],[Column59]]="--",0,Table645[[#This Row],[Column4]]*Table645[[#This Row],[Column59]])</f>
        <v>0</v>
      </c>
      <c r="BI118" s="119"/>
      <c r="BJ118" s="91" t="str">
        <f t="shared" si="84"/>
        <v>--</v>
      </c>
      <c r="BK118" s="92">
        <f>IF(Table645[[#This Row],[Column62]]="--",0,Table645[[#This Row],[Column4]]*Table645[[#This Row],[Column62]])</f>
        <v>0</v>
      </c>
      <c r="BL118" s="93"/>
      <c r="BM118" s="91" t="str">
        <f t="shared" si="99"/>
        <v>--</v>
      </c>
      <c r="BN118" s="89">
        <f>IF(Table645[[#This Row],[Column65]]="--",0,Table645[[#This Row],[Column4]]*Table645[[#This Row],[Column65]])</f>
        <v>0</v>
      </c>
      <c r="BO118" s="163"/>
      <c r="BP118" s="164" t="str">
        <f t="shared" si="100"/>
        <v>--</v>
      </c>
      <c r="BQ118" s="160">
        <f>IF(Table645[[#This Row],[Column68]]="--",0,Table645[[#This Row],[Column4]]*Table645[[#This Row],[Column68]])</f>
        <v>0</v>
      </c>
      <c r="BR118" s="94"/>
      <c r="BS118" s="91" t="str">
        <f t="shared" si="101"/>
        <v>--</v>
      </c>
      <c r="BT118" s="92">
        <f>IF(Table645[[#This Row],[Column71]]="--",0,Table645[[#This Row],[Column4]]*Table645[[#This Row],[Column71]])</f>
        <v>0</v>
      </c>
      <c r="BU118" s="44"/>
      <c r="BV118" s="90"/>
      <c r="BW118" s="91" t="str">
        <f>IF(BV118=0,"--",(Table645[[#This Row],[Column73]]*$BV$4*(IF(J118&lt;0.5001,1,IF(J118&lt;2.0001,2,3)))+BV118/$BV$3)/60/24)</f>
        <v>--</v>
      </c>
      <c r="BX118" s="92">
        <f>IF(Table645[[#This Row],[Column75]]="--",0,Table645[[#This Row],[Column4]]*Table645[[#This Row],[Column75]])</f>
        <v>0</v>
      </c>
      <c r="BY118" s="95" t="s">
        <v>70</v>
      </c>
      <c r="BZ118" s="91" t="str">
        <f>IF(Table645[[#This Row],[Column74]]=0,"--",BW118*$BY$3)</f>
        <v>--</v>
      </c>
      <c r="CA118" s="89">
        <f>IF(Table645[[#This Row],[Column78]]="--",0,Table645[[#This Row],[Column4]]*Table645[[#This Row],[Column78]])</f>
        <v>0</v>
      </c>
      <c r="CB118" s="95" t="s">
        <v>70</v>
      </c>
      <c r="CC118" s="91" t="str">
        <f>IF(Table645[[#This Row],[Column10]]+Table645[[#This Row],[Column74]]=0,"--",J118*$CB$4*$CB$5/(24*60)+IF(Table645[[#This Row],[Column74]]=0,0,$CB$3*Table645[[#This Row],[Column75]]))</f>
        <v>--</v>
      </c>
      <c r="CD118" s="92">
        <f>IF(Table645[[#This Row],[Column81]]="--",0,Table645[[#This Row],[Column4]]*Table645[[#This Row],[Column81]])</f>
        <v>0</v>
      </c>
      <c r="CE118" s="215"/>
      <c r="CF118" s="91" t="str">
        <f t="shared" si="85"/>
        <v>--</v>
      </c>
      <c r="CG118" s="92">
        <f>IF(Table645[[#This Row],[Column84]]="--",0,Table645[[#This Row],[Column4]]*Table645[[#This Row],[Column84]])</f>
        <v>0</v>
      </c>
      <c r="CH118" s="226"/>
      <c r="CI118" s="216"/>
      <c r="CJ118" s="91" t="str">
        <f>IF(CI118=0,"--",(Table645[[#This Row],[Column86]]*$CI$4*(IF(W118&lt;0.5001,1,IF(W118&lt;2.0001,2,3)))+CI118/$CI$3)/60/24)</f>
        <v>--</v>
      </c>
      <c r="CK118" s="92">
        <f>IF(Table645[[#This Row],[Column88]]="--",0,Table645[[#This Row],[Column4]]*Table645[[#This Row],[Column88]])</f>
        <v>0</v>
      </c>
      <c r="CL118" s="217"/>
      <c r="CM118" s="91" t="str">
        <f>IF(Table645[[#This Row],[Column87]]=0,"--",CJ118*$CL$3)</f>
        <v>--</v>
      </c>
      <c r="CN118" s="92">
        <f>IF(Table645[[#This Row],[Column91]]="--",0,Table645[[#This Row],[Column4]]*Table645[[#This Row],[Column91]])</f>
        <v>0</v>
      </c>
      <c r="CO118" s="217"/>
      <c r="CP118" s="91" t="str">
        <f>IF(Table645[[#This Row],[Column10]]+Table645[[#This Row],[Column87]]=0, "--", IF($D118="", 1, $D118) * IF($J118="", 1, $J118) * $CO$3 * $CO$4 * IF(Table645[[#This Row],[Column95]]="", 1, Table645[[#This Row],[Column95]]) / (24 * 60))</f>
        <v>--</v>
      </c>
      <c r="CQ118" s="164"/>
      <c r="CR118" s="92">
        <f>IF(Table645[[#This Row],[Column94]]="--",0,Table645[[#This Row],[Column4]]*Table645[[#This Row],[Column94]])</f>
        <v>0</v>
      </c>
      <c r="CS118" s="218" t="str">
        <f>IF(Table645[[#This Row],[Column87]]="","",Table645[[#This Row],[Column87]])</f>
        <v/>
      </c>
      <c r="CT118" s="91" t="str">
        <f>IF(Table645[[#This Row],[Column97]]="","--",Table645[[#This Row],[Column97]]/$CS$3/60/24)</f>
        <v>--</v>
      </c>
      <c r="CU118" s="92">
        <f>IF(Table645[[#This Row],[Column98]]="--",0,Table645[[#This Row],[Column4]]*Table645[[#This Row],[Column98]])</f>
        <v>0</v>
      </c>
      <c r="CV118" s="93"/>
      <c r="CW118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18" s="91" t="str">
        <f>IF(OR(Table645[[#This Row],[Column74]]&gt;0,Table645[[#This Row],[Column87]]&gt;0),(Table645[[#This Row],[Column73]]+Table645[[#This Row],[Column86]]+1)*$CW$3/60/24,"--")</f>
        <v>--</v>
      </c>
      <c r="CY118" s="92">
        <f>IF(Table645[[#This Row],[Column102]]="--",0,Table645[[#This Row],[Column4]]*Table645[[#This Row],[Column102]])</f>
        <v>0</v>
      </c>
      <c r="CZ118" s="158" t="str">
        <f t="shared" si="102"/>
        <v>--</v>
      </c>
      <c r="DA118" s="153"/>
      <c r="DB118" s="160">
        <f>IF(Table645[[#This Row],[Column104]]="--",0,Table645[[#This Row],[Column4]]*Table645[[#This Row],[Column104]])</f>
        <v>0</v>
      </c>
      <c r="DC118" s="219"/>
      <c r="DD118" s="220" t="str">
        <f>IF(DC118=0,"--",1/$DC$3*1000/(60*60*24)*Table645[[#This Row],[Column107]])</f>
        <v>--</v>
      </c>
      <c r="DE118" s="160">
        <f>IF(Table645[[#This Row],[Column108]]="--",0,Table645[[#This Row],[Column4]]*Table645[[#This Row],[Column108]])</f>
        <v>0</v>
      </c>
      <c r="DF118" s="101" t="s">
        <v>70</v>
      </c>
      <c r="DG118" s="91" t="str">
        <f t="shared" si="103"/>
        <v>--</v>
      </c>
      <c r="DH118" s="89">
        <f>IF(Table645[[#This Row],[Column111]]="--",0,Table645[[#This Row],[Column4]]*Table645[[#This Row],[Column111]])</f>
        <v>0</v>
      </c>
      <c r="DI118" s="96"/>
      <c r="DJ118" s="96"/>
      <c r="DK118" s="96"/>
      <c r="DL118" s="96"/>
      <c r="DM118" s="96"/>
      <c r="DN118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18" s="89">
        <f>IF(Table645[[#This Row],[Column118]]="--",0,Table645[[#This Row],[Column4]]*Table645[[#This Row],[Column118]])</f>
        <v>0</v>
      </c>
      <c r="DP118" s="96"/>
      <c r="DQ118" s="96"/>
      <c r="DR118" s="91" t="str">
        <f t="shared" si="104"/>
        <v>--</v>
      </c>
      <c r="DS118" s="89">
        <f>IF(Table645[[#This Row],[Column122]]="--",0,Table645[[#This Row],[Column4]]*Table645[[#This Row],[Column122]])</f>
        <v>0</v>
      </c>
      <c r="DT118" t="str">
        <f>IF(Table645[[#This Row],[Column125]]=0,"--",Table645[[#This Row],[Column125]]*Table645[[#This Row],[Column126]]*Table645[[#This Row],[Column127]]/1000000000)</f>
        <v>--</v>
      </c>
      <c r="DU118" s="53"/>
      <c r="DV118" s="53"/>
      <c r="DW118" s="53"/>
      <c r="DX118" s="91" t="str">
        <f t="shared" si="105"/>
        <v>--</v>
      </c>
      <c r="DY118" s="89">
        <f>IF(Table645[[#This Row],[Column128]]="--",0,Table645[[#This Row],[Column4]]*Table645[[#This Row],[Column128]])</f>
        <v>0</v>
      </c>
      <c r="EA118" s="89">
        <f>IF(Table645[[#This Row],[Column128]]="--",0,Table645[[#This Row],[Column4]]*Table645[[#This Row],[Column128]])</f>
        <v>0</v>
      </c>
      <c r="EC118" s="89">
        <f>IF(Table645[[#This Row],[Column128]]="--",0,Table645[[#This Row],[Column4]]*Table645[[#This Row],[Column128]])</f>
        <v>0</v>
      </c>
      <c r="EE118" s="89">
        <f>IF(Table645[[#This Row],[Column128]]="--",0,Table645[[#This Row],[Column4]]*Table645[[#This Row],[Column128]])</f>
        <v>0</v>
      </c>
      <c r="EG118" s="89">
        <f>IF(Table645[[#This Row],[Column128]]="--",0,Table645[[#This Row],[Column4]]*Table645[[#This Row],[Column128]])</f>
        <v>0</v>
      </c>
      <c r="EI118" s="89">
        <f>IF(Table645[[#This Row],[Column128]]="--",0,Table645[[#This Row],[Column4]]*Table645[[#This Row],[Column128]])</f>
        <v>0</v>
      </c>
    </row>
    <row r="119" spans="1:139" x14ac:dyDescent="0.25">
      <c r="A119" s="140"/>
      <c r="B119" s="79"/>
      <c r="C119" s="140"/>
      <c r="D119" s="167"/>
      <c r="E119" s="52"/>
      <c r="F119" s="81"/>
      <c r="G119" s="81"/>
      <c r="H119" s="102" t="str">
        <f t="shared" si="96"/>
        <v>--</v>
      </c>
      <c r="I119" s="100">
        <f>IF(Table645[[#This Row],[Column8]]="--",0,Table645[[#This Row],[Column4]]*Table645[[#This Row],[Column8]])</f>
        <v>0</v>
      </c>
      <c r="J119" s="169"/>
      <c r="K119" s="85">
        <f>Table645[[#This Row],[Column4]]*Table645[[#This Row],[Column10]]</f>
        <v>0</v>
      </c>
      <c r="L119" s="170" t="str">
        <f t="shared" si="97"/>
        <v>--</v>
      </c>
      <c r="M119" s="214">
        <f>IF(Table645[[#This Row],[Column10]]=0,0,Table645[[#This Row],[Column4]]*Table645[[#This Row],[Column12]])</f>
        <v>0</v>
      </c>
      <c r="N119" s="87" t="str">
        <f t="shared" si="98"/>
        <v>--</v>
      </c>
      <c r="O119" s="138"/>
      <c r="AZ119" s="89">
        <f>IF(Table645[[#This Row],[Column14]]="--",0,Table645[[#This Row],[Column4]]*Table645[[#This Row],[Column14]])</f>
        <v>0</v>
      </c>
      <c r="BA119" s="90"/>
      <c r="BB119" s="91" t="str">
        <f>IF(BA119=0,"--",BA119*$BA$3*IF(Table645[[#This Row],[Column5]]&lt;4.1,1,2)/60/24)</f>
        <v>--</v>
      </c>
      <c r="BC119" s="92">
        <f>IF(Table645[[#This Row],[Column54]]="--",0,Table645[[#This Row],[Column4]]*Table645[[#This Row],[Column54]])</f>
        <v>0</v>
      </c>
      <c r="BD119" s="119"/>
      <c r="BE119" s="119"/>
      <c r="BF119" s="119"/>
      <c r="BG119" s="91" t="str">
        <f>IF(BD119+Table645[[#This Row],[Column58]]=0,"--",(BD119*$BF$3*Table645[[#This Row],[Column57]]+Table645[[#This Row],[Column58]]*$BF$4)/60/24)</f>
        <v>--</v>
      </c>
      <c r="BH119" s="92">
        <f>IF(Table645[[#This Row],[Column59]]="--",0,Table645[[#This Row],[Column4]]*Table645[[#This Row],[Column59]])</f>
        <v>0</v>
      </c>
      <c r="BI119" s="119"/>
      <c r="BJ119" s="91" t="str">
        <f t="shared" si="84"/>
        <v>--</v>
      </c>
      <c r="BK119" s="92">
        <f>IF(Table645[[#This Row],[Column62]]="--",0,Table645[[#This Row],[Column4]]*Table645[[#This Row],[Column62]])</f>
        <v>0</v>
      </c>
      <c r="BL119" s="93"/>
      <c r="BM119" s="91" t="str">
        <f t="shared" si="99"/>
        <v>--</v>
      </c>
      <c r="BN119" s="89">
        <f>IF(Table645[[#This Row],[Column65]]="--",0,Table645[[#This Row],[Column4]]*Table645[[#This Row],[Column65]])</f>
        <v>0</v>
      </c>
      <c r="BO119" s="163"/>
      <c r="BP119" s="164" t="str">
        <f t="shared" si="100"/>
        <v>--</v>
      </c>
      <c r="BQ119" s="160">
        <f>IF(Table645[[#This Row],[Column68]]="--",0,Table645[[#This Row],[Column4]]*Table645[[#This Row],[Column68]])</f>
        <v>0</v>
      </c>
      <c r="BR119" s="94"/>
      <c r="BS119" s="91" t="str">
        <f t="shared" si="101"/>
        <v>--</v>
      </c>
      <c r="BT119" s="92">
        <f>IF(Table645[[#This Row],[Column71]]="--",0,Table645[[#This Row],[Column4]]*Table645[[#This Row],[Column71]])</f>
        <v>0</v>
      </c>
      <c r="BU119" s="44"/>
      <c r="BV119" s="90"/>
      <c r="BW119" s="91" t="str">
        <f>IF(BV119=0,"--",(Table645[[#This Row],[Column73]]*$BV$4*(IF(J119&lt;0.5001,1,IF(J119&lt;2.0001,2,3)))+BV119/$BV$3)/60/24)</f>
        <v>--</v>
      </c>
      <c r="BX119" s="92">
        <f>IF(Table645[[#This Row],[Column75]]="--",0,Table645[[#This Row],[Column4]]*Table645[[#This Row],[Column75]])</f>
        <v>0</v>
      </c>
      <c r="BY119" s="95" t="s">
        <v>70</v>
      </c>
      <c r="BZ119" s="91" t="str">
        <f>IF(Table645[[#This Row],[Column74]]=0,"--",BW119*$BY$3)</f>
        <v>--</v>
      </c>
      <c r="CA119" s="89">
        <f>IF(Table645[[#This Row],[Column78]]="--",0,Table645[[#This Row],[Column4]]*Table645[[#This Row],[Column78]])</f>
        <v>0</v>
      </c>
      <c r="CB119" s="95" t="s">
        <v>70</v>
      </c>
      <c r="CC119" s="91" t="str">
        <f>IF(Table645[[#This Row],[Column10]]+Table645[[#This Row],[Column74]]=0,"--",J119*$CB$4*$CB$5/(24*60)+IF(Table645[[#This Row],[Column74]]=0,0,$CB$3*Table645[[#This Row],[Column75]]))</f>
        <v>--</v>
      </c>
      <c r="CD119" s="92">
        <f>IF(Table645[[#This Row],[Column81]]="--",0,Table645[[#This Row],[Column4]]*Table645[[#This Row],[Column81]])</f>
        <v>0</v>
      </c>
      <c r="CE119" s="215"/>
      <c r="CF119" s="91" t="str">
        <f t="shared" si="85"/>
        <v>--</v>
      </c>
      <c r="CG119" s="92">
        <f>IF(Table645[[#This Row],[Column84]]="--",0,Table645[[#This Row],[Column4]]*Table645[[#This Row],[Column84]])</f>
        <v>0</v>
      </c>
      <c r="CH119" s="226"/>
      <c r="CI119" s="216"/>
      <c r="CJ119" s="91" t="str">
        <f>IF(CI119=0,"--",(Table645[[#This Row],[Column86]]*$CI$4*(IF(W119&lt;0.5001,1,IF(W119&lt;2.0001,2,3)))+CI119/$CI$3)/60/24)</f>
        <v>--</v>
      </c>
      <c r="CK119" s="92">
        <f>IF(Table645[[#This Row],[Column88]]="--",0,Table645[[#This Row],[Column4]]*Table645[[#This Row],[Column88]])</f>
        <v>0</v>
      </c>
      <c r="CL119" s="217"/>
      <c r="CM119" s="91" t="str">
        <f>IF(Table645[[#This Row],[Column87]]=0,"--",CJ119*$CL$3)</f>
        <v>--</v>
      </c>
      <c r="CN119" s="92">
        <f>IF(Table645[[#This Row],[Column91]]="--",0,Table645[[#This Row],[Column4]]*Table645[[#This Row],[Column91]])</f>
        <v>0</v>
      </c>
      <c r="CO119" s="217"/>
      <c r="CP119" s="91" t="str">
        <f>IF(Table645[[#This Row],[Column10]]+Table645[[#This Row],[Column87]]=0, "--", IF($D119="", 1, $D119) * IF($J119="", 1, $J119) * $CO$3 * $CO$4 * IF(Table645[[#This Row],[Column95]]="", 1, Table645[[#This Row],[Column95]]) / (24 * 60))</f>
        <v>--</v>
      </c>
      <c r="CQ119" s="164"/>
      <c r="CR119" s="92">
        <f>IF(Table645[[#This Row],[Column94]]="--",0,Table645[[#This Row],[Column4]]*Table645[[#This Row],[Column94]])</f>
        <v>0</v>
      </c>
      <c r="CS119" s="218" t="str">
        <f>IF(Table645[[#This Row],[Column87]]="","",Table645[[#This Row],[Column87]])</f>
        <v/>
      </c>
      <c r="CT119" s="91" t="str">
        <f>IF(Table645[[#This Row],[Column97]]="","--",Table645[[#This Row],[Column97]]/$CS$3/60/24)</f>
        <v>--</v>
      </c>
      <c r="CU119" s="92">
        <f>IF(Table645[[#This Row],[Column98]]="--",0,Table645[[#This Row],[Column4]]*Table645[[#This Row],[Column98]])</f>
        <v>0</v>
      </c>
      <c r="CV119" s="93"/>
      <c r="CW119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19" s="91" t="str">
        <f>IF(OR(Table645[[#This Row],[Column74]]&gt;0,Table645[[#This Row],[Column87]]&gt;0),(Table645[[#This Row],[Column73]]+Table645[[#This Row],[Column86]]+1)*$CW$3/60/24,"--")</f>
        <v>--</v>
      </c>
      <c r="CY119" s="92">
        <f>IF(Table645[[#This Row],[Column102]]="--",0,Table645[[#This Row],[Column4]]*Table645[[#This Row],[Column102]])</f>
        <v>0</v>
      </c>
      <c r="CZ119" s="158" t="str">
        <f t="shared" si="102"/>
        <v>--</v>
      </c>
      <c r="DA119" s="153"/>
      <c r="DB119" s="160">
        <f>IF(Table645[[#This Row],[Column104]]="--",0,Table645[[#This Row],[Column4]]*Table645[[#This Row],[Column104]])</f>
        <v>0</v>
      </c>
      <c r="DC119" s="219"/>
      <c r="DD119" s="220" t="str">
        <f>IF(DC119=0,"--",1/$DC$3*1000/(60*60*24)*Table645[[#This Row],[Column107]])</f>
        <v>--</v>
      </c>
      <c r="DE119" s="160">
        <f>IF(Table645[[#This Row],[Column108]]="--",0,Table645[[#This Row],[Column4]]*Table645[[#This Row],[Column108]])</f>
        <v>0</v>
      </c>
      <c r="DF119" s="101" t="s">
        <v>70</v>
      </c>
      <c r="DG119" s="91" t="str">
        <f t="shared" si="103"/>
        <v>--</v>
      </c>
      <c r="DH119" s="89">
        <f>IF(Table645[[#This Row],[Column111]]="--",0,Table645[[#This Row],[Column4]]*Table645[[#This Row],[Column111]])</f>
        <v>0</v>
      </c>
      <c r="DI119" s="96"/>
      <c r="DJ119" s="96"/>
      <c r="DK119" s="96"/>
      <c r="DL119" s="96"/>
      <c r="DM119" s="96"/>
      <c r="DN119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19" s="89">
        <f>IF(Table645[[#This Row],[Column118]]="--",0,Table645[[#This Row],[Column4]]*Table645[[#This Row],[Column118]])</f>
        <v>0</v>
      </c>
      <c r="DP119" s="96"/>
      <c r="DQ119" s="96"/>
      <c r="DR119" s="91" t="str">
        <f t="shared" si="104"/>
        <v>--</v>
      </c>
      <c r="DS119" s="89">
        <f>IF(Table645[[#This Row],[Column122]]="--",0,Table645[[#This Row],[Column4]]*Table645[[#This Row],[Column122]])</f>
        <v>0</v>
      </c>
      <c r="DT119" t="str">
        <f>IF(Table645[[#This Row],[Column125]]=0,"--",Table645[[#This Row],[Column125]]*Table645[[#This Row],[Column126]]*Table645[[#This Row],[Column127]]/1000000000)</f>
        <v>--</v>
      </c>
      <c r="DU119" s="53"/>
      <c r="DV119" s="53"/>
      <c r="DW119" s="53"/>
      <c r="DX119" s="91" t="str">
        <f t="shared" si="105"/>
        <v>--</v>
      </c>
      <c r="DY119" s="89">
        <f>IF(Table645[[#This Row],[Column128]]="--",0,Table645[[#This Row],[Column4]]*Table645[[#This Row],[Column128]])</f>
        <v>0</v>
      </c>
      <c r="EA119" s="89">
        <f>IF(Table645[[#This Row],[Column128]]="--",0,Table645[[#This Row],[Column4]]*Table645[[#This Row],[Column128]])</f>
        <v>0</v>
      </c>
      <c r="EC119" s="89">
        <f>IF(Table645[[#This Row],[Column128]]="--",0,Table645[[#This Row],[Column4]]*Table645[[#This Row],[Column128]])</f>
        <v>0</v>
      </c>
      <c r="EE119" s="89">
        <f>IF(Table645[[#This Row],[Column128]]="--",0,Table645[[#This Row],[Column4]]*Table645[[#This Row],[Column128]])</f>
        <v>0</v>
      </c>
      <c r="EG119" s="89">
        <f>IF(Table645[[#This Row],[Column128]]="--",0,Table645[[#This Row],[Column4]]*Table645[[#This Row],[Column128]])</f>
        <v>0</v>
      </c>
      <c r="EI119" s="89">
        <f>IF(Table645[[#This Row],[Column128]]="--",0,Table645[[#This Row],[Column4]]*Table645[[#This Row],[Column128]])</f>
        <v>0</v>
      </c>
    </row>
    <row r="120" spans="1:139" x14ac:dyDescent="0.25">
      <c r="A120" s="140"/>
      <c r="B120" s="79"/>
      <c r="C120" s="140"/>
      <c r="D120" s="167"/>
      <c r="E120" s="52"/>
      <c r="F120" s="81"/>
      <c r="G120" s="81"/>
      <c r="H120" s="102" t="str">
        <f t="shared" si="96"/>
        <v>--</v>
      </c>
      <c r="I120" s="100">
        <f>IF(Table645[[#This Row],[Column8]]="--",0,Table645[[#This Row],[Column4]]*Table645[[#This Row],[Column8]])</f>
        <v>0</v>
      </c>
      <c r="J120" s="169"/>
      <c r="K120" s="85">
        <f>Table645[[#This Row],[Column4]]*Table645[[#This Row],[Column10]]</f>
        <v>0</v>
      </c>
      <c r="L120" s="170" t="str">
        <f t="shared" si="97"/>
        <v>--</v>
      </c>
      <c r="M120" s="214">
        <f>IF(Table645[[#This Row],[Column10]]=0,0,Table645[[#This Row],[Column4]]*Table645[[#This Row],[Column12]])</f>
        <v>0</v>
      </c>
      <c r="N120" s="87" t="str">
        <f t="shared" si="98"/>
        <v>--</v>
      </c>
      <c r="O120" s="138"/>
      <c r="AZ120" s="89">
        <f>IF(Table645[[#This Row],[Column14]]="--",0,Table645[[#This Row],[Column4]]*Table645[[#This Row],[Column14]])</f>
        <v>0</v>
      </c>
      <c r="BA120" s="90"/>
      <c r="BB120" s="91" t="str">
        <f>IF(BA120=0,"--",BA120*$BA$3*IF(Table645[[#This Row],[Column5]]&lt;4.1,1,2)/60/24)</f>
        <v>--</v>
      </c>
      <c r="BC120" s="92">
        <f>IF(Table645[[#This Row],[Column54]]="--",0,Table645[[#This Row],[Column4]]*Table645[[#This Row],[Column54]])</f>
        <v>0</v>
      </c>
      <c r="BD120" s="119"/>
      <c r="BE120" s="119"/>
      <c r="BF120" s="119"/>
      <c r="BG120" s="91" t="str">
        <f>IF(BD120+Table645[[#This Row],[Column58]]=0,"--",(BD120*$BF$3*Table645[[#This Row],[Column57]]+Table645[[#This Row],[Column58]]*$BF$4)/60/24)</f>
        <v>--</v>
      </c>
      <c r="BH120" s="92">
        <f>IF(Table645[[#This Row],[Column59]]="--",0,Table645[[#This Row],[Column4]]*Table645[[#This Row],[Column59]])</f>
        <v>0</v>
      </c>
      <c r="BI120" s="119"/>
      <c r="BJ120" s="91" t="str">
        <f t="shared" si="84"/>
        <v>--</v>
      </c>
      <c r="BK120" s="92">
        <f>IF(Table645[[#This Row],[Column62]]="--",0,Table645[[#This Row],[Column4]]*Table645[[#This Row],[Column62]])</f>
        <v>0</v>
      </c>
      <c r="BL120" s="93"/>
      <c r="BM120" s="91" t="str">
        <f t="shared" si="99"/>
        <v>--</v>
      </c>
      <c r="BN120" s="89">
        <f>IF(Table645[[#This Row],[Column65]]="--",0,Table645[[#This Row],[Column4]]*Table645[[#This Row],[Column65]])</f>
        <v>0</v>
      </c>
      <c r="BO120" s="163"/>
      <c r="BP120" s="164" t="str">
        <f t="shared" si="100"/>
        <v>--</v>
      </c>
      <c r="BQ120" s="160">
        <f>IF(Table645[[#This Row],[Column68]]="--",0,Table645[[#This Row],[Column4]]*Table645[[#This Row],[Column68]])</f>
        <v>0</v>
      </c>
      <c r="BR120" s="94"/>
      <c r="BS120" s="91" t="str">
        <f t="shared" si="101"/>
        <v>--</v>
      </c>
      <c r="BT120" s="92">
        <f>IF(Table645[[#This Row],[Column71]]="--",0,Table645[[#This Row],[Column4]]*Table645[[#This Row],[Column71]])</f>
        <v>0</v>
      </c>
      <c r="BU120" s="44"/>
      <c r="BV120" s="90"/>
      <c r="BW120" s="91" t="str">
        <f>IF(BV120=0,"--",(Table645[[#This Row],[Column73]]*$BV$4*(IF(J120&lt;0.5001,1,IF(J120&lt;2.0001,2,3)))+BV120/$BV$3)/60/24)</f>
        <v>--</v>
      </c>
      <c r="BX120" s="92">
        <f>IF(Table645[[#This Row],[Column75]]="--",0,Table645[[#This Row],[Column4]]*Table645[[#This Row],[Column75]])</f>
        <v>0</v>
      </c>
      <c r="BY120" s="95" t="s">
        <v>70</v>
      </c>
      <c r="BZ120" s="91" t="str">
        <f>IF(Table645[[#This Row],[Column74]]=0,"--",BW120*$BY$3)</f>
        <v>--</v>
      </c>
      <c r="CA120" s="89">
        <f>IF(Table645[[#This Row],[Column78]]="--",0,Table645[[#This Row],[Column4]]*Table645[[#This Row],[Column78]])</f>
        <v>0</v>
      </c>
      <c r="CB120" s="95" t="s">
        <v>70</v>
      </c>
      <c r="CC120" s="91" t="str">
        <f>IF(Table645[[#This Row],[Column10]]+Table645[[#This Row],[Column74]]=0,"--",J120*$CB$4*$CB$5/(24*60)+IF(Table645[[#This Row],[Column74]]=0,0,$CB$3*Table645[[#This Row],[Column75]]))</f>
        <v>--</v>
      </c>
      <c r="CD120" s="92">
        <f>IF(Table645[[#This Row],[Column81]]="--",0,Table645[[#This Row],[Column4]]*Table645[[#This Row],[Column81]])</f>
        <v>0</v>
      </c>
      <c r="CE120" s="215"/>
      <c r="CF120" s="91" t="str">
        <f t="shared" si="85"/>
        <v>--</v>
      </c>
      <c r="CG120" s="92">
        <f>IF(Table645[[#This Row],[Column84]]="--",0,Table645[[#This Row],[Column4]]*Table645[[#This Row],[Column84]])</f>
        <v>0</v>
      </c>
      <c r="CH120" s="226"/>
      <c r="CI120" s="216"/>
      <c r="CJ120" s="91" t="str">
        <f>IF(CI120=0,"--",(Table645[[#This Row],[Column86]]*$CI$4*(IF(W120&lt;0.5001,1,IF(W120&lt;2.0001,2,3)))+CI120/$CI$3)/60/24)</f>
        <v>--</v>
      </c>
      <c r="CK120" s="92">
        <f>IF(Table645[[#This Row],[Column88]]="--",0,Table645[[#This Row],[Column4]]*Table645[[#This Row],[Column88]])</f>
        <v>0</v>
      </c>
      <c r="CL120" s="217"/>
      <c r="CM120" s="91" t="str">
        <f>IF(Table645[[#This Row],[Column87]]=0,"--",CJ120*$CL$3)</f>
        <v>--</v>
      </c>
      <c r="CN120" s="92">
        <f>IF(Table645[[#This Row],[Column91]]="--",0,Table645[[#This Row],[Column4]]*Table645[[#This Row],[Column91]])</f>
        <v>0</v>
      </c>
      <c r="CO120" s="217"/>
      <c r="CP120" s="91" t="str">
        <f>IF(Table645[[#This Row],[Column10]]+Table645[[#This Row],[Column87]]=0, "--", IF($D120="", 1, $D120) * IF($J120="", 1, $J120) * $CO$3 * $CO$4 * IF(Table645[[#This Row],[Column95]]="", 1, Table645[[#This Row],[Column95]]) / (24 * 60))</f>
        <v>--</v>
      </c>
      <c r="CQ120" s="164"/>
      <c r="CR120" s="92">
        <f>IF(Table645[[#This Row],[Column94]]="--",0,Table645[[#This Row],[Column4]]*Table645[[#This Row],[Column94]])</f>
        <v>0</v>
      </c>
      <c r="CS120" s="218" t="str">
        <f>IF(Table645[[#This Row],[Column87]]="","",Table645[[#This Row],[Column87]])</f>
        <v/>
      </c>
      <c r="CT120" s="91" t="str">
        <f>IF(Table645[[#This Row],[Column97]]="","--",Table645[[#This Row],[Column97]]/$CS$3/60/24)</f>
        <v>--</v>
      </c>
      <c r="CU120" s="92">
        <f>IF(Table645[[#This Row],[Column98]]="--",0,Table645[[#This Row],[Column4]]*Table645[[#This Row],[Column98]])</f>
        <v>0</v>
      </c>
      <c r="CV120" s="93"/>
      <c r="CW120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20" s="91" t="str">
        <f>IF(OR(Table645[[#This Row],[Column74]]&gt;0,Table645[[#This Row],[Column87]]&gt;0),(Table645[[#This Row],[Column73]]+Table645[[#This Row],[Column86]]+1)*$CW$3/60/24,"--")</f>
        <v>--</v>
      </c>
      <c r="CY120" s="92">
        <f>IF(Table645[[#This Row],[Column102]]="--",0,Table645[[#This Row],[Column4]]*Table645[[#This Row],[Column102]])</f>
        <v>0</v>
      </c>
      <c r="CZ120" s="158" t="str">
        <f t="shared" si="102"/>
        <v>--</v>
      </c>
      <c r="DA120" s="153"/>
      <c r="DB120" s="160">
        <f>IF(Table645[[#This Row],[Column104]]="--",0,Table645[[#This Row],[Column4]]*Table645[[#This Row],[Column104]])</f>
        <v>0</v>
      </c>
      <c r="DC120" s="219"/>
      <c r="DD120" s="220" t="str">
        <f>IF(DC120=0,"--",1/$DC$3*1000/(60*60*24)*Table645[[#This Row],[Column107]])</f>
        <v>--</v>
      </c>
      <c r="DE120" s="160">
        <f>IF(Table645[[#This Row],[Column108]]="--",0,Table645[[#This Row],[Column4]]*Table645[[#This Row],[Column108]])</f>
        <v>0</v>
      </c>
      <c r="DF120" s="101" t="s">
        <v>70</v>
      </c>
      <c r="DG120" s="91" t="str">
        <f t="shared" si="103"/>
        <v>--</v>
      </c>
      <c r="DH120" s="89">
        <f>IF(Table645[[#This Row],[Column111]]="--",0,Table645[[#This Row],[Column4]]*Table645[[#This Row],[Column111]])</f>
        <v>0</v>
      </c>
      <c r="DI120" s="96"/>
      <c r="DJ120" s="96"/>
      <c r="DK120" s="96"/>
      <c r="DL120" s="96"/>
      <c r="DM120" s="96"/>
      <c r="DN120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20" s="89">
        <f>IF(Table645[[#This Row],[Column118]]="--",0,Table645[[#This Row],[Column4]]*Table645[[#This Row],[Column118]])</f>
        <v>0</v>
      </c>
      <c r="DP120" s="96"/>
      <c r="DQ120" s="96"/>
      <c r="DR120" s="91" t="str">
        <f t="shared" si="104"/>
        <v>--</v>
      </c>
      <c r="DS120" s="89">
        <f>IF(Table645[[#This Row],[Column122]]="--",0,Table645[[#This Row],[Column4]]*Table645[[#This Row],[Column122]])</f>
        <v>0</v>
      </c>
      <c r="DT120" t="str">
        <f>IF(Table645[[#This Row],[Column125]]=0,"--",Table645[[#This Row],[Column125]]*Table645[[#This Row],[Column126]]*Table645[[#This Row],[Column127]]/1000000000)</f>
        <v>--</v>
      </c>
      <c r="DU120" s="53"/>
      <c r="DV120" s="53"/>
      <c r="DW120" s="53"/>
      <c r="DX120" s="91" t="str">
        <f t="shared" si="105"/>
        <v>--</v>
      </c>
      <c r="DY120" s="89">
        <f>IF(Table645[[#This Row],[Column128]]="--",0,Table645[[#This Row],[Column4]]*Table645[[#This Row],[Column128]])</f>
        <v>0</v>
      </c>
      <c r="EA120" s="89">
        <f>IF(Table645[[#This Row],[Column128]]="--",0,Table645[[#This Row],[Column4]]*Table645[[#This Row],[Column128]])</f>
        <v>0</v>
      </c>
      <c r="EC120" s="89">
        <f>IF(Table645[[#This Row],[Column128]]="--",0,Table645[[#This Row],[Column4]]*Table645[[#This Row],[Column128]])</f>
        <v>0</v>
      </c>
      <c r="EE120" s="89">
        <f>IF(Table645[[#This Row],[Column128]]="--",0,Table645[[#This Row],[Column4]]*Table645[[#This Row],[Column128]])</f>
        <v>0</v>
      </c>
      <c r="EG120" s="89">
        <f>IF(Table645[[#This Row],[Column128]]="--",0,Table645[[#This Row],[Column4]]*Table645[[#This Row],[Column128]])</f>
        <v>0</v>
      </c>
      <c r="EI120" s="89">
        <f>IF(Table645[[#This Row],[Column128]]="--",0,Table645[[#This Row],[Column4]]*Table645[[#This Row],[Column128]])</f>
        <v>0</v>
      </c>
    </row>
    <row r="121" spans="1:139" x14ac:dyDescent="0.25">
      <c r="A121" s="140"/>
      <c r="B121" s="79"/>
      <c r="C121" s="140"/>
      <c r="D121" s="167"/>
      <c r="E121" s="52"/>
      <c r="F121" s="81"/>
      <c r="G121" s="81"/>
      <c r="H121" s="102" t="str">
        <f t="shared" si="96"/>
        <v>--</v>
      </c>
      <c r="I121" s="100">
        <f>IF(Table645[[#This Row],[Column8]]="--",0,Table645[[#This Row],[Column4]]*Table645[[#This Row],[Column8]])</f>
        <v>0</v>
      </c>
      <c r="J121" s="169"/>
      <c r="K121" s="85">
        <f>Table645[[#This Row],[Column4]]*Table645[[#This Row],[Column10]]</f>
        <v>0</v>
      </c>
      <c r="L121" s="170" t="str">
        <f t="shared" si="97"/>
        <v>--</v>
      </c>
      <c r="M121" s="214">
        <f>IF(Table645[[#This Row],[Column10]]=0,0,Table645[[#This Row],[Column4]]*Table645[[#This Row],[Column12]])</f>
        <v>0</v>
      </c>
      <c r="N121" s="87" t="str">
        <f t="shared" si="98"/>
        <v>--</v>
      </c>
      <c r="O121" s="138"/>
      <c r="AZ121" s="89">
        <f>IF(Table645[[#This Row],[Column14]]="--",0,Table645[[#This Row],[Column4]]*Table645[[#This Row],[Column14]])</f>
        <v>0</v>
      </c>
      <c r="BA121" s="90"/>
      <c r="BB121" s="91" t="str">
        <f>IF(BA121=0,"--",BA121*$BA$3*IF(Table645[[#This Row],[Column5]]&lt;4.1,1,2)/60/24)</f>
        <v>--</v>
      </c>
      <c r="BC121" s="92">
        <f>IF(Table645[[#This Row],[Column54]]="--",0,Table645[[#This Row],[Column4]]*Table645[[#This Row],[Column54]])</f>
        <v>0</v>
      </c>
      <c r="BD121" s="119"/>
      <c r="BE121" s="119"/>
      <c r="BF121" s="119"/>
      <c r="BG121" s="91" t="str">
        <f>IF(BD121+Table645[[#This Row],[Column58]]=0,"--",(BD121*$BF$3*Table645[[#This Row],[Column57]]+Table645[[#This Row],[Column58]]*$BF$4)/60/24)</f>
        <v>--</v>
      </c>
      <c r="BH121" s="92">
        <f>IF(Table645[[#This Row],[Column59]]="--",0,Table645[[#This Row],[Column4]]*Table645[[#This Row],[Column59]])</f>
        <v>0</v>
      </c>
      <c r="BI121" s="119"/>
      <c r="BJ121" s="91" t="str">
        <f t="shared" si="84"/>
        <v>--</v>
      </c>
      <c r="BK121" s="92">
        <f>IF(Table645[[#This Row],[Column62]]="--",0,Table645[[#This Row],[Column4]]*Table645[[#This Row],[Column62]])</f>
        <v>0</v>
      </c>
      <c r="BL121" s="93"/>
      <c r="BM121" s="91" t="str">
        <f t="shared" si="99"/>
        <v>--</v>
      </c>
      <c r="BN121" s="89">
        <f>IF(Table645[[#This Row],[Column65]]="--",0,Table645[[#This Row],[Column4]]*Table645[[#This Row],[Column65]])</f>
        <v>0</v>
      </c>
      <c r="BO121" s="163"/>
      <c r="BP121" s="164" t="str">
        <f t="shared" si="100"/>
        <v>--</v>
      </c>
      <c r="BQ121" s="160">
        <f>IF(Table645[[#This Row],[Column68]]="--",0,Table645[[#This Row],[Column4]]*Table645[[#This Row],[Column68]])</f>
        <v>0</v>
      </c>
      <c r="BR121" s="94"/>
      <c r="BS121" s="91" t="str">
        <f t="shared" si="101"/>
        <v>--</v>
      </c>
      <c r="BT121" s="92">
        <f>IF(Table645[[#This Row],[Column71]]="--",0,Table645[[#This Row],[Column4]]*Table645[[#This Row],[Column71]])</f>
        <v>0</v>
      </c>
      <c r="BU121" s="44"/>
      <c r="BV121" s="90"/>
      <c r="BW121" s="91" t="str">
        <f>IF(BV121=0,"--",(Table645[[#This Row],[Column73]]*$BV$4*(IF(J121&lt;0.5001,1,IF(J121&lt;2.0001,2,3)))+BV121/$BV$3)/60/24)</f>
        <v>--</v>
      </c>
      <c r="BX121" s="92">
        <f>IF(Table645[[#This Row],[Column75]]="--",0,Table645[[#This Row],[Column4]]*Table645[[#This Row],[Column75]])</f>
        <v>0</v>
      </c>
      <c r="BY121" s="95" t="s">
        <v>70</v>
      </c>
      <c r="BZ121" s="91" t="str">
        <f>IF(Table645[[#This Row],[Column74]]=0,"--",BW121*$BY$3)</f>
        <v>--</v>
      </c>
      <c r="CA121" s="89">
        <f>IF(Table645[[#This Row],[Column78]]="--",0,Table645[[#This Row],[Column4]]*Table645[[#This Row],[Column78]])</f>
        <v>0</v>
      </c>
      <c r="CB121" s="95" t="s">
        <v>70</v>
      </c>
      <c r="CC121" s="91" t="str">
        <f>IF(Table645[[#This Row],[Column10]]+Table645[[#This Row],[Column74]]=0,"--",J121*$CB$4*$CB$5/(24*60)+IF(Table645[[#This Row],[Column74]]=0,0,$CB$3*Table645[[#This Row],[Column75]]))</f>
        <v>--</v>
      </c>
      <c r="CD121" s="92">
        <f>IF(Table645[[#This Row],[Column81]]="--",0,Table645[[#This Row],[Column4]]*Table645[[#This Row],[Column81]])</f>
        <v>0</v>
      </c>
      <c r="CE121" s="215"/>
      <c r="CF121" s="91" t="str">
        <f t="shared" si="85"/>
        <v>--</v>
      </c>
      <c r="CG121" s="92">
        <f>IF(Table645[[#This Row],[Column84]]="--",0,Table645[[#This Row],[Column4]]*Table645[[#This Row],[Column84]])</f>
        <v>0</v>
      </c>
      <c r="CH121" s="226"/>
      <c r="CI121" s="216"/>
      <c r="CJ121" s="91" t="str">
        <f>IF(CI121=0,"--",(Table645[[#This Row],[Column86]]*$CI$4*(IF(W121&lt;0.5001,1,IF(W121&lt;2.0001,2,3)))+CI121/$CI$3)/60/24)</f>
        <v>--</v>
      </c>
      <c r="CK121" s="92">
        <f>IF(Table645[[#This Row],[Column88]]="--",0,Table645[[#This Row],[Column4]]*Table645[[#This Row],[Column88]])</f>
        <v>0</v>
      </c>
      <c r="CL121" s="217"/>
      <c r="CM121" s="91" t="str">
        <f>IF(Table645[[#This Row],[Column87]]=0,"--",CJ121*$CL$3)</f>
        <v>--</v>
      </c>
      <c r="CN121" s="92">
        <f>IF(Table645[[#This Row],[Column91]]="--",0,Table645[[#This Row],[Column4]]*Table645[[#This Row],[Column91]])</f>
        <v>0</v>
      </c>
      <c r="CO121" s="217"/>
      <c r="CP121" s="91" t="str">
        <f>IF(Table645[[#This Row],[Column10]]+Table645[[#This Row],[Column87]]=0, "--", IF($D121="", 1, $D121) * IF($J121="", 1, $J121) * $CO$3 * $CO$4 * IF(Table645[[#This Row],[Column95]]="", 1, Table645[[#This Row],[Column95]]) / (24 * 60))</f>
        <v>--</v>
      </c>
      <c r="CQ121" s="164"/>
      <c r="CR121" s="92">
        <f>IF(Table645[[#This Row],[Column94]]="--",0,Table645[[#This Row],[Column4]]*Table645[[#This Row],[Column94]])</f>
        <v>0</v>
      </c>
      <c r="CS121" s="218" t="str">
        <f>IF(Table645[[#This Row],[Column87]]="","",Table645[[#This Row],[Column87]])</f>
        <v/>
      </c>
      <c r="CT121" s="91" t="str">
        <f>IF(Table645[[#This Row],[Column97]]="","--",Table645[[#This Row],[Column97]]/$CS$3/60/24)</f>
        <v>--</v>
      </c>
      <c r="CU121" s="92">
        <f>IF(Table645[[#This Row],[Column98]]="--",0,Table645[[#This Row],[Column4]]*Table645[[#This Row],[Column98]])</f>
        <v>0</v>
      </c>
      <c r="CV121" s="93"/>
      <c r="CW121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21" s="91" t="str">
        <f>IF(OR(Table645[[#This Row],[Column74]]&gt;0,Table645[[#This Row],[Column87]]&gt;0),(Table645[[#This Row],[Column73]]+Table645[[#This Row],[Column86]]+1)*$CW$3/60/24,"--")</f>
        <v>--</v>
      </c>
      <c r="CY121" s="92">
        <f>IF(Table645[[#This Row],[Column102]]="--",0,Table645[[#This Row],[Column4]]*Table645[[#This Row],[Column102]])</f>
        <v>0</v>
      </c>
      <c r="CZ121" s="158" t="str">
        <f t="shared" si="102"/>
        <v>--</v>
      </c>
      <c r="DA121" s="153"/>
      <c r="DB121" s="160">
        <f>IF(Table645[[#This Row],[Column104]]="--",0,Table645[[#This Row],[Column4]]*Table645[[#This Row],[Column104]])</f>
        <v>0</v>
      </c>
      <c r="DC121" s="219"/>
      <c r="DD121" s="220" t="str">
        <f>IF(DC121=0,"--",1/$DC$3*1000/(60*60*24)*Table645[[#This Row],[Column107]])</f>
        <v>--</v>
      </c>
      <c r="DE121" s="160">
        <f>IF(Table645[[#This Row],[Column108]]="--",0,Table645[[#This Row],[Column4]]*Table645[[#This Row],[Column108]])</f>
        <v>0</v>
      </c>
      <c r="DF121" s="101" t="s">
        <v>70</v>
      </c>
      <c r="DG121" s="91" t="str">
        <f t="shared" si="103"/>
        <v>--</v>
      </c>
      <c r="DH121" s="89">
        <f>IF(Table645[[#This Row],[Column111]]="--",0,Table645[[#This Row],[Column4]]*Table645[[#This Row],[Column111]])</f>
        <v>0</v>
      </c>
      <c r="DI121" s="96"/>
      <c r="DJ121" s="96"/>
      <c r="DK121" s="96"/>
      <c r="DL121" s="96"/>
      <c r="DM121" s="96"/>
      <c r="DN121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21" s="89">
        <f>IF(Table645[[#This Row],[Column118]]="--",0,Table645[[#This Row],[Column4]]*Table645[[#This Row],[Column118]])</f>
        <v>0</v>
      </c>
      <c r="DP121" s="96"/>
      <c r="DQ121" s="96"/>
      <c r="DR121" s="91" t="str">
        <f t="shared" si="104"/>
        <v>--</v>
      </c>
      <c r="DS121" s="89">
        <f>IF(Table645[[#This Row],[Column122]]="--",0,Table645[[#This Row],[Column4]]*Table645[[#This Row],[Column122]])</f>
        <v>0</v>
      </c>
      <c r="DT121" t="str">
        <f>IF(Table645[[#This Row],[Column125]]=0,"--",Table645[[#This Row],[Column125]]*Table645[[#This Row],[Column126]]*Table645[[#This Row],[Column127]]/1000000000)</f>
        <v>--</v>
      </c>
      <c r="DU121" s="53"/>
      <c r="DV121" s="53"/>
      <c r="DW121" s="53"/>
      <c r="DX121" s="91" t="str">
        <f t="shared" si="105"/>
        <v>--</v>
      </c>
      <c r="DY121" s="89">
        <f>IF(Table645[[#This Row],[Column128]]="--",0,Table645[[#This Row],[Column4]]*Table645[[#This Row],[Column128]])</f>
        <v>0</v>
      </c>
      <c r="EA121" s="89">
        <f>IF(Table645[[#This Row],[Column128]]="--",0,Table645[[#This Row],[Column4]]*Table645[[#This Row],[Column128]])</f>
        <v>0</v>
      </c>
      <c r="EC121" s="89">
        <f>IF(Table645[[#This Row],[Column128]]="--",0,Table645[[#This Row],[Column4]]*Table645[[#This Row],[Column128]])</f>
        <v>0</v>
      </c>
      <c r="EE121" s="89">
        <f>IF(Table645[[#This Row],[Column128]]="--",0,Table645[[#This Row],[Column4]]*Table645[[#This Row],[Column128]])</f>
        <v>0</v>
      </c>
      <c r="EG121" s="89">
        <f>IF(Table645[[#This Row],[Column128]]="--",0,Table645[[#This Row],[Column4]]*Table645[[#This Row],[Column128]])</f>
        <v>0</v>
      </c>
      <c r="EI121" s="89">
        <f>IF(Table645[[#This Row],[Column128]]="--",0,Table645[[#This Row],[Column4]]*Table645[[#This Row],[Column128]])</f>
        <v>0</v>
      </c>
    </row>
    <row r="122" spans="1:139" x14ac:dyDescent="0.25">
      <c r="A122" s="140"/>
      <c r="B122" s="79"/>
      <c r="C122" s="140"/>
      <c r="D122" s="167"/>
      <c r="E122" s="52"/>
      <c r="F122" s="81"/>
      <c r="G122" s="81"/>
      <c r="H122" s="102" t="str">
        <f t="shared" si="96"/>
        <v>--</v>
      </c>
      <c r="I122" s="100">
        <f>IF(Table645[[#This Row],[Column8]]="--",0,Table645[[#This Row],[Column4]]*Table645[[#This Row],[Column8]])</f>
        <v>0</v>
      </c>
      <c r="J122" s="169"/>
      <c r="K122" s="85">
        <f>Table645[[#This Row],[Column4]]*Table645[[#This Row],[Column10]]</f>
        <v>0</v>
      </c>
      <c r="L122" s="170" t="str">
        <f t="shared" si="97"/>
        <v>--</v>
      </c>
      <c r="M122" s="214">
        <f>IF(Table645[[#This Row],[Column10]]=0,0,Table645[[#This Row],[Column4]]*Table645[[#This Row],[Column12]])</f>
        <v>0</v>
      </c>
      <c r="N122" s="87" t="str">
        <f t="shared" si="98"/>
        <v>--</v>
      </c>
      <c r="O122" s="138"/>
      <c r="AZ122" s="89">
        <f>IF(Table645[[#This Row],[Column14]]="--",0,Table645[[#This Row],[Column4]]*Table645[[#This Row],[Column14]])</f>
        <v>0</v>
      </c>
      <c r="BA122" s="90"/>
      <c r="BB122" s="91" t="str">
        <f>IF(BA122=0,"--",BA122*$BA$3*IF(Table645[[#This Row],[Column5]]&lt;4.1,1,2)/60/24)</f>
        <v>--</v>
      </c>
      <c r="BC122" s="92">
        <f>IF(Table645[[#This Row],[Column54]]="--",0,Table645[[#This Row],[Column4]]*Table645[[#This Row],[Column54]])</f>
        <v>0</v>
      </c>
      <c r="BD122" s="119"/>
      <c r="BE122" s="119"/>
      <c r="BF122" s="119"/>
      <c r="BG122" s="91" t="str">
        <f>IF(BD122+Table645[[#This Row],[Column58]]=0,"--",(BD122*$BF$3*Table645[[#This Row],[Column57]]+Table645[[#This Row],[Column58]]*$BF$4)/60/24)</f>
        <v>--</v>
      </c>
      <c r="BH122" s="92">
        <f>IF(Table645[[#This Row],[Column59]]="--",0,Table645[[#This Row],[Column4]]*Table645[[#This Row],[Column59]])</f>
        <v>0</v>
      </c>
      <c r="BI122" s="119"/>
      <c r="BJ122" s="91" t="str">
        <f t="shared" si="84"/>
        <v>--</v>
      </c>
      <c r="BK122" s="92">
        <f>IF(Table645[[#This Row],[Column62]]="--",0,Table645[[#This Row],[Column4]]*Table645[[#This Row],[Column62]])</f>
        <v>0</v>
      </c>
      <c r="BL122" s="93"/>
      <c r="BM122" s="91" t="str">
        <f t="shared" si="99"/>
        <v>--</v>
      </c>
      <c r="BN122" s="89">
        <f>IF(Table645[[#This Row],[Column65]]="--",0,Table645[[#This Row],[Column4]]*Table645[[#This Row],[Column65]])</f>
        <v>0</v>
      </c>
      <c r="BO122" s="163"/>
      <c r="BP122" s="164" t="str">
        <f t="shared" si="100"/>
        <v>--</v>
      </c>
      <c r="BQ122" s="160">
        <f>IF(Table645[[#This Row],[Column68]]="--",0,Table645[[#This Row],[Column4]]*Table645[[#This Row],[Column68]])</f>
        <v>0</v>
      </c>
      <c r="BR122" s="94"/>
      <c r="BS122" s="91" t="str">
        <f t="shared" si="101"/>
        <v>--</v>
      </c>
      <c r="BT122" s="92">
        <f>IF(Table645[[#This Row],[Column71]]="--",0,Table645[[#This Row],[Column4]]*Table645[[#This Row],[Column71]])</f>
        <v>0</v>
      </c>
      <c r="BU122" s="44"/>
      <c r="BV122" s="90"/>
      <c r="BW122" s="91" t="str">
        <f>IF(BV122=0,"--",(Table645[[#This Row],[Column73]]*$BV$4*(IF(J122&lt;0.5001,1,IF(J122&lt;2.0001,2,3)))+BV122/$BV$3)/60/24)</f>
        <v>--</v>
      </c>
      <c r="BX122" s="92">
        <f>IF(Table645[[#This Row],[Column75]]="--",0,Table645[[#This Row],[Column4]]*Table645[[#This Row],[Column75]])</f>
        <v>0</v>
      </c>
      <c r="BY122" s="95" t="s">
        <v>70</v>
      </c>
      <c r="BZ122" s="91" t="str">
        <f>IF(Table645[[#This Row],[Column74]]=0,"--",BW122*$BY$3)</f>
        <v>--</v>
      </c>
      <c r="CA122" s="89">
        <f>IF(Table645[[#This Row],[Column78]]="--",0,Table645[[#This Row],[Column4]]*Table645[[#This Row],[Column78]])</f>
        <v>0</v>
      </c>
      <c r="CB122" s="95" t="s">
        <v>70</v>
      </c>
      <c r="CC122" s="91" t="str">
        <f>IF(Table645[[#This Row],[Column10]]+Table645[[#This Row],[Column74]]=0,"--",J122*$CB$4*$CB$5/(24*60)+IF(Table645[[#This Row],[Column74]]=0,0,$CB$3*Table645[[#This Row],[Column75]]))</f>
        <v>--</v>
      </c>
      <c r="CD122" s="92">
        <f>IF(Table645[[#This Row],[Column81]]="--",0,Table645[[#This Row],[Column4]]*Table645[[#This Row],[Column81]])</f>
        <v>0</v>
      </c>
      <c r="CE122" s="215"/>
      <c r="CF122" s="91" t="str">
        <f t="shared" si="85"/>
        <v>--</v>
      </c>
      <c r="CG122" s="92">
        <f>IF(Table645[[#This Row],[Column84]]="--",0,Table645[[#This Row],[Column4]]*Table645[[#This Row],[Column84]])</f>
        <v>0</v>
      </c>
      <c r="CH122" s="226"/>
      <c r="CI122" s="216"/>
      <c r="CJ122" s="91" t="str">
        <f>IF(CI122=0,"--",(Table645[[#This Row],[Column86]]*$CI$4*(IF(W122&lt;0.5001,1,IF(W122&lt;2.0001,2,3)))+CI122/$CI$3)/60/24)</f>
        <v>--</v>
      </c>
      <c r="CK122" s="92">
        <f>IF(Table645[[#This Row],[Column88]]="--",0,Table645[[#This Row],[Column4]]*Table645[[#This Row],[Column88]])</f>
        <v>0</v>
      </c>
      <c r="CL122" s="217"/>
      <c r="CM122" s="91" t="str">
        <f>IF(Table645[[#This Row],[Column87]]=0,"--",CJ122*$CL$3)</f>
        <v>--</v>
      </c>
      <c r="CN122" s="92">
        <f>IF(Table645[[#This Row],[Column91]]="--",0,Table645[[#This Row],[Column4]]*Table645[[#This Row],[Column91]])</f>
        <v>0</v>
      </c>
      <c r="CO122" s="217"/>
      <c r="CP122" s="91" t="str">
        <f>IF(Table645[[#This Row],[Column10]]+Table645[[#This Row],[Column87]]=0, "--", IF($D122="", 1, $D122) * IF($J122="", 1, $J122) * $CO$3 * $CO$4 * IF(Table645[[#This Row],[Column95]]="", 1, Table645[[#This Row],[Column95]]) / (24 * 60))</f>
        <v>--</v>
      </c>
      <c r="CQ122" s="164"/>
      <c r="CR122" s="92">
        <f>IF(Table645[[#This Row],[Column94]]="--",0,Table645[[#This Row],[Column4]]*Table645[[#This Row],[Column94]])</f>
        <v>0</v>
      </c>
      <c r="CS122" s="218" t="str">
        <f>IF(Table645[[#This Row],[Column87]]="","",Table645[[#This Row],[Column87]])</f>
        <v/>
      </c>
      <c r="CT122" s="91" t="str">
        <f>IF(Table645[[#This Row],[Column97]]="","--",Table645[[#This Row],[Column97]]/$CS$3/60/24)</f>
        <v>--</v>
      </c>
      <c r="CU122" s="92">
        <f>IF(Table645[[#This Row],[Column98]]="--",0,Table645[[#This Row],[Column4]]*Table645[[#This Row],[Column98]])</f>
        <v>0</v>
      </c>
      <c r="CV122" s="93"/>
      <c r="CW122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22" s="91" t="str">
        <f>IF(OR(Table645[[#This Row],[Column74]]&gt;0,Table645[[#This Row],[Column87]]&gt;0),(Table645[[#This Row],[Column73]]+Table645[[#This Row],[Column86]]+1)*$CW$3/60/24,"--")</f>
        <v>--</v>
      </c>
      <c r="CY122" s="92">
        <f>IF(Table645[[#This Row],[Column102]]="--",0,Table645[[#This Row],[Column4]]*Table645[[#This Row],[Column102]])</f>
        <v>0</v>
      </c>
      <c r="CZ122" s="158" t="str">
        <f t="shared" si="102"/>
        <v>--</v>
      </c>
      <c r="DA122" s="153"/>
      <c r="DB122" s="160">
        <f>IF(Table645[[#This Row],[Column104]]="--",0,Table645[[#This Row],[Column4]]*Table645[[#This Row],[Column104]])</f>
        <v>0</v>
      </c>
      <c r="DC122" s="219"/>
      <c r="DD122" s="220" t="str">
        <f>IF(DC122=0,"--",1/$DC$3*1000/(60*60*24)*Table645[[#This Row],[Column107]])</f>
        <v>--</v>
      </c>
      <c r="DE122" s="160">
        <f>IF(Table645[[#This Row],[Column108]]="--",0,Table645[[#This Row],[Column4]]*Table645[[#This Row],[Column108]])</f>
        <v>0</v>
      </c>
      <c r="DF122" s="101" t="s">
        <v>70</v>
      </c>
      <c r="DG122" s="91" t="str">
        <f t="shared" si="103"/>
        <v>--</v>
      </c>
      <c r="DH122" s="89">
        <f>IF(Table645[[#This Row],[Column111]]="--",0,Table645[[#This Row],[Column4]]*Table645[[#This Row],[Column111]])</f>
        <v>0</v>
      </c>
      <c r="DI122" s="96"/>
      <c r="DJ122" s="96"/>
      <c r="DK122" s="96"/>
      <c r="DL122" s="96"/>
      <c r="DM122" s="96"/>
      <c r="DN122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22" s="89">
        <f>IF(Table645[[#This Row],[Column118]]="--",0,Table645[[#This Row],[Column4]]*Table645[[#This Row],[Column118]])</f>
        <v>0</v>
      </c>
      <c r="DP122" s="96"/>
      <c r="DQ122" s="96"/>
      <c r="DR122" s="91" t="str">
        <f t="shared" si="104"/>
        <v>--</v>
      </c>
      <c r="DS122" s="89">
        <f>IF(Table645[[#This Row],[Column122]]="--",0,Table645[[#This Row],[Column4]]*Table645[[#This Row],[Column122]])</f>
        <v>0</v>
      </c>
      <c r="DT122" t="str">
        <f>IF(Table645[[#This Row],[Column125]]=0,"--",Table645[[#This Row],[Column125]]*Table645[[#This Row],[Column126]]*Table645[[#This Row],[Column127]]/1000000000)</f>
        <v>--</v>
      </c>
      <c r="DU122" s="53"/>
      <c r="DV122" s="53"/>
      <c r="DW122" s="53"/>
      <c r="DX122" s="91" t="str">
        <f t="shared" si="105"/>
        <v>--</v>
      </c>
      <c r="DY122" s="89">
        <f>IF(Table645[[#This Row],[Column128]]="--",0,Table645[[#This Row],[Column4]]*Table645[[#This Row],[Column128]])</f>
        <v>0</v>
      </c>
      <c r="EA122" s="89">
        <f>IF(Table645[[#This Row],[Column128]]="--",0,Table645[[#This Row],[Column4]]*Table645[[#This Row],[Column128]])</f>
        <v>0</v>
      </c>
      <c r="EC122" s="89">
        <f>IF(Table645[[#This Row],[Column128]]="--",0,Table645[[#This Row],[Column4]]*Table645[[#This Row],[Column128]])</f>
        <v>0</v>
      </c>
      <c r="EE122" s="89">
        <f>IF(Table645[[#This Row],[Column128]]="--",0,Table645[[#This Row],[Column4]]*Table645[[#This Row],[Column128]])</f>
        <v>0</v>
      </c>
      <c r="EG122" s="89">
        <f>IF(Table645[[#This Row],[Column128]]="--",0,Table645[[#This Row],[Column4]]*Table645[[#This Row],[Column128]])</f>
        <v>0</v>
      </c>
      <c r="EI122" s="89">
        <f>IF(Table645[[#This Row],[Column128]]="--",0,Table645[[#This Row],[Column4]]*Table645[[#This Row],[Column128]])</f>
        <v>0</v>
      </c>
    </row>
    <row r="123" spans="1:139" x14ac:dyDescent="0.25">
      <c r="A123" s="140"/>
      <c r="B123" s="79"/>
      <c r="C123" s="140"/>
      <c r="D123" s="167"/>
      <c r="E123" s="52"/>
      <c r="F123" s="81"/>
      <c r="G123" s="81"/>
      <c r="H123" s="102" t="str">
        <f t="shared" si="96"/>
        <v>--</v>
      </c>
      <c r="I123" s="100">
        <f>IF(Table645[[#This Row],[Column8]]="--",0,Table645[[#This Row],[Column4]]*Table645[[#This Row],[Column8]])</f>
        <v>0</v>
      </c>
      <c r="J123" s="169"/>
      <c r="K123" s="85">
        <f>Table645[[#This Row],[Column4]]*Table645[[#This Row],[Column10]]</f>
        <v>0</v>
      </c>
      <c r="L123" s="170" t="str">
        <f t="shared" si="97"/>
        <v>--</v>
      </c>
      <c r="M123" s="214">
        <f>IF(Table645[[#This Row],[Column10]]=0,0,Table645[[#This Row],[Column4]]*Table645[[#This Row],[Column12]])</f>
        <v>0</v>
      </c>
      <c r="N123" s="87" t="str">
        <f t="shared" si="98"/>
        <v>--</v>
      </c>
      <c r="O123" s="138"/>
      <c r="AZ123" s="89">
        <f>IF(Table645[[#This Row],[Column14]]="--",0,Table645[[#This Row],[Column4]]*Table645[[#This Row],[Column14]])</f>
        <v>0</v>
      </c>
      <c r="BA123" s="90"/>
      <c r="BB123" s="91" t="str">
        <f>IF(BA123=0,"--",BA123*$BA$3*IF(Table645[[#This Row],[Column5]]&lt;4.1,1,2)/60/24)</f>
        <v>--</v>
      </c>
      <c r="BC123" s="92">
        <f>IF(Table645[[#This Row],[Column54]]="--",0,Table645[[#This Row],[Column4]]*Table645[[#This Row],[Column54]])</f>
        <v>0</v>
      </c>
      <c r="BD123" s="119"/>
      <c r="BE123" s="119"/>
      <c r="BF123" s="119"/>
      <c r="BG123" s="91" t="str">
        <f>IF(BD123+Table645[[#This Row],[Column58]]=0,"--",(BD123*$BF$3*Table645[[#This Row],[Column57]]+Table645[[#This Row],[Column58]]*$BF$4)/60/24)</f>
        <v>--</v>
      </c>
      <c r="BH123" s="92">
        <f>IF(Table645[[#This Row],[Column59]]="--",0,Table645[[#This Row],[Column4]]*Table645[[#This Row],[Column59]])</f>
        <v>0</v>
      </c>
      <c r="BI123" s="119"/>
      <c r="BJ123" s="91" t="str">
        <f t="shared" si="84"/>
        <v>--</v>
      </c>
      <c r="BK123" s="92">
        <f>IF(Table645[[#This Row],[Column62]]="--",0,Table645[[#This Row],[Column4]]*Table645[[#This Row],[Column62]])</f>
        <v>0</v>
      </c>
      <c r="BL123" s="93"/>
      <c r="BM123" s="91" t="str">
        <f t="shared" si="99"/>
        <v>--</v>
      </c>
      <c r="BN123" s="89">
        <f>IF(Table645[[#This Row],[Column65]]="--",0,Table645[[#This Row],[Column4]]*Table645[[#This Row],[Column65]])</f>
        <v>0</v>
      </c>
      <c r="BO123" s="163"/>
      <c r="BP123" s="164" t="str">
        <f t="shared" si="100"/>
        <v>--</v>
      </c>
      <c r="BQ123" s="160">
        <f>IF(Table645[[#This Row],[Column68]]="--",0,Table645[[#This Row],[Column4]]*Table645[[#This Row],[Column68]])</f>
        <v>0</v>
      </c>
      <c r="BR123" s="94"/>
      <c r="BS123" s="91" t="str">
        <f t="shared" si="101"/>
        <v>--</v>
      </c>
      <c r="BT123" s="92">
        <f>IF(Table645[[#This Row],[Column71]]="--",0,Table645[[#This Row],[Column4]]*Table645[[#This Row],[Column71]])</f>
        <v>0</v>
      </c>
      <c r="BU123" s="44"/>
      <c r="BV123" s="90"/>
      <c r="BW123" s="91" t="str">
        <f>IF(BV123=0,"--",(Table645[[#This Row],[Column73]]*$BV$4*(IF(J123&lt;0.5001,1,IF(J123&lt;2.0001,2,3)))+BV123/$BV$3)/60/24)</f>
        <v>--</v>
      </c>
      <c r="BX123" s="92">
        <f>IF(Table645[[#This Row],[Column75]]="--",0,Table645[[#This Row],[Column4]]*Table645[[#This Row],[Column75]])</f>
        <v>0</v>
      </c>
      <c r="BY123" s="95" t="s">
        <v>70</v>
      </c>
      <c r="BZ123" s="91" t="str">
        <f>IF(Table645[[#This Row],[Column74]]=0,"--",BW123*$BY$3)</f>
        <v>--</v>
      </c>
      <c r="CA123" s="89">
        <f>IF(Table645[[#This Row],[Column78]]="--",0,Table645[[#This Row],[Column4]]*Table645[[#This Row],[Column78]])</f>
        <v>0</v>
      </c>
      <c r="CB123" s="95" t="s">
        <v>70</v>
      </c>
      <c r="CC123" s="91" t="str">
        <f>IF(Table645[[#This Row],[Column10]]+Table645[[#This Row],[Column74]]=0,"--",J123*$CB$4*$CB$5/(24*60)+IF(Table645[[#This Row],[Column74]]=0,0,$CB$3*Table645[[#This Row],[Column75]]))</f>
        <v>--</v>
      </c>
      <c r="CD123" s="92">
        <f>IF(Table645[[#This Row],[Column81]]="--",0,Table645[[#This Row],[Column4]]*Table645[[#This Row],[Column81]])</f>
        <v>0</v>
      </c>
      <c r="CE123" s="215"/>
      <c r="CF123" s="91" t="str">
        <f t="shared" si="85"/>
        <v>--</v>
      </c>
      <c r="CG123" s="92">
        <f>IF(Table645[[#This Row],[Column84]]="--",0,Table645[[#This Row],[Column4]]*Table645[[#This Row],[Column84]])</f>
        <v>0</v>
      </c>
      <c r="CH123" s="226"/>
      <c r="CI123" s="216"/>
      <c r="CJ123" s="91" t="str">
        <f>IF(CI123=0,"--",(Table645[[#This Row],[Column86]]*$CI$4*(IF(W123&lt;0.5001,1,IF(W123&lt;2.0001,2,3)))+CI123/$CI$3)/60/24)</f>
        <v>--</v>
      </c>
      <c r="CK123" s="92">
        <f>IF(Table645[[#This Row],[Column88]]="--",0,Table645[[#This Row],[Column4]]*Table645[[#This Row],[Column88]])</f>
        <v>0</v>
      </c>
      <c r="CL123" s="217"/>
      <c r="CM123" s="91" t="str">
        <f>IF(Table645[[#This Row],[Column87]]=0,"--",CJ123*$CL$3)</f>
        <v>--</v>
      </c>
      <c r="CN123" s="92">
        <f>IF(Table645[[#This Row],[Column91]]="--",0,Table645[[#This Row],[Column4]]*Table645[[#This Row],[Column91]])</f>
        <v>0</v>
      </c>
      <c r="CO123" s="217"/>
      <c r="CP123" s="91" t="str">
        <f>IF(Table645[[#This Row],[Column10]]+Table645[[#This Row],[Column87]]=0, "--", IF($D123="", 1, $D123) * IF($J123="", 1, $J123) * $CO$3 * $CO$4 * IF(Table645[[#This Row],[Column95]]="", 1, Table645[[#This Row],[Column95]]) / (24 * 60))</f>
        <v>--</v>
      </c>
      <c r="CQ123" s="164"/>
      <c r="CR123" s="92">
        <f>IF(Table645[[#This Row],[Column94]]="--",0,Table645[[#This Row],[Column4]]*Table645[[#This Row],[Column94]])</f>
        <v>0</v>
      </c>
      <c r="CS123" s="218" t="str">
        <f>IF(Table645[[#This Row],[Column87]]="","",Table645[[#This Row],[Column87]])</f>
        <v/>
      </c>
      <c r="CT123" s="91" t="str">
        <f>IF(Table645[[#This Row],[Column97]]="","--",Table645[[#This Row],[Column97]]/$CS$3/60/24)</f>
        <v>--</v>
      </c>
      <c r="CU123" s="92">
        <f>IF(Table645[[#This Row],[Column98]]="--",0,Table645[[#This Row],[Column4]]*Table645[[#This Row],[Column98]])</f>
        <v>0</v>
      </c>
      <c r="CV123" s="93"/>
      <c r="CW123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23" s="91" t="str">
        <f>IF(OR(Table645[[#This Row],[Column74]]&gt;0,Table645[[#This Row],[Column87]]&gt;0),(Table645[[#This Row],[Column73]]+Table645[[#This Row],[Column86]]+1)*$CW$3/60/24,"--")</f>
        <v>--</v>
      </c>
      <c r="CY123" s="92">
        <f>IF(Table645[[#This Row],[Column102]]="--",0,Table645[[#This Row],[Column4]]*Table645[[#This Row],[Column102]])</f>
        <v>0</v>
      </c>
      <c r="CZ123" s="158" t="str">
        <f t="shared" si="102"/>
        <v>--</v>
      </c>
      <c r="DA123" s="153"/>
      <c r="DB123" s="160">
        <f>IF(Table645[[#This Row],[Column104]]="--",0,Table645[[#This Row],[Column4]]*Table645[[#This Row],[Column104]])</f>
        <v>0</v>
      </c>
      <c r="DC123" s="219"/>
      <c r="DD123" s="220" t="str">
        <f>IF(DC123=0,"--",1/$DC$3*1000/(60*60*24)*Table645[[#This Row],[Column107]])</f>
        <v>--</v>
      </c>
      <c r="DE123" s="160">
        <f>IF(Table645[[#This Row],[Column108]]="--",0,Table645[[#This Row],[Column4]]*Table645[[#This Row],[Column108]])</f>
        <v>0</v>
      </c>
      <c r="DF123" s="101" t="s">
        <v>70</v>
      </c>
      <c r="DG123" s="91" t="str">
        <f t="shared" si="103"/>
        <v>--</v>
      </c>
      <c r="DH123" s="89">
        <f>IF(Table645[[#This Row],[Column111]]="--",0,Table645[[#This Row],[Column4]]*Table645[[#This Row],[Column111]])</f>
        <v>0</v>
      </c>
      <c r="DI123" s="96"/>
      <c r="DJ123" s="96"/>
      <c r="DK123" s="96"/>
      <c r="DL123" s="96"/>
      <c r="DM123" s="96"/>
      <c r="DN123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23" s="89">
        <f>IF(Table645[[#This Row],[Column118]]="--",0,Table645[[#This Row],[Column4]]*Table645[[#This Row],[Column118]])</f>
        <v>0</v>
      </c>
      <c r="DP123" s="96"/>
      <c r="DQ123" s="96"/>
      <c r="DR123" s="91" t="str">
        <f t="shared" si="104"/>
        <v>--</v>
      </c>
      <c r="DS123" s="89">
        <f>IF(Table645[[#This Row],[Column122]]="--",0,Table645[[#This Row],[Column4]]*Table645[[#This Row],[Column122]])</f>
        <v>0</v>
      </c>
      <c r="DT123" t="str">
        <f>IF(Table645[[#This Row],[Column125]]=0,"--",Table645[[#This Row],[Column125]]*Table645[[#This Row],[Column126]]*Table645[[#This Row],[Column127]]/1000000000)</f>
        <v>--</v>
      </c>
      <c r="DU123" s="53"/>
      <c r="DV123" s="53"/>
      <c r="DW123" s="53"/>
      <c r="DX123" s="91" t="str">
        <f t="shared" si="105"/>
        <v>--</v>
      </c>
      <c r="DY123" s="89">
        <f>IF(Table645[[#This Row],[Column128]]="--",0,Table645[[#This Row],[Column4]]*Table645[[#This Row],[Column128]])</f>
        <v>0</v>
      </c>
      <c r="EA123" s="89">
        <f>IF(Table645[[#This Row],[Column128]]="--",0,Table645[[#This Row],[Column4]]*Table645[[#This Row],[Column128]])</f>
        <v>0</v>
      </c>
      <c r="EC123" s="89">
        <f>IF(Table645[[#This Row],[Column128]]="--",0,Table645[[#This Row],[Column4]]*Table645[[#This Row],[Column128]])</f>
        <v>0</v>
      </c>
      <c r="EE123" s="89">
        <f>IF(Table645[[#This Row],[Column128]]="--",0,Table645[[#This Row],[Column4]]*Table645[[#This Row],[Column128]])</f>
        <v>0</v>
      </c>
      <c r="EG123" s="89">
        <f>IF(Table645[[#This Row],[Column128]]="--",0,Table645[[#This Row],[Column4]]*Table645[[#This Row],[Column128]])</f>
        <v>0</v>
      </c>
      <c r="EI123" s="89">
        <f>IF(Table645[[#This Row],[Column128]]="--",0,Table645[[#This Row],[Column4]]*Table645[[#This Row],[Column128]])</f>
        <v>0</v>
      </c>
    </row>
    <row r="124" spans="1:139" x14ac:dyDescent="0.25">
      <c r="A124" s="140"/>
      <c r="B124" s="79"/>
      <c r="C124" s="140"/>
      <c r="D124" s="167"/>
      <c r="E124" s="52"/>
      <c r="F124" s="81"/>
      <c r="G124" s="81"/>
      <c r="H124" s="102" t="str">
        <f t="shared" si="96"/>
        <v>--</v>
      </c>
      <c r="I124" s="100">
        <f>IF(Table645[[#This Row],[Column8]]="--",0,Table645[[#This Row],[Column4]]*Table645[[#This Row],[Column8]])</f>
        <v>0</v>
      </c>
      <c r="J124" s="169"/>
      <c r="K124" s="85">
        <f>Table645[[#This Row],[Column4]]*Table645[[#This Row],[Column10]]</f>
        <v>0</v>
      </c>
      <c r="L124" s="170" t="str">
        <f t="shared" si="97"/>
        <v>--</v>
      </c>
      <c r="M124" s="214">
        <f>IF(Table645[[#This Row],[Column10]]=0,0,Table645[[#This Row],[Column4]]*Table645[[#This Row],[Column12]])</f>
        <v>0</v>
      </c>
      <c r="N124" s="87" t="str">
        <f t="shared" si="98"/>
        <v>--</v>
      </c>
      <c r="O124" s="138"/>
      <c r="AZ124" s="89">
        <f>IF(Table645[[#This Row],[Column14]]="--",0,Table645[[#This Row],[Column4]]*Table645[[#This Row],[Column14]])</f>
        <v>0</v>
      </c>
      <c r="BA124" s="90"/>
      <c r="BB124" s="91" t="str">
        <f>IF(BA124=0,"--",BA124*$BA$3*IF(Table645[[#This Row],[Column5]]&lt;4.1,1,2)/60/24)</f>
        <v>--</v>
      </c>
      <c r="BC124" s="92">
        <f>IF(Table645[[#This Row],[Column54]]="--",0,Table645[[#This Row],[Column4]]*Table645[[#This Row],[Column54]])</f>
        <v>0</v>
      </c>
      <c r="BD124" s="119"/>
      <c r="BE124" s="119"/>
      <c r="BF124" s="119"/>
      <c r="BG124" s="91" t="str">
        <f>IF(BD124+Table645[[#This Row],[Column58]]=0,"--",(BD124*$BF$3*Table645[[#This Row],[Column57]]+Table645[[#This Row],[Column58]]*$BF$4)/60/24)</f>
        <v>--</v>
      </c>
      <c r="BH124" s="92">
        <f>IF(Table645[[#This Row],[Column59]]="--",0,Table645[[#This Row],[Column4]]*Table645[[#This Row],[Column59]])</f>
        <v>0</v>
      </c>
      <c r="BI124" s="119"/>
      <c r="BJ124" s="91" t="str">
        <f t="shared" si="84"/>
        <v>--</v>
      </c>
      <c r="BK124" s="92">
        <f>IF(Table645[[#This Row],[Column62]]="--",0,Table645[[#This Row],[Column4]]*Table645[[#This Row],[Column62]])</f>
        <v>0</v>
      </c>
      <c r="BL124" s="93"/>
      <c r="BM124" s="91" t="str">
        <f t="shared" si="99"/>
        <v>--</v>
      </c>
      <c r="BN124" s="89">
        <f>IF(Table645[[#This Row],[Column65]]="--",0,Table645[[#This Row],[Column4]]*Table645[[#This Row],[Column65]])</f>
        <v>0</v>
      </c>
      <c r="BO124" s="163"/>
      <c r="BP124" s="164" t="str">
        <f t="shared" si="100"/>
        <v>--</v>
      </c>
      <c r="BQ124" s="160">
        <f>IF(Table645[[#This Row],[Column68]]="--",0,Table645[[#This Row],[Column4]]*Table645[[#This Row],[Column68]])</f>
        <v>0</v>
      </c>
      <c r="BR124" s="94"/>
      <c r="BS124" s="91" t="str">
        <f t="shared" si="101"/>
        <v>--</v>
      </c>
      <c r="BT124" s="92">
        <f>IF(Table645[[#This Row],[Column71]]="--",0,Table645[[#This Row],[Column4]]*Table645[[#This Row],[Column71]])</f>
        <v>0</v>
      </c>
      <c r="BU124" s="44"/>
      <c r="BV124" s="90"/>
      <c r="BW124" s="91" t="str">
        <f>IF(BV124=0,"--",(Table645[[#This Row],[Column73]]*$BV$4*(IF(J124&lt;0.5001,1,IF(J124&lt;2.0001,2,3)))+BV124/$BV$3)/60/24)</f>
        <v>--</v>
      </c>
      <c r="BX124" s="92">
        <f>IF(Table645[[#This Row],[Column75]]="--",0,Table645[[#This Row],[Column4]]*Table645[[#This Row],[Column75]])</f>
        <v>0</v>
      </c>
      <c r="BY124" s="95" t="s">
        <v>70</v>
      </c>
      <c r="BZ124" s="91" t="str">
        <f>IF(Table645[[#This Row],[Column74]]=0,"--",BW124*$BY$3)</f>
        <v>--</v>
      </c>
      <c r="CA124" s="89">
        <f>IF(Table645[[#This Row],[Column78]]="--",0,Table645[[#This Row],[Column4]]*Table645[[#This Row],[Column78]])</f>
        <v>0</v>
      </c>
      <c r="CB124" s="95" t="s">
        <v>70</v>
      </c>
      <c r="CC124" s="91" t="str">
        <f>IF(Table645[[#This Row],[Column10]]+Table645[[#This Row],[Column74]]=0,"--",J124*$CB$4*$CB$5/(24*60)+IF(Table645[[#This Row],[Column74]]=0,0,$CB$3*Table645[[#This Row],[Column75]]))</f>
        <v>--</v>
      </c>
      <c r="CD124" s="92">
        <f>IF(Table645[[#This Row],[Column81]]="--",0,Table645[[#This Row],[Column4]]*Table645[[#This Row],[Column81]])</f>
        <v>0</v>
      </c>
      <c r="CE124" s="215"/>
      <c r="CF124" s="91" t="str">
        <f t="shared" si="85"/>
        <v>--</v>
      </c>
      <c r="CG124" s="92">
        <f>IF(Table645[[#This Row],[Column84]]="--",0,Table645[[#This Row],[Column4]]*Table645[[#This Row],[Column84]])</f>
        <v>0</v>
      </c>
      <c r="CH124" s="226"/>
      <c r="CI124" s="216"/>
      <c r="CJ124" s="91" t="str">
        <f>IF(CI124=0,"--",(Table645[[#This Row],[Column86]]*$CI$4*(IF(W124&lt;0.5001,1,IF(W124&lt;2.0001,2,3)))+CI124/$CI$3)/60/24)</f>
        <v>--</v>
      </c>
      <c r="CK124" s="92">
        <f>IF(Table645[[#This Row],[Column88]]="--",0,Table645[[#This Row],[Column4]]*Table645[[#This Row],[Column88]])</f>
        <v>0</v>
      </c>
      <c r="CL124" s="217"/>
      <c r="CM124" s="91" t="str">
        <f>IF(Table645[[#This Row],[Column87]]=0,"--",CJ124*$CL$3)</f>
        <v>--</v>
      </c>
      <c r="CN124" s="92">
        <f>IF(Table645[[#This Row],[Column91]]="--",0,Table645[[#This Row],[Column4]]*Table645[[#This Row],[Column91]])</f>
        <v>0</v>
      </c>
      <c r="CO124" s="217"/>
      <c r="CP124" s="91" t="str">
        <f>IF(Table645[[#This Row],[Column10]]+Table645[[#This Row],[Column87]]=0, "--", IF($D124="", 1, $D124) * IF($J124="", 1, $J124) * $CO$3 * $CO$4 * IF(Table645[[#This Row],[Column95]]="", 1, Table645[[#This Row],[Column95]]) / (24 * 60))</f>
        <v>--</v>
      </c>
      <c r="CQ124" s="164"/>
      <c r="CR124" s="92">
        <f>IF(Table645[[#This Row],[Column94]]="--",0,Table645[[#This Row],[Column4]]*Table645[[#This Row],[Column94]])</f>
        <v>0</v>
      </c>
      <c r="CS124" s="218" t="str">
        <f>IF(Table645[[#This Row],[Column87]]="","",Table645[[#This Row],[Column87]])</f>
        <v/>
      </c>
      <c r="CT124" s="91" t="str">
        <f>IF(Table645[[#This Row],[Column97]]="","--",Table645[[#This Row],[Column97]]/$CS$3/60/24)</f>
        <v>--</v>
      </c>
      <c r="CU124" s="92">
        <f>IF(Table645[[#This Row],[Column98]]="--",0,Table645[[#This Row],[Column4]]*Table645[[#This Row],[Column98]])</f>
        <v>0</v>
      </c>
      <c r="CV124" s="93"/>
      <c r="CW124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24" s="91" t="str">
        <f>IF(OR(Table645[[#This Row],[Column74]]&gt;0,Table645[[#This Row],[Column87]]&gt;0),(Table645[[#This Row],[Column73]]+Table645[[#This Row],[Column86]]+1)*$CW$3/60/24,"--")</f>
        <v>--</v>
      </c>
      <c r="CY124" s="92">
        <f>IF(Table645[[#This Row],[Column102]]="--",0,Table645[[#This Row],[Column4]]*Table645[[#This Row],[Column102]])</f>
        <v>0</v>
      </c>
      <c r="CZ124" s="158" t="str">
        <f t="shared" si="102"/>
        <v>--</v>
      </c>
      <c r="DA124" s="153"/>
      <c r="DB124" s="160">
        <f>IF(Table645[[#This Row],[Column104]]="--",0,Table645[[#This Row],[Column4]]*Table645[[#This Row],[Column104]])</f>
        <v>0</v>
      </c>
      <c r="DC124" s="219"/>
      <c r="DD124" s="220" t="str">
        <f>IF(DC124=0,"--",1/$DC$3*1000/(60*60*24)*Table645[[#This Row],[Column107]])</f>
        <v>--</v>
      </c>
      <c r="DE124" s="160">
        <f>IF(Table645[[#This Row],[Column108]]="--",0,Table645[[#This Row],[Column4]]*Table645[[#This Row],[Column108]])</f>
        <v>0</v>
      </c>
      <c r="DF124" s="101" t="s">
        <v>70</v>
      </c>
      <c r="DG124" s="91" t="str">
        <f t="shared" si="103"/>
        <v>--</v>
      </c>
      <c r="DH124" s="89">
        <f>IF(Table645[[#This Row],[Column111]]="--",0,Table645[[#This Row],[Column4]]*Table645[[#This Row],[Column111]])</f>
        <v>0</v>
      </c>
      <c r="DI124" s="96"/>
      <c r="DJ124" s="96"/>
      <c r="DK124" s="96"/>
      <c r="DL124" s="96"/>
      <c r="DM124" s="96"/>
      <c r="DN124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24" s="89">
        <f>IF(Table645[[#This Row],[Column118]]="--",0,Table645[[#This Row],[Column4]]*Table645[[#This Row],[Column118]])</f>
        <v>0</v>
      </c>
      <c r="DP124" s="96"/>
      <c r="DQ124" s="96"/>
      <c r="DR124" s="91" t="str">
        <f t="shared" si="104"/>
        <v>--</v>
      </c>
      <c r="DS124" s="89">
        <f>IF(Table645[[#This Row],[Column122]]="--",0,Table645[[#This Row],[Column4]]*Table645[[#This Row],[Column122]])</f>
        <v>0</v>
      </c>
      <c r="DT124" t="str">
        <f>IF(Table645[[#This Row],[Column125]]=0,"--",Table645[[#This Row],[Column125]]*Table645[[#This Row],[Column126]]*Table645[[#This Row],[Column127]]/1000000000)</f>
        <v>--</v>
      </c>
      <c r="DU124" s="53"/>
      <c r="DV124" s="53"/>
      <c r="DW124" s="53"/>
      <c r="DX124" s="91" t="str">
        <f t="shared" si="105"/>
        <v>--</v>
      </c>
      <c r="DY124" s="89">
        <f>IF(Table645[[#This Row],[Column128]]="--",0,Table645[[#This Row],[Column4]]*Table645[[#This Row],[Column128]])</f>
        <v>0</v>
      </c>
      <c r="EA124" s="89">
        <f>IF(Table645[[#This Row],[Column128]]="--",0,Table645[[#This Row],[Column4]]*Table645[[#This Row],[Column128]])</f>
        <v>0</v>
      </c>
      <c r="EC124" s="89">
        <f>IF(Table645[[#This Row],[Column128]]="--",0,Table645[[#This Row],[Column4]]*Table645[[#This Row],[Column128]])</f>
        <v>0</v>
      </c>
      <c r="EE124" s="89">
        <f>IF(Table645[[#This Row],[Column128]]="--",0,Table645[[#This Row],[Column4]]*Table645[[#This Row],[Column128]])</f>
        <v>0</v>
      </c>
      <c r="EG124" s="89">
        <f>IF(Table645[[#This Row],[Column128]]="--",0,Table645[[#This Row],[Column4]]*Table645[[#This Row],[Column128]])</f>
        <v>0</v>
      </c>
      <c r="EI124" s="89">
        <f>IF(Table645[[#This Row],[Column128]]="--",0,Table645[[#This Row],[Column4]]*Table645[[#This Row],[Column128]])</f>
        <v>0</v>
      </c>
    </row>
    <row r="125" spans="1:139" x14ac:dyDescent="0.25">
      <c r="A125" s="140"/>
      <c r="B125" s="79"/>
      <c r="C125" s="140"/>
      <c r="D125" s="167"/>
      <c r="E125" s="52"/>
      <c r="F125" s="81"/>
      <c r="G125" s="81"/>
      <c r="H125" s="102" t="str">
        <f t="shared" si="96"/>
        <v>--</v>
      </c>
      <c r="I125" s="100">
        <f>IF(Table645[[#This Row],[Column8]]="--",0,Table645[[#This Row],[Column4]]*Table645[[#This Row],[Column8]])</f>
        <v>0</v>
      </c>
      <c r="J125" s="169"/>
      <c r="K125" s="85">
        <f>Table645[[#This Row],[Column4]]*Table645[[#This Row],[Column10]]</f>
        <v>0</v>
      </c>
      <c r="L125" s="170" t="str">
        <f t="shared" si="97"/>
        <v>--</v>
      </c>
      <c r="M125" s="214">
        <f>IF(Table645[[#This Row],[Column10]]=0,0,Table645[[#This Row],[Column4]]*Table645[[#This Row],[Column12]])</f>
        <v>0</v>
      </c>
      <c r="N125" s="87" t="str">
        <f t="shared" si="98"/>
        <v>--</v>
      </c>
      <c r="O125" s="138"/>
      <c r="AZ125" s="89">
        <f>IF(Table645[[#This Row],[Column14]]="--",0,Table645[[#This Row],[Column4]]*Table645[[#This Row],[Column14]])</f>
        <v>0</v>
      </c>
      <c r="BA125" s="90"/>
      <c r="BB125" s="91" t="str">
        <f>IF(BA125=0,"--",BA125*$BA$3*IF(Table645[[#This Row],[Column5]]&lt;4.1,1,2)/60/24)</f>
        <v>--</v>
      </c>
      <c r="BC125" s="92">
        <f>IF(Table645[[#This Row],[Column54]]="--",0,Table645[[#This Row],[Column4]]*Table645[[#This Row],[Column54]])</f>
        <v>0</v>
      </c>
      <c r="BD125" s="119"/>
      <c r="BE125" s="119"/>
      <c r="BF125" s="119"/>
      <c r="BG125" s="91" t="str">
        <f>IF(BD125+Table645[[#This Row],[Column58]]=0,"--",(BD125*$BF$3*Table645[[#This Row],[Column57]]+Table645[[#This Row],[Column58]]*$BF$4)/60/24)</f>
        <v>--</v>
      </c>
      <c r="BH125" s="92">
        <f>IF(Table645[[#This Row],[Column59]]="--",0,Table645[[#This Row],[Column4]]*Table645[[#This Row],[Column59]])</f>
        <v>0</v>
      </c>
      <c r="BI125" s="119"/>
      <c r="BJ125" s="91" t="str">
        <f t="shared" si="84"/>
        <v>--</v>
      </c>
      <c r="BK125" s="92">
        <f>IF(Table645[[#This Row],[Column62]]="--",0,Table645[[#This Row],[Column4]]*Table645[[#This Row],[Column62]])</f>
        <v>0</v>
      </c>
      <c r="BL125" s="93"/>
      <c r="BM125" s="91" t="str">
        <f t="shared" si="99"/>
        <v>--</v>
      </c>
      <c r="BN125" s="89">
        <f>IF(Table645[[#This Row],[Column65]]="--",0,Table645[[#This Row],[Column4]]*Table645[[#This Row],[Column65]])</f>
        <v>0</v>
      </c>
      <c r="BO125" s="163"/>
      <c r="BP125" s="164" t="str">
        <f t="shared" si="100"/>
        <v>--</v>
      </c>
      <c r="BQ125" s="160">
        <f>IF(Table645[[#This Row],[Column68]]="--",0,Table645[[#This Row],[Column4]]*Table645[[#This Row],[Column68]])</f>
        <v>0</v>
      </c>
      <c r="BR125" s="94"/>
      <c r="BS125" s="91" t="str">
        <f t="shared" si="101"/>
        <v>--</v>
      </c>
      <c r="BT125" s="92">
        <f>IF(Table645[[#This Row],[Column71]]="--",0,Table645[[#This Row],[Column4]]*Table645[[#This Row],[Column71]])</f>
        <v>0</v>
      </c>
      <c r="BU125" s="44"/>
      <c r="BV125" s="90"/>
      <c r="BW125" s="91" t="str">
        <f>IF(BV125=0,"--",(Table645[[#This Row],[Column73]]*$BV$4*(IF(J125&lt;0.5001,1,IF(J125&lt;2.0001,2,3)))+BV125/$BV$3)/60/24)</f>
        <v>--</v>
      </c>
      <c r="BX125" s="92">
        <f>IF(Table645[[#This Row],[Column75]]="--",0,Table645[[#This Row],[Column4]]*Table645[[#This Row],[Column75]])</f>
        <v>0</v>
      </c>
      <c r="BY125" s="95" t="s">
        <v>70</v>
      </c>
      <c r="BZ125" s="91" t="str">
        <f>IF(Table645[[#This Row],[Column74]]=0,"--",BW125*$BY$3)</f>
        <v>--</v>
      </c>
      <c r="CA125" s="89">
        <f>IF(Table645[[#This Row],[Column78]]="--",0,Table645[[#This Row],[Column4]]*Table645[[#This Row],[Column78]])</f>
        <v>0</v>
      </c>
      <c r="CB125" s="95" t="s">
        <v>70</v>
      </c>
      <c r="CC125" s="91" t="str">
        <f>IF(Table645[[#This Row],[Column10]]+Table645[[#This Row],[Column74]]=0,"--",J125*$CB$4*$CB$5/(24*60)+IF(Table645[[#This Row],[Column74]]=0,0,$CB$3*Table645[[#This Row],[Column75]]))</f>
        <v>--</v>
      </c>
      <c r="CD125" s="92">
        <f>IF(Table645[[#This Row],[Column81]]="--",0,Table645[[#This Row],[Column4]]*Table645[[#This Row],[Column81]])</f>
        <v>0</v>
      </c>
      <c r="CE125" s="215"/>
      <c r="CF125" s="91" t="str">
        <f t="shared" si="85"/>
        <v>--</v>
      </c>
      <c r="CG125" s="92">
        <f>IF(Table645[[#This Row],[Column84]]="--",0,Table645[[#This Row],[Column4]]*Table645[[#This Row],[Column84]])</f>
        <v>0</v>
      </c>
      <c r="CH125" s="226"/>
      <c r="CI125" s="216"/>
      <c r="CJ125" s="91" t="str">
        <f>IF(CI125=0,"--",(Table645[[#This Row],[Column86]]*$CI$4*(IF(W125&lt;0.5001,1,IF(W125&lt;2.0001,2,3)))+CI125/$CI$3)/60/24)</f>
        <v>--</v>
      </c>
      <c r="CK125" s="92">
        <f>IF(Table645[[#This Row],[Column88]]="--",0,Table645[[#This Row],[Column4]]*Table645[[#This Row],[Column88]])</f>
        <v>0</v>
      </c>
      <c r="CL125" s="217"/>
      <c r="CM125" s="91" t="str">
        <f>IF(Table645[[#This Row],[Column87]]=0,"--",CJ125*$CL$3)</f>
        <v>--</v>
      </c>
      <c r="CN125" s="92">
        <f>IF(Table645[[#This Row],[Column91]]="--",0,Table645[[#This Row],[Column4]]*Table645[[#This Row],[Column91]])</f>
        <v>0</v>
      </c>
      <c r="CO125" s="217"/>
      <c r="CP125" s="91" t="str">
        <f>IF(Table645[[#This Row],[Column10]]+Table645[[#This Row],[Column87]]=0, "--", IF($D125="", 1, $D125) * IF($J125="", 1, $J125) * $CO$3 * $CO$4 * IF(Table645[[#This Row],[Column95]]="", 1, Table645[[#This Row],[Column95]]) / (24 * 60))</f>
        <v>--</v>
      </c>
      <c r="CQ125" s="164"/>
      <c r="CR125" s="92">
        <f>IF(Table645[[#This Row],[Column94]]="--",0,Table645[[#This Row],[Column4]]*Table645[[#This Row],[Column94]])</f>
        <v>0</v>
      </c>
      <c r="CS125" s="218" t="str">
        <f>IF(Table645[[#This Row],[Column87]]="","",Table645[[#This Row],[Column87]])</f>
        <v/>
      </c>
      <c r="CT125" s="91" t="str">
        <f>IF(Table645[[#This Row],[Column97]]="","--",Table645[[#This Row],[Column97]]/$CS$3/60/24)</f>
        <v>--</v>
      </c>
      <c r="CU125" s="92">
        <f>IF(Table645[[#This Row],[Column98]]="--",0,Table645[[#This Row],[Column4]]*Table645[[#This Row],[Column98]])</f>
        <v>0</v>
      </c>
      <c r="CV125" s="93"/>
      <c r="CW125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25" s="91" t="str">
        <f>IF(OR(Table645[[#This Row],[Column74]]&gt;0,Table645[[#This Row],[Column87]]&gt;0),(Table645[[#This Row],[Column73]]+Table645[[#This Row],[Column86]]+1)*$CW$3/60/24,"--")</f>
        <v>--</v>
      </c>
      <c r="CY125" s="92">
        <f>IF(Table645[[#This Row],[Column102]]="--",0,Table645[[#This Row],[Column4]]*Table645[[#This Row],[Column102]])</f>
        <v>0</v>
      </c>
      <c r="CZ125" s="158" t="str">
        <f t="shared" si="102"/>
        <v>--</v>
      </c>
      <c r="DA125" s="153"/>
      <c r="DB125" s="160">
        <f>IF(Table645[[#This Row],[Column104]]="--",0,Table645[[#This Row],[Column4]]*Table645[[#This Row],[Column104]])</f>
        <v>0</v>
      </c>
      <c r="DC125" s="219"/>
      <c r="DD125" s="220" t="str">
        <f>IF(DC125=0,"--",1/$DC$3*1000/(60*60*24)*Table645[[#This Row],[Column107]])</f>
        <v>--</v>
      </c>
      <c r="DE125" s="160">
        <f>IF(Table645[[#This Row],[Column108]]="--",0,Table645[[#This Row],[Column4]]*Table645[[#This Row],[Column108]])</f>
        <v>0</v>
      </c>
      <c r="DF125" s="101" t="s">
        <v>70</v>
      </c>
      <c r="DG125" s="91" t="str">
        <f t="shared" si="103"/>
        <v>--</v>
      </c>
      <c r="DH125" s="89">
        <f>IF(Table645[[#This Row],[Column111]]="--",0,Table645[[#This Row],[Column4]]*Table645[[#This Row],[Column111]])</f>
        <v>0</v>
      </c>
      <c r="DI125" s="96"/>
      <c r="DJ125" s="96"/>
      <c r="DK125" s="96"/>
      <c r="DL125" s="96"/>
      <c r="DM125" s="96"/>
      <c r="DN125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25" s="89">
        <f>IF(Table645[[#This Row],[Column118]]="--",0,Table645[[#This Row],[Column4]]*Table645[[#This Row],[Column118]])</f>
        <v>0</v>
      </c>
      <c r="DP125" s="96"/>
      <c r="DQ125" s="96"/>
      <c r="DR125" s="91" t="str">
        <f t="shared" si="104"/>
        <v>--</v>
      </c>
      <c r="DS125" s="89">
        <f>IF(Table645[[#This Row],[Column122]]="--",0,Table645[[#This Row],[Column4]]*Table645[[#This Row],[Column122]])</f>
        <v>0</v>
      </c>
      <c r="DT125" t="str">
        <f>IF(Table645[[#This Row],[Column125]]=0,"--",Table645[[#This Row],[Column125]]*Table645[[#This Row],[Column126]]*Table645[[#This Row],[Column127]]/1000000000)</f>
        <v>--</v>
      </c>
      <c r="DU125" s="53"/>
      <c r="DV125" s="53"/>
      <c r="DW125" s="53"/>
      <c r="DX125" s="91" t="str">
        <f t="shared" si="105"/>
        <v>--</v>
      </c>
      <c r="DY125" s="89">
        <f>IF(Table645[[#This Row],[Column128]]="--",0,Table645[[#This Row],[Column4]]*Table645[[#This Row],[Column128]])</f>
        <v>0</v>
      </c>
      <c r="EA125" s="89">
        <f>IF(Table645[[#This Row],[Column128]]="--",0,Table645[[#This Row],[Column4]]*Table645[[#This Row],[Column128]])</f>
        <v>0</v>
      </c>
      <c r="EC125" s="89">
        <f>IF(Table645[[#This Row],[Column128]]="--",0,Table645[[#This Row],[Column4]]*Table645[[#This Row],[Column128]])</f>
        <v>0</v>
      </c>
      <c r="EE125" s="89">
        <f>IF(Table645[[#This Row],[Column128]]="--",0,Table645[[#This Row],[Column4]]*Table645[[#This Row],[Column128]])</f>
        <v>0</v>
      </c>
      <c r="EG125" s="89">
        <f>IF(Table645[[#This Row],[Column128]]="--",0,Table645[[#This Row],[Column4]]*Table645[[#This Row],[Column128]])</f>
        <v>0</v>
      </c>
      <c r="EI125" s="89">
        <f>IF(Table645[[#This Row],[Column128]]="--",0,Table645[[#This Row],[Column4]]*Table645[[#This Row],[Column128]])</f>
        <v>0</v>
      </c>
    </row>
    <row r="126" spans="1:139" x14ac:dyDescent="0.25">
      <c r="A126" s="140"/>
      <c r="B126" s="79"/>
      <c r="C126" s="140"/>
      <c r="D126" s="167"/>
      <c r="E126" s="52"/>
      <c r="F126" s="81"/>
      <c r="G126" s="81"/>
      <c r="H126" s="102" t="str">
        <f t="shared" si="96"/>
        <v>--</v>
      </c>
      <c r="I126" s="100">
        <f>IF(Table645[[#This Row],[Column8]]="--",0,Table645[[#This Row],[Column4]]*Table645[[#This Row],[Column8]])</f>
        <v>0</v>
      </c>
      <c r="J126" s="169"/>
      <c r="K126" s="85">
        <f>Table645[[#This Row],[Column4]]*Table645[[#This Row],[Column10]]</f>
        <v>0</v>
      </c>
      <c r="L126" s="170" t="str">
        <f t="shared" si="97"/>
        <v>--</v>
      </c>
      <c r="M126" s="214">
        <f>IF(Table645[[#This Row],[Column10]]=0,0,Table645[[#This Row],[Column4]]*Table645[[#This Row],[Column12]])</f>
        <v>0</v>
      </c>
      <c r="N126" s="87" t="str">
        <f t="shared" si="98"/>
        <v>--</v>
      </c>
      <c r="O126" s="138"/>
      <c r="AZ126" s="89">
        <f>IF(Table645[[#This Row],[Column14]]="--",0,Table645[[#This Row],[Column4]]*Table645[[#This Row],[Column14]])</f>
        <v>0</v>
      </c>
      <c r="BA126" s="90"/>
      <c r="BB126" s="91" t="str">
        <f>IF(BA126=0,"--",BA126*$BA$3*IF(Table645[[#This Row],[Column5]]&lt;4.1,1,2)/60/24)</f>
        <v>--</v>
      </c>
      <c r="BC126" s="92">
        <f>IF(Table645[[#This Row],[Column54]]="--",0,Table645[[#This Row],[Column4]]*Table645[[#This Row],[Column54]])</f>
        <v>0</v>
      </c>
      <c r="BD126" s="119"/>
      <c r="BE126" s="119"/>
      <c r="BF126" s="119"/>
      <c r="BG126" s="91" t="str">
        <f>IF(BD126+Table645[[#This Row],[Column58]]=0,"--",(BD126*$BF$3*Table645[[#This Row],[Column57]]+Table645[[#This Row],[Column58]]*$BF$4)/60/24)</f>
        <v>--</v>
      </c>
      <c r="BH126" s="92">
        <f>IF(Table645[[#This Row],[Column59]]="--",0,Table645[[#This Row],[Column4]]*Table645[[#This Row],[Column59]])</f>
        <v>0</v>
      </c>
      <c r="BI126" s="119"/>
      <c r="BJ126" s="91" t="str">
        <f t="shared" si="84"/>
        <v>--</v>
      </c>
      <c r="BK126" s="92">
        <f>IF(Table645[[#This Row],[Column62]]="--",0,Table645[[#This Row],[Column4]]*Table645[[#This Row],[Column62]])</f>
        <v>0</v>
      </c>
      <c r="BL126" s="93"/>
      <c r="BM126" s="91" t="str">
        <f t="shared" si="99"/>
        <v>--</v>
      </c>
      <c r="BN126" s="89">
        <f>IF(Table645[[#This Row],[Column65]]="--",0,Table645[[#This Row],[Column4]]*Table645[[#This Row],[Column65]])</f>
        <v>0</v>
      </c>
      <c r="BO126" s="163"/>
      <c r="BP126" s="164" t="str">
        <f t="shared" si="100"/>
        <v>--</v>
      </c>
      <c r="BQ126" s="160">
        <f>IF(Table645[[#This Row],[Column68]]="--",0,Table645[[#This Row],[Column4]]*Table645[[#This Row],[Column68]])</f>
        <v>0</v>
      </c>
      <c r="BR126" s="94"/>
      <c r="BS126" s="91" t="str">
        <f t="shared" si="101"/>
        <v>--</v>
      </c>
      <c r="BT126" s="92">
        <f>IF(Table645[[#This Row],[Column71]]="--",0,Table645[[#This Row],[Column4]]*Table645[[#This Row],[Column71]])</f>
        <v>0</v>
      </c>
      <c r="BU126" s="44"/>
      <c r="BV126" s="90"/>
      <c r="BW126" s="91" t="str">
        <f>IF(BV126=0,"--",(Table645[[#This Row],[Column73]]*$BV$4*(IF(J126&lt;0.5001,1,IF(J126&lt;2.0001,2,3)))+BV126/$BV$3)/60/24)</f>
        <v>--</v>
      </c>
      <c r="BX126" s="92">
        <f>IF(Table645[[#This Row],[Column75]]="--",0,Table645[[#This Row],[Column4]]*Table645[[#This Row],[Column75]])</f>
        <v>0</v>
      </c>
      <c r="BY126" s="95" t="s">
        <v>70</v>
      </c>
      <c r="BZ126" s="91" t="str">
        <f>IF(Table645[[#This Row],[Column74]]=0,"--",BW126*$BY$3)</f>
        <v>--</v>
      </c>
      <c r="CA126" s="89">
        <f>IF(Table645[[#This Row],[Column78]]="--",0,Table645[[#This Row],[Column4]]*Table645[[#This Row],[Column78]])</f>
        <v>0</v>
      </c>
      <c r="CB126" s="95" t="s">
        <v>70</v>
      </c>
      <c r="CC126" s="91" t="str">
        <f>IF(Table645[[#This Row],[Column10]]+Table645[[#This Row],[Column74]]=0,"--",J126*$CB$4*$CB$5/(24*60)+IF(Table645[[#This Row],[Column74]]=0,0,$CB$3*Table645[[#This Row],[Column75]]))</f>
        <v>--</v>
      </c>
      <c r="CD126" s="92">
        <f>IF(Table645[[#This Row],[Column81]]="--",0,Table645[[#This Row],[Column4]]*Table645[[#This Row],[Column81]])</f>
        <v>0</v>
      </c>
      <c r="CE126" s="215"/>
      <c r="CF126" s="91" t="str">
        <f t="shared" si="85"/>
        <v>--</v>
      </c>
      <c r="CG126" s="92">
        <f>IF(Table645[[#This Row],[Column84]]="--",0,Table645[[#This Row],[Column4]]*Table645[[#This Row],[Column84]])</f>
        <v>0</v>
      </c>
      <c r="CH126" s="226"/>
      <c r="CI126" s="216"/>
      <c r="CJ126" s="91" t="str">
        <f>IF(CI126=0,"--",(Table645[[#This Row],[Column86]]*$CI$4*(IF(W126&lt;0.5001,1,IF(W126&lt;2.0001,2,3)))+CI126/$CI$3)/60/24)</f>
        <v>--</v>
      </c>
      <c r="CK126" s="92">
        <f>IF(Table645[[#This Row],[Column88]]="--",0,Table645[[#This Row],[Column4]]*Table645[[#This Row],[Column88]])</f>
        <v>0</v>
      </c>
      <c r="CL126" s="217"/>
      <c r="CM126" s="91" t="str">
        <f>IF(Table645[[#This Row],[Column87]]=0,"--",CJ126*$CL$3)</f>
        <v>--</v>
      </c>
      <c r="CN126" s="92">
        <f>IF(Table645[[#This Row],[Column91]]="--",0,Table645[[#This Row],[Column4]]*Table645[[#This Row],[Column91]])</f>
        <v>0</v>
      </c>
      <c r="CO126" s="217"/>
      <c r="CP126" s="91" t="str">
        <f>IF(Table645[[#This Row],[Column10]]+Table645[[#This Row],[Column87]]=0, "--", IF($D126="", 1, $D126) * IF($J126="", 1, $J126) * $CO$3 * $CO$4 * IF(Table645[[#This Row],[Column95]]="", 1, Table645[[#This Row],[Column95]]) / (24 * 60))</f>
        <v>--</v>
      </c>
      <c r="CQ126" s="164"/>
      <c r="CR126" s="92">
        <f>IF(Table645[[#This Row],[Column94]]="--",0,Table645[[#This Row],[Column4]]*Table645[[#This Row],[Column94]])</f>
        <v>0</v>
      </c>
      <c r="CS126" s="218" t="str">
        <f>IF(Table645[[#This Row],[Column87]]="","",Table645[[#This Row],[Column87]])</f>
        <v/>
      </c>
      <c r="CT126" s="91" t="str">
        <f>IF(Table645[[#This Row],[Column97]]="","--",Table645[[#This Row],[Column97]]/$CS$3/60/24)</f>
        <v>--</v>
      </c>
      <c r="CU126" s="92">
        <f>IF(Table645[[#This Row],[Column98]]="--",0,Table645[[#This Row],[Column4]]*Table645[[#This Row],[Column98]])</f>
        <v>0</v>
      </c>
      <c r="CV126" s="93"/>
      <c r="CW126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26" s="91" t="str">
        <f>IF(OR(Table645[[#This Row],[Column74]]&gt;0,Table645[[#This Row],[Column87]]&gt;0),(Table645[[#This Row],[Column73]]+Table645[[#This Row],[Column86]]+1)*$CW$3/60/24,"--")</f>
        <v>--</v>
      </c>
      <c r="CY126" s="92">
        <f>IF(Table645[[#This Row],[Column102]]="--",0,Table645[[#This Row],[Column4]]*Table645[[#This Row],[Column102]])</f>
        <v>0</v>
      </c>
      <c r="CZ126" s="158" t="str">
        <f t="shared" si="102"/>
        <v>--</v>
      </c>
      <c r="DA126" s="153"/>
      <c r="DB126" s="160">
        <f>IF(Table645[[#This Row],[Column104]]="--",0,Table645[[#This Row],[Column4]]*Table645[[#This Row],[Column104]])</f>
        <v>0</v>
      </c>
      <c r="DC126" s="219"/>
      <c r="DD126" s="220" t="str">
        <f>IF(DC126=0,"--",1/$DC$3*1000/(60*60*24)*Table645[[#This Row],[Column107]])</f>
        <v>--</v>
      </c>
      <c r="DE126" s="160">
        <f>IF(Table645[[#This Row],[Column108]]="--",0,Table645[[#This Row],[Column4]]*Table645[[#This Row],[Column108]])</f>
        <v>0</v>
      </c>
      <c r="DF126" s="101" t="s">
        <v>70</v>
      </c>
      <c r="DG126" s="91" t="str">
        <f t="shared" si="103"/>
        <v>--</v>
      </c>
      <c r="DH126" s="89">
        <f>IF(Table645[[#This Row],[Column111]]="--",0,Table645[[#This Row],[Column4]]*Table645[[#This Row],[Column111]])</f>
        <v>0</v>
      </c>
      <c r="DI126" s="96"/>
      <c r="DJ126" s="96"/>
      <c r="DK126" s="96"/>
      <c r="DL126" s="96"/>
      <c r="DM126" s="96"/>
      <c r="DN126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26" s="89">
        <f>IF(Table645[[#This Row],[Column118]]="--",0,Table645[[#This Row],[Column4]]*Table645[[#This Row],[Column118]])</f>
        <v>0</v>
      </c>
      <c r="DP126" s="96"/>
      <c r="DQ126" s="96"/>
      <c r="DR126" s="91" t="str">
        <f t="shared" si="104"/>
        <v>--</v>
      </c>
      <c r="DS126" s="89">
        <f>IF(Table645[[#This Row],[Column122]]="--",0,Table645[[#This Row],[Column4]]*Table645[[#This Row],[Column122]])</f>
        <v>0</v>
      </c>
      <c r="DT126" t="str">
        <f>IF(Table645[[#This Row],[Column125]]=0,"--",Table645[[#This Row],[Column125]]*Table645[[#This Row],[Column126]]*Table645[[#This Row],[Column127]]/1000000000)</f>
        <v>--</v>
      </c>
      <c r="DU126" s="53"/>
      <c r="DV126" s="53"/>
      <c r="DW126" s="53"/>
      <c r="DX126" s="91" t="str">
        <f t="shared" si="105"/>
        <v>--</v>
      </c>
      <c r="DY126" s="89">
        <f>IF(Table645[[#This Row],[Column128]]="--",0,Table645[[#This Row],[Column4]]*Table645[[#This Row],[Column128]])</f>
        <v>0</v>
      </c>
      <c r="EA126" s="89">
        <f>IF(Table645[[#This Row],[Column128]]="--",0,Table645[[#This Row],[Column4]]*Table645[[#This Row],[Column128]])</f>
        <v>0</v>
      </c>
      <c r="EC126" s="89">
        <f>IF(Table645[[#This Row],[Column128]]="--",0,Table645[[#This Row],[Column4]]*Table645[[#This Row],[Column128]])</f>
        <v>0</v>
      </c>
      <c r="EE126" s="89">
        <f>IF(Table645[[#This Row],[Column128]]="--",0,Table645[[#This Row],[Column4]]*Table645[[#This Row],[Column128]])</f>
        <v>0</v>
      </c>
      <c r="EG126" s="89">
        <f>IF(Table645[[#This Row],[Column128]]="--",0,Table645[[#This Row],[Column4]]*Table645[[#This Row],[Column128]])</f>
        <v>0</v>
      </c>
      <c r="EI126" s="89">
        <f>IF(Table645[[#This Row],[Column128]]="--",0,Table645[[#This Row],[Column4]]*Table645[[#This Row],[Column128]])</f>
        <v>0</v>
      </c>
    </row>
    <row r="127" spans="1:139" x14ac:dyDescent="0.25">
      <c r="A127" s="140"/>
      <c r="B127" s="79"/>
      <c r="C127" s="140"/>
      <c r="D127" s="167"/>
      <c r="E127" s="52"/>
      <c r="F127" s="81"/>
      <c r="G127" s="81"/>
      <c r="H127" s="102" t="str">
        <f t="shared" si="96"/>
        <v>--</v>
      </c>
      <c r="I127" s="100">
        <f>IF(Table645[[#This Row],[Column8]]="--",0,Table645[[#This Row],[Column4]]*Table645[[#This Row],[Column8]])</f>
        <v>0</v>
      </c>
      <c r="J127" s="169"/>
      <c r="K127" s="85">
        <f>Table645[[#This Row],[Column4]]*Table645[[#This Row],[Column10]]</f>
        <v>0</v>
      </c>
      <c r="L127" s="170" t="str">
        <f t="shared" si="97"/>
        <v>--</v>
      </c>
      <c r="M127" s="214">
        <f>IF(Table645[[#This Row],[Column10]]=0,0,Table645[[#This Row],[Column4]]*Table645[[#This Row],[Column12]])</f>
        <v>0</v>
      </c>
      <c r="N127" s="87" t="str">
        <f t="shared" si="98"/>
        <v>--</v>
      </c>
      <c r="O127" s="138"/>
      <c r="AZ127" s="89">
        <f>IF(Table645[[#This Row],[Column14]]="--",0,Table645[[#This Row],[Column4]]*Table645[[#This Row],[Column14]])</f>
        <v>0</v>
      </c>
      <c r="BA127" s="90"/>
      <c r="BB127" s="91" t="str">
        <f>IF(BA127=0,"--",BA127*$BA$3*IF(Table645[[#This Row],[Column5]]&lt;4.1,1,2)/60/24)</f>
        <v>--</v>
      </c>
      <c r="BC127" s="92">
        <f>IF(Table645[[#This Row],[Column54]]="--",0,Table645[[#This Row],[Column4]]*Table645[[#This Row],[Column54]])</f>
        <v>0</v>
      </c>
      <c r="BD127" s="119"/>
      <c r="BE127" s="119"/>
      <c r="BF127" s="119"/>
      <c r="BG127" s="91" t="str">
        <f>IF(BD127+Table645[[#This Row],[Column58]]=0,"--",(BD127*$BF$3*Table645[[#This Row],[Column57]]+Table645[[#This Row],[Column58]]*$BF$4)/60/24)</f>
        <v>--</v>
      </c>
      <c r="BH127" s="92">
        <f>IF(Table645[[#This Row],[Column59]]="--",0,Table645[[#This Row],[Column4]]*Table645[[#This Row],[Column59]])</f>
        <v>0</v>
      </c>
      <c r="BI127" s="119"/>
      <c r="BJ127" s="91" t="str">
        <f t="shared" si="84"/>
        <v>--</v>
      </c>
      <c r="BK127" s="92">
        <f>IF(Table645[[#This Row],[Column62]]="--",0,Table645[[#This Row],[Column4]]*Table645[[#This Row],[Column62]])</f>
        <v>0</v>
      </c>
      <c r="BL127" s="93"/>
      <c r="BM127" s="91" t="str">
        <f t="shared" si="99"/>
        <v>--</v>
      </c>
      <c r="BN127" s="89">
        <f>IF(Table645[[#This Row],[Column65]]="--",0,Table645[[#This Row],[Column4]]*Table645[[#This Row],[Column65]])</f>
        <v>0</v>
      </c>
      <c r="BO127" s="163"/>
      <c r="BP127" s="164" t="str">
        <f t="shared" si="100"/>
        <v>--</v>
      </c>
      <c r="BQ127" s="160">
        <f>IF(Table645[[#This Row],[Column68]]="--",0,Table645[[#This Row],[Column4]]*Table645[[#This Row],[Column68]])</f>
        <v>0</v>
      </c>
      <c r="BR127" s="94"/>
      <c r="BS127" s="91" t="str">
        <f t="shared" si="101"/>
        <v>--</v>
      </c>
      <c r="BT127" s="92">
        <f>IF(Table645[[#This Row],[Column71]]="--",0,Table645[[#This Row],[Column4]]*Table645[[#This Row],[Column71]])</f>
        <v>0</v>
      </c>
      <c r="BU127" s="44"/>
      <c r="BV127" s="90"/>
      <c r="BW127" s="91" t="str">
        <f>IF(BV127=0,"--",(Table645[[#This Row],[Column73]]*$BV$4*(IF(J127&lt;0.5001,1,IF(J127&lt;2.0001,2,3)))+BV127/$BV$3)/60/24)</f>
        <v>--</v>
      </c>
      <c r="BX127" s="92">
        <f>IF(Table645[[#This Row],[Column75]]="--",0,Table645[[#This Row],[Column4]]*Table645[[#This Row],[Column75]])</f>
        <v>0</v>
      </c>
      <c r="BY127" s="95" t="s">
        <v>70</v>
      </c>
      <c r="BZ127" s="91" t="str">
        <f>IF(Table645[[#This Row],[Column74]]=0,"--",BW127*$BY$3)</f>
        <v>--</v>
      </c>
      <c r="CA127" s="89">
        <f>IF(Table645[[#This Row],[Column78]]="--",0,Table645[[#This Row],[Column4]]*Table645[[#This Row],[Column78]])</f>
        <v>0</v>
      </c>
      <c r="CB127" s="95" t="s">
        <v>70</v>
      </c>
      <c r="CC127" s="91" t="str">
        <f>IF(Table645[[#This Row],[Column10]]+Table645[[#This Row],[Column74]]=0,"--",J127*$CB$4*$CB$5/(24*60)+IF(Table645[[#This Row],[Column74]]=0,0,$CB$3*Table645[[#This Row],[Column75]]))</f>
        <v>--</v>
      </c>
      <c r="CD127" s="92">
        <f>IF(Table645[[#This Row],[Column81]]="--",0,Table645[[#This Row],[Column4]]*Table645[[#This Row],[Column81]])</f>
        <v>0</v>
      </c>
      <c r="CE127" s="215"/>
      <c r="CF127" s="91" t="str">
        <f t="shared" si="85"/>
        <v>--</v>
      </c>
      <c r="CG127" s="92">
        <f>IF(Table645[[#This Row],[Column84]]="--",0,Table645[[#This Row],[Column4]]*Table645[[#This Row],[Column84]])</f>
        <v>0</v>
      </c>
      <c r="CH127" s="226"/>
      <c r="CI127" s="216"/>
      <c r="CJ127" s="91" t="str">
        <f>IF(CI127=0,"--",(Table645[[#This Row],[Column86]]*$CI$4*(IF(W127&lt;0.5001,1,IF(W127&lt;2.0001,2,3)))+CI127/$CI$3)/60/24)</f>
        <v>--</v>
      </c>
      <c r="CK127" s="92">
        <f>IF(Table645[[#This Row],[Column88]]="--",0,Table645[[#This Row],[Column4]]*Table645[[#This Row],[Column88]])</f>
        <v>0</v>
      </c>
      <c r="CL127" s="217"/>
      <c r="CM127" s="91" t="str">
        <f>IF(Table645[[#This Row],[Column87]]=0,"--",CJ127*$CL$3)</f>
        <v>--</v>
      </c>
      <c r="CN127" s="92">
        <f>IF(Table645[[#This Row],[Column91]]="--",0,Table645[[#This Row],[Column4]]*Table645[[#This Row],[Column91]])</f>
        <v>0</v>
      </c>
      <c r="CO127" s="217"/>
      <c r="CP127" s="91" t="str">
        <f>IF(Table645[[#This Row],[Column10]]+Table645[[#This Row],[Column87]]=0, "--", IF($D127="", 1, $D127) * IF($J127="", 1, $J127) * $CO$3 * $CO$4 * IF(Table645[[#This Row],[Column95]]="", 1, Table645[[#This Row],[Column95]]) / (24 * 60))</f>
        <v>--</v>
      </c>
      <c r="CQ127" s="164"/>
      <c r="CR127" s="92">
        <f>IF(Table645[[#This Row],[Column94]]="--",0,Table645[[#This Row],[Column4]]*Table645[[#This Row],[Column94]])</f>
        <v>0</v>
      </c>
      <c r="CS127" s="218" t="str">
        <f>IF(Table645[[#This Row],[Column87]]="","",Table645[[#This Row],[Column87]])</f>
        <v/>
      </c>
      <c r="CT127" s="91" t="str">
        <f>IF(Table645[[#This Row],[Column97]]="","--",Table645[[#This Row],[Column97]]/$CS$3/60/24)</f>
        <v>--</v>
      </c>
      <c r="CU127" s="92">
        <f>IF(Table645[[#This Row],[Column98]]="--",0,Table645[[#This Row],[Column4]]*Table645[[#This Row],[Column98]])</f>
        <v>0</v>
      </c>
      <c r="CV127" s="93"/>
      <c r="CW127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27" s="91" t="str">
        <f>IF(OR(Table645[[#This Row],[Column74]]&gt;0,Table645[[#This Row],[Column87]]&gt;0),(Table645[[#This Row],[Column73]]+Table645[[#This Row],[Column86]]+1)*$CW$3/60/24,"--")</f>
        <v>--</v>
      </c>
      <c r="CY127" s="92">
        <f>IF(Table645[[#This Row],[Column102]]="--",0,Table645[[#This Row],[Column4]]*Table645[[#This Row],[Column102]])</f>
        <v>0</v>
      </c>
      <c r="CZ127" s="158" t="str">
        <f t="shared" si="102"/>
        <v>--</v>
      </c>
      <c r="DA127" s="153"/>
      <c r="DB127" s="160">
        <f>IF(Table645[[#This Row],[Column104]]="--",0,Table645[[#This Row],[Column4]]*Table645[[#This Row],[Column104]])</f>
        <v>0</v>
      </c>
      <c r="DC127" s="219"/>
      <c r="DD127" s="220" t="str">
        <f>IF(DC127=0,"--",1/$DC$3*1000/(60*60*24)*Table645[[#This Row],[Column107]])</f>
        <v>--</v>
      </c>
      <c r="DE127" s="160">
        <f>IF(Table645[[#This Row],[Column108]]="--",0,Table645[[#This Row],[Column4]]*Table645[[#This Row],[Column108]])</f>
        <v>0</v>
      </c>
      <c r="DF127" s="101" t="s">
        <v>70</v>
      </c>
      <c r="DG127" s="91" t="str">
        <f t="shared" si="103"/>
        <v>--</v>
      </c>
      <c r="DH127" s="89">
        <f>IF(Table645[[#This Row],[Column111]]="--",0,Table645[[#This Row],[Column4]]*Table645[[#This Row],[Column111]])</f>
        <v>0</v>
      </c>
      <c r="DI127" s="96"/>
      <c r="DJ127" s="96"/>
      <c r="DK127" s="96"/>
      <c r="DL127" s="96"/>
      <c r="DM127" s="96"/>
      <c r="DN127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27" s="89">
        <f>IF(Table645[[#This Row],[Column118]]="--",0,Table645[[#This Row],[Column4]]*Table645[[#This Row],[Column118]])</f>
        <v>0</v>
      </c>
      <c r="DP127" s="96"/>
      <c r="DQ127" s="96"/>
      <c r="DR127" s="91" t="str">
        <f t="shared" si="104"/>
        <v>--</v>
      </c>
      <c r="DS127" s="89">
        <f>IF(Table645[[#This Row],[Column122]]="--",0,Table645[[#This Row],[Column4]]*Table645[[#This Row],[Column122]])</f>
        <v>0</v>
      </c>
      <c r="DT127" t="str">
        <f>IF(Table645[[#This Row],[Column125]]=0,"--",Table645[[#This Row],[Column125]]*Table645[[#This Row],[Column126]]*Table645[[#This Row],[Column127]]/1000000000)</f>
        <v>--</v>
      </c>
      <c r="DU127" s="53"/>
      <c r="DV127" s="53"/>
      <c r="DW127" s="53"/>
      <c r="DX127" s="91" t="str">
        <f t="shared" si="105"/>
        <v>--</v>
      </c>
      <c r="DY127" s="89">
        <f>IF(Table645[[#This Row],[Column128]]="--",0,Table645[[#This Row],[Column4]]*Table645[[#This Row],[Column128]])</f>
        <v>0</v>
      </c>
      <c r="EA127" s="89">
        <f>IF(Table645[[#This Row],[Column128]]="--",0,Table645[[#This Row],[Column4]]*Table645[[#This Row],[Column128]])</f>
        <v>0</v>
      </c>
      <c r="EC127" s="89">
        <f>IF(Table645[[#This Row],[Column128]]="--",0,Table645[[#This Row],[Column4]]*Table645[[#This Row],[Column128]])</f>
        <v>0</v>
      </c>
      <c r="EE127" s="89">
        <f>IF(Table645[[#This Row],[Column128]]="--",0,Table645[[#This Row],[Column4]]*Table645[[#This Row],[Column128]])</f>
        <v>0</v>
      </c>
      <c r="EG127" s="89">
        <f>IF(Table645[[#This Row],[Column128]]="--",0,Table645[[#This Row],[Column4]]*Table645[[#This Row],[Column128]])</f>
        <v>0</v>
      </c>
      <c r="EI127" s="89">
        <f>IF(Table645[[#This Row],[Column128]]="--",0,Table645[[#This Row],[Column4]]*Table645[[#This Row],[Column128]])</f>
        <v>0</v>
      </c>
    </row>
    <row r="128" spans="1:139" x14ac:dyDescent="0.25">
      <c r="A128" s="140"/>
      <c r="B128" s="79"/>
      <c r="C128" s="140"/>
      <c r="D128" s="167"/>
      <c r="E128" s="52"/>
      <c r="F128" s="81"/>
      <c r="G128" s="81"/>
      <c r="H128" s="102" t="str">
        <f t="shared" si="96"/>
        <v>--</v>
      </c>
      <c r="I128" s="100">
        <f>IF(Table645[[#This Row],[Column8]]="--",0,Table645[[#This Row],[Column4]]*Table645[[#This Row],[Column8]])</f>
        <v>0</v>
      </c>
      <c r="J128" s="169"/>
      <c r="K128" s="85">
        <f>Table645[[#This Row],[Column4]]*Table645[[#This Row],[Column10]]</f>
        <v>0</v>
      </c>
      <c r="L128" s="170" t="str">
        <f t="shared" si="97"/>
        <v>--</v>
      </c>
      <c r="M128" s="214">
        <f>IF(Table645[[#This Row],[Column10]]=0,0,Table645[[#This Row],[Column4]]*Table645[[#This Row],[Column12]])</f>
        <v>0</v>
      </c>
      <c r="N128" s="87" t="str">
        <f t="shared" si="98"/>
        <v>--</v>
      </c>
      <c r="O128" s="138"/>
      <c r="AZ128" s="89">
        <f>IF(Table645[[#This Row],[Column14]]="--",0,Table645[[#This Row],[Column4]]*Table645[[#This Row],[Column14]])</f>
        <v>0</v>
      </c>
      <c r="BA128" s="90"/>
      <c r="BB128" s="91" t="str">
        <f>IF(BA128=0,"--",BA128*$BA$3*IF(Table645[[#This Row],[Column5]]&lt;4.1,1,2)/60/24)</f>
        <v>--</v>
      </c>
      <c r="BC128" s="92">
        <f>IF(Table645[[#This Row],[Column54]]="--",0,Table645[[#This Row],[Column4]]*Table645[[#This Row],[Column54]])</f>
        <v>0</v>
      </c>
      <c r="BD128" s="119"/>
      <c r="BE128" s="119"/>
      <c r="BF128" s="119"/>
      <c r="BG128" s="91" t="str">
        <f>IF(BD128+Table645[[#This Row],[Column58]]=0,"--",(BD128*$BF$3*Table645[[#This Row],[Column57]]+Table645[[#This Row],[Column58]]*$BF$4)/60/24)</f>
        <v>--</v>
      </c>
      <c r="BH128" s="92">
        <f>IF(Table645[[#This Row],[Column59]]="--",0,Table645[[#This Row],[Column4]]*Table645[[#This Row],[Column59]])</f>
        <v>0</v>
      </c>
      <c r="BI128" s="119"/>
      <c r="BJ128" s="91" t="str">
        <f t="shared" si="84"/>
        <v>--</v>
      </c>
      <c r="BK128" s="92">
        <f>IF(Table645[[#This Row],[Column62]]="--",0,Table645[[#This Row],[Column4]]*Table645[[#This Row],[Column62]])</f>
        <v>0</v>
      </c>
      <c r="BL128" s="93"/>
      <c r="BM128" s="91" t="str">
        <f t="shared" si="99"/>
        <v>--</v>
      </c>
      <c r="BN128" s="89">
        <f>IF(Table645[[#This Row],[Column65]]="--",0,Table645[[#This Row],[Column4]]*Table645[[#This Row],[Column65]])</f>
        <v>0</v>
      </c>
      <c r="BO128" s="163"/>
      <c r="BP128" s="164" t="str">
        <f t="shared" si="100"/>
        <v>--</v>
      </c>
      <c r="BQ128" s="160">
        <f>IF(Table645[[#This Row],[Column68]]="--",0,Table645[[#This Row],[Column4]]*Table645[[#This Row],[Column68]])</f>
        <v>0</v>
      </c>
      <c r="BR128" s="94"/>
      <c r="BS128" s="91" t="str">
        <f t="shared" si="101"/>
        <v>--</v>
      </c>
      <c r="BT128" s="92">
        <f>IF(Table645[[#This Row],[Column71]]="--",0,Table645[[#This Row],[Column4]]*Table645[[#This Row],[Column71]])</f>
        <v>0</v>
      </c>
      <c r="BU128" s="44"/>
      <c r="BV128" s="90"/>
      <c r="BW128" s="91" t="str">
        <f>IF(BV128=0,"--",(Table645[[#This Row],[Column73]]*$BV$4*(IF(J128&lt;0.5001,1,IF(J128&lt;2.0001,2,3)))+BV128/$BV$3)/60/24)</f>
        <v>--</v>
      </c>
      <c r="BX128" s="92">
        <f>IF(Table645[[#This Row],[Column75]]="--",0,Table645[[#This Row],[Column4]]*Table645[[#This Row],[Column75]])</f>
        <v>0</v>
      </c>
      <c r="BY128" s="95" t="s">
        <v>70</v>
      </c>
      <c r="BZ128" s="91" t="str">
        <f>IF(Table645[[#This Row],[Column74]]=0,"--",BW128*$BY$3)</f>
        <v>--</v>
      </c>
      <c r="CA128" s="89">
        <f>IF(Table645[[#This Row],[Column78]]="--",0,Table645[[#This Row],[Column4]]*Table645[[#This Row],[Column78]])</f>
        <v>0</v>
      </c>
      <c r="CB128" s="95" t="s">
        <v>70</v>
      </c>
      <c r="CC128" s="91" t="str">
        <f>IF(Table645[[#This Row],[Column10]]+Table645[[#This Row],[Column74]]=0,"--",J128*$CB$4*$CB$5/(24*60)+IF(Table645[[#This Row],[Column74]]=0,0,$CB$3*Table645[[#This Row],[Column75]]))</f>
        <v>--</v>
      </c>
      <c r="CD128" s="92">
        <f>IF(Table645[[#This Row],[Column81]]="--",0,Table645[[#This Row],[Column4]]*Table645[[#This Row],[Column81]])</f>
        <v>0</v>
      </c>
      <c r="CE128" s="215"/>
      <c r="CF128" s="91" t="str">
        <f t="shared" si="85"/>
        <v>--</v>
      </c>
      <c r="CG128" s="92">
        <f>IF(Table645[[#This Row],[Column84]]="--",0,Table645[[#This Row],[Column4]]*Table645[[#This Row],[Column84]])</f>
        <v>0</v>
      </c>
      <c r="CH128" s="226"/>
      <c r="CI128" s="216"/>
      <c r="CJ128" s="91" t="str">
        <f>IF(CI128=0,"--",(Table645[[#This Row],[Column86]]*$CI$4*(IF(W128&lt;0.5001,1,IF(W128&lt;2.0001,2,3)))+CI128/$CI$3)/60/24)</f>
        <v>--</v>
      </c>
      <c r="CK128" s="92">
        <f>IF(Table645[[#This Row],[Column88]]="--",0,Table645[[#This Row],[Column4]]*Table645[[#This Row],[Column88]])</f>
        <v>0</v>
      </c>
      <c r="CL128" s="217"/>
      <c r="CM128" s="91" t="str">
        <f>IF(Table645[[#This Row],[Column87]]=0,"--",CJ128*$CL$3)</f>
        <v>--</v>
      </c>
      <c r="CN128" s="92">
        <f>IF(Table645[[#This Row],[Column91]]="--",0,Table645[[#This Row],[Column4]]*Table645[[#This Row],[Column91]])</f>
        <v>0</v>
      </c>
      <c r="CO128" s="217"/>
      <c r="CP128" s="91" t="str">
        <f>IF(Table645[[#This Row],[Column10]]+Table645[[#This Row],[Column87]]=0, "--", IF($D128="", 1, $D128) * IF($J128="", 1, $J128) * $CO$3 * $CO$4 * IF(Table645[[#This Row],[Column95]]="", 1, Table645[[#This Row],[Column95]]) / (24 * 60))</f>
        <v>--</v>
      </c>
      <c r="CQ128" s="164"/>
      <c r="CR128" s="92">
        <f>IF(Table645[[#This Row],[Column94]]="--",0,Table645[[#This Row],[Column4]]*Table645[[#This Row],[Column94]])</f>
        <v>0</v>
      </c>
      <c r="CS128" s="218" t="str">
        <f>IF(Table645[[#This Row],[Column87]]="","",Table645[[#This Row],[Column87]])</f>
        <v/>
      </c>
      <c r="CT128" s="91" t="str">
        <f>IF(Table645[[#This Row],[Column97]]="","--",Table645[[#This Row],[Column97]]/$CS$3/60/24)</f>
        <v>--</v>
      </c>
      <c r="CU128" s="92">
        <f>IF(Table645[[#This Row],[Column98]]="--",0,Table645[[#This Row],[Column4]]*Table645[[#This Row],[Column98]])</f>
        <v>0</v>
      </c>
      <c r="CV128" s="93"/>
      <c r="CW128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28" s="91" t="str">
        <f>IF(OR(Table645[[#This Row],[Column74]]&gt;0,Table645[[#This Row],[Column87]]&gt;0),(Table645[[#This Row],[Column73]]+Table645[[#This Row],[Column86]]+1)*$CW$3/60/24,"--")</f>
        <v>--</v>
      </c>
      <c r="CY128" s="92">
        <f>IF(Table645[[#This Row],[Column102]]="--",0,Table645[[#This Row],[Column4]]*Table645[[#This Row],[Column102]])</f>
        <v>0</v>
      </c>
      <c r="CZ128" s="158" t="str">
        <f t="shared" si="102"/>
        <v>--</v>
      </c>
      <c r="DA128" s="153"/>
      <c r="DB128" s="160">
        <f>IF(Table645[[#This Row],[Column104]]="--",0,Table645[[#This Row],[Column4]]*Table645[[#This Row],[Column104]])</f>
        <v>0</v>
      </c>
      <c r="DC128" s="219"/>
      <c r="DD128" s="220" t="str">
        <f>IF(DC128=0,"--",1/$DC$3*1000/(60*60*24)*Table645[[#This Row],[Column107]])</f>
        <v>--</v>
      </c>
      <c r="DE128" s="160">
        <f>IF(Table645[[#This Row],[Column108]]="--",0,Table645[[#This Row],[Column4]]*Table645[[#This Row],[Column108]])</f>
        <v>0</v>
      </c>
      <c r="DF128" s="101" t="s">
        <v>70</v>
      </c>
      <c r="DG128" s="91" t="str">
        <f t="shared" si="103"/>
        <v>--</v>
      </c>
      <c r="DH128" s="89">
        <f>IF(Table645[[#This Row],[Column111]]="--",0,Table645[[#This Row],[Column4]]*Table645[[#This Row],[Column111]])</f>
        <v>0</v>
      </c>
      <c r="DI128" s="96"/>
      <c r="DJ128" s="96"/>
      <c r="DK128" s="96"/>
      <c r="DL128" s="96"/>
      <c r="DM128" s="96"/>
      <c r="DN128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28" s="89">
        <f>IF(Table645[[#This Row],[Column118]]="--",0,Table645[[#This Row],[Column4]]*Table645[[#This Row],[Column118]])</f>
        <v>0</v>
      </c>
      <c r="DP128" s="96"/>
      <c r="DQ128" s="96"/>
      <c r="DR128" s="91" t="str">
        <f t="shared" si="104"/>
        <v>--</v>
      </c>
      <c r="DS128" s="89">
        <f>IF(Table645[[#This Row],[Column122]]="--",0,Table645[[#This Row],[Column4]]*Table645[[#This Row],[Column122]])</f>
        <v>0</v>
      </c>
      <c r="DT128" t="str">
        <f>IF(Table645[[#This Row],[Column125]]=0,"--",Table645[[#This Row],[Column125]]*Table645[[#This Row],[Column126]]*Table645[[#This Row],[Column127]]/1000000000)</f>
        <v>--</v>
      </c>
      <c r="DU128" s="53"/>
      <c r="DV128" s="53"/>
      <c r="DW128" s="53"/>
      <c r="DX128" s="91" t="str">
        <f t="shared" si="105"/>
        <v>--</v>
      </c>
      <c r="DY128" s="89">
        <f>IF(Table645[[#This Row],[Column128]]="--",0,Table645[[#This Row],[Column4]]*Table645[[#This Row],[Column128]])</f>
        <v>0</v>
      </c>
      <c r="EA128" s="89">
        <f>IF(Table645[[#This Row],[Column128]]="--",0,Table645[[#This Row],[Column4]]*Table645[[#This Row],[Column128]])</f>
        <v>0</v>
      </c>
      <c r="EC128" s="89">
        <f>IF(Table645[[#This Row],[Column128]]="--",0,Table645[[#This Row],[Column4]]*Table645[[#This Row],[Column128]])</f>
        <v>0</v>
      </c>
      <c r="EE128" s="89">
        <f>IF(Table645[[#This Row],[Column128]]="--",0,Table645[[#This Row],[Column4]]*Table645[[#This Row],[Column128]])</f>
        <v>0</v>
      </c>
      <c r="EG128" s="89">
        <f>IF(Table645[[#This Row],[Column128]]="--",0,Table645[[#This Row],[Column4]]*Table645[[#This Row],[Column128]])</f>
        <v>0</v>
      </c>
      <c r="EI128" s="89">
        <f>IF(Table645[[#This Row],[Column128]]="--",0,Table645[[#This Row],[Column4]]*Table645[[#This Row],[Column128]])</f>
        <v>0</v>
      </c>
    </row>
    <row r="129" spans="1:139" x14ac:dyDescent="0.25">
      <c r="A129" s="140"/>
      <c r="B129" s="79"/>
      <c r="C129" s="140"/>
      <c r="D129" s="167"/>
      <c r="E129" s="52"/>
      <c r="F129" s="81"/>
      <c r="G129" s="81"/>
      <c r="H129" s="102" t="str">
        <f t="shared" si="96"/>
        <v>--</v>
      </c>
      <c r="I129" s="100">
        <f>IF(Table645[[#This Row],[Column8]]="--",0,Table645[[#This Row],[Column4]]*Table645[[#This Row],[Column8]])</f>
        <v>0</v>
      </c>
      <c r="J129" s="169"/>
      <c r="K129" s="85">
        <f>Table645[[#This Row],[Column4]]*Table645[[#This Row],[Column10]]</f>
        <v>0</v>
      </c>
      <c r="L129" s="170" t="str">
        <f t="shared" si="97"/>
        <v>--</v>
      </c>
      <c r="M129" s="214">
        <f>IF(Table645[[#This Row],[Column10]]=0,0,Table645[[#This Row],[Column4]]*Table645[[#This Row],[Column12]])</f>
        <v>0</v>
      </c>
      <c r="N129" s="87" t="str">
        <f t="shared" si="98"/>
        <v>--</v>
      </c>
      <c r="O129" s="138"/>
      <c r="AZ129" s="89">
        <f>IF(Table645[[#This Row],[Column14]]="--",0,Table645[[#This Row],[Column4]]*Table645[[#This Row],[Column14]])</f>
        <v>0</v>
      </c>
      <c r="BA129" s="90"/>
      <c r="BB129" s="91" t="str">
        <f>IF(BA129=0,"--",BA129*$BA$3*IF(Table645[[#This Row],[Column5]]&lt;4.1,1,2)/60/24)</f>
        <v>--</v>
      </c>
      <c r="BC129" s="92">
        <f>IF(Table645[[#This Row],[Column54]]="--",0,Table645[[#This Row],[Column4]]*Table645[[#This Row],[Column54]])</f>
        <v>0</v>
      </c>
      <c r="BD129" s="119"/>
      <c r="BE129" s="119"/>
      <c r="BF129" s="119"/>
      <c r="BG129" s="91" t="str">
        <f>IF(BD129+Table645[[#This Row],[Column58]]=0,"--",(BD129*$BF$3*Table645[[#This Row],[Column57]]+Table645[[#This Row],[Column58]]*$BF$4)/60/24)</f>
        <v>--</v>
      </c>
      <c r="BH129" s="92">
        <f>IF(Table645[[#This Row],[Column59]]="--",0,Table645[[#This Row],[Column4]]*Table645[[#This Row],[Column59]])</f>
        <v>0</v>
      </c>
      <c r="BI129" s="119"/>
      <c r="BJ129" s="91" t="str">
        <f t="shared" si="84"/>
        <v>--</v>
      </c>
      <c r="BK129" s="92">
        <f>IF(Table645[[#This Row],[Column62]]="--",0,Table645[[#This Row],[Column4]]*Table645[[#This Row],[Column62]])</f>
        <v>0</v>
      </c>
      <c r="BL129" s="93"/>
      <c r="BM129" s="91" t="str">
        <f t="shared" si="99"/>
        <v>--</v>
      </c>
      <c r="BN129" s="89">
        <f>IF(Table645[[#This Row],[Column65]]="--",0,Table645[[#This Row],[Column4]]*Table645[[#This Row],[Column65]])</f>
        <v>0</v>
      </c>
      <c r="BO129" s="163"/>
      <c r="BP129" s="164" t="str">
        <f t="shared" si="100"/>
        <v>--</v>
      </c>
      <c r="BQ129" s="160">
        <f>IF(Table645[[#This Row],[Column68]]="--",0,Table645[[#This Row],[Column4]]*Table645[[#This Row],[Column68]])</f>
        <v>0</v>
      </c>
      <c r="BR129" s="94"/>
      <c r="BS129" s="91" t="str">
        <f t="shared" si="101"/>
        <v>--</v>
      </c>
      <c r="BT129" s="92">
        <f>IF(Table645[[#This Row],[Column71]]="--",0,Table645[[#This Row],[Column4]]*Table645[[#This Row],[Column71]])</f>
        <v>0</v>
      </c>
      <c r="BU129" s="44"/>
      <c r="BV129" s="90"/>
      <c r="BW129" s="91" t="str">
        <f>IF(BV129=0,"--",(Table645[[#This Row],[Column73]]*$BV$4*(IF(J129&lt;0.5001,1,IF(J129&lt;2.0001,2,3)))+BV129/$BV$3)/60/24)</f>
        <v>--</v>
      </c>
      <c r="BX129" s="92">
        <f>IF(Table645[[#This Row],[Column75]]="--",0,Table645[[#This Row],[Column4]]*Table645[[#This Row],[Column75]])</f>
        <v>0</v>
      </c>
      <c r="BY129" s="95" t="s">
        <v>70</v>
      </c>
      <c r="BZ129" s="91" t="str">
        <f>IF(Table645[[#This Row],[Column74]]=0,"--",BW129*$BY$3)</f>
        <v>--</v>
      </c>
      <c r="CA129" s="89">
        <f>IF(Table645[[#This Row],[Column78]]="--",0,Table645[[#This Row],[Column4]]*Table645[[#This Row],[Column78]])</f>
        <v>0</v>
      </c>
      <c r="CB129" s="95" t="s">
        <v>70</v>
      </c>
      <c r="CC129" s="91" t="str">
        <f>IF(Table645[[#This Row],[Column10]]+Table645[[#This Row],[Column74]]=0,"--",J129*$CB$4*$CB$5/(24*60)+IF(Table645[[#This Row],[Column74]]=0,0,$CB$3*Table645[[#This Row],[Column75]]))</f>
        <v>--</v>
      </c>
      <c r="CD129" s="92">
        <f>IF(Table645[[#This Row],[Column81]]="--",0,Table645[[#This Row],[Column4]]*Table645[[#This Row],[Column81]])</f>
        <v>0</v>
      </c>
      <c r="CE129" s="215"/>
      <c r="CF129" s="91" t="str">
        <f t="shared" si="85"/>
        <v>--</v>
      </c>
      <c r="CG129" s="92">
        <f>IF(Table645[[#This Row],[Column84]]="--",0,Table645[[#This Row],[Column4]]*Table645[[#This Row],[Column84]])</f>
        <v>0</v>
      </c>
      <c r="CH129" s="226"/>
      <c r="CI129" s="216"/>
      <c r="CJ129" s="91" t="str">
        <f>IF(CI129=0,"--",(Table645[[#This Row],[Column86]]*$CI$4*(IF(W129&lt;0.5001,1,IF(W129&lt;2.0001,2,3)))+CI129/$CI$3)/60/24)</f>
        <v>--</v>
      </c>
      <c r="CK129" s="92">
        <f>IF(Table645[[#This Row],[Column88]]="--",0,Table645[[#This Row],[Column4]]*Table645[[#This Row],[Column88]])</f>
        <v>0</v>
      </c>
      <c r="CL129" s="217"/>
      <c r="CM129" s="91" t="str">
        <f>IF(Table645[[#This Row],[Column87]]=0,"--",CJ129*$CL$3)</f>
        <v>--</v>
      </c>
      <c r="CN129" s="92">
        <f>IF(Table645[[#This Row],[Column91]]="--",0,Table645[[#This Row],[Column4]]*Table645[[#This Row],[Column91]])</f>
        <v>0</v>
      </c>
      <c r="CO129" s="217"/>
      <c r="CP129" s="91" t="str">
        <f>IF(Table645[[#This Row],[Column10]]+Table645[[#This Row],[Column87]]=0, "--", IF($D129="", 1, $D129) * IF($J129="", 1, $J129) * $CO$3 * $CO$4 * IF(Table645[[#This Row],[Column95]]="", 1, Table645[[#This Row],[Column95]]) / (24 * 60))</f>
        <v>--</v>
      </c>
      <c r="CQ129" s="164"/>
      <c r="CR129" s="92">
        <f>IF(Table645[[#This Row],[Column94]]="--",0,Table645[[#This Row],[Column4]]*Table645[[#This Row],[Column94]])</f>
        <v>0</v>
      </c>
      <c r="CS129" s="218" t="str">
        <f>IF(Table645[[#This Row],[Column87]]="","",Table645[[#This Row],[Column87]])</f>
        <v/>
      </c>
      <c r="CT129" s="91" t="str">
        <f>IF(Table645[[#This Row],[Column97]]="","--",Table645[[#This Row],[Column97]]/$CS$3/60/24)</f>
        <v>--</v>
      </c>
      <c r="CU129" s="92">
        <f>IF(Table645[[#This Row],[Column98]]="--",0,Table645[[#This Row],[Column4]]*Table645[[#This Row],[Column98]])</f>
        <v>0</v>
      </c>
      <c r="CV129" s="93"/>
      <c r="CW129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29" s="91" t="str">
        <f>IF(OR(Table645[[#This Row],[Column74]]&gt;0,Table645[[#This Row],[Column87]]&gt;0),(Table645[[#This Row],[Column73]]+Table645[[#This Row],[Column86]]+1)*$CW$3/60/24,"--")</f>
        <v>--</v>
      </c>
      <c r="CY129" s="92">
        <f>IF(Table645[[#This Row],[Column102]]="--",0,Table645[[#This Row],[Column4]]*Table645[[#This Row],[Column102]])</f>
        <v>0</v>
      </c>
      <c r="CZ129" s="158" t="str">
        <f t="shared" si="102"/>
        <v>--</v>
      </c>
      <c r="DA129" s="153"/>
      <c r="DB129" s="160">
        <f>IF(Table645[[#This Row],[Column104]]="--",0,Table645[[#This Row],[Column4]]*Table645[[#This Row],[Column104]])</f>
        <v>0</v>
      </c>
      <c r="DC129" s="219"/>
      <c r="DD129" s="220" t="str">
        <f>IF(DC129=0,"--",1/$DC$3*1000/(60*60*24)*Table645[[#This Row],[Column107]])</f>
        <v>--</v>
      </c>
      <c r="DE129" s="160">
        <f>IF(Table645[[#This Row],[Column108]]="--",0,Table645[[#This Row],[Column4]]*Table645[[#This Row],[Column108]])</f>
        <v>0</v>
      </c>
      <c r="DF129" s="101" t="s">
        <v>70</v>
      </c>
      <c r="DG129" s="91" t="str">
        <f t="shared" si="103"/>
        <v>--</v>
      </c>
      <c r="DH129" s="89">
        <f>IF(Table645[[#This Row],[Column111]]="--",0,Table645[[#This Row],[Column4]]*Table645[[#This Row],[Column111]])</f>
        <v>0</v>
      </c>
      <c r="DI129" s="96"/>
      <c r="DJ129" s="96"/>
      <c r="DK129" s="96"/>
      <c r="DL129" s="96"/>
      <c r="DM129" s="96"/>
      <c r="DN129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29" s="89">
        <f>IF(Table645[[#This Row],[Column118]]="--",0,Table645[[#This Row],[Column4]]*Table645[[#This Row],[Column118]])</f>
        <v>0</v>
      </c>
      <c r="DP129" s="96"/>
      <c r="DQ129" s="96"/>
      <c r="DR129" s="91" t="str">
        <f t="shared" si="104"/>
        <v>--</v>
      </c>
      <c r="DS129" s="89">
        <f>IF(Table645[[#This Row],[Column122]]="--",0,Table645[[#This Row],[Column4]]*Table645[[#This Row],[Column122]])</f>
        <v>0</v>
      </c>
      <c r="DT129" t="str">
        <f>IF(Table645[[#This Row],[Column125]]=0,"--",Table645[[#This Row],[Column125]]*Table645[[#This Row],[Column126]]*Table645[[#This Row],[Column127]]/1000000000)</f>
        <v>--</v>
      </c>
      <c r="DU129" s="53"/>
      <c r="DV129" s="53"/>
      <c r="DW129" s="53"/>
      <c r="DX129" s="91" t="str">
        <f t="shared" si="105"/>
        <v>--</v>
      </c>
      <c r="DY129" s="89">
        <f>IF(Table645[[#This Row],[Column128]]="--",0,Table645[[#This Row],[Column4]]*Table645[[#This Row],[Column128]])</f>
        <v>0</v>
      </c>
      <c r="EA129" s="89">
        <f>IF(Table645[[#This Row],[Column128]]="--",0,Table645[[#This Row],[Column4]]*Table645[[#This Row],[Column128]])</f>
        <v>0</v>
      </c>
      <c r="EC129" s="89">
        <f>IF(Table645[[#This Row],[Column128]]="--",0,Table645[[#This Row],[Column4]]*Table645[[#This Row],[Column128]])</f>
        <v>0</v>
      </c>
      <c r="EE129" s="89">
        <f>IF(Table645[[#This Row],[Column128]]="--",0,Table645[[#This Row],[Column4]]*Table645[[#This Row],[Column128]])</f>
        <v>0</v>
      </c>
      <c r="EG129" s="89">
        <f>IF(Table645[[#This Row],[Column128]]="--",0,Table645[[#This Row],[Column4]]*Table645[[#This Row],[Column128]])</f>
        <v>0</v>
      </c>
      <c r="EI129" s="89">
        <f>IF(Table645[[#This Row],[Column128]]="--",0,Table645[[#This Row],[Column4]]*Table645[[#This Row],[Column128]])</f>
        <v>0</v>
      </c>
    </row>
    <row r="130" spans="1:139" x14ac:dyDescent="0.25">
      <c r="A130" s="140"/>
      <c r="B130" s="79"/>
      <c r="C130" s="140"/>
      <c r="D130" s="167"/>
      <c r="E130" s="52"/>
      <c r="F130" s="81"/>
      <c r="G130" s="81"/>
      <c r="H130" s="102" t="str">
        <f t="shared" si="96"/>
        <v>--</v>
      </c>
      <c r="I130" s="100">
        <f>IF(Table645[[#This Row],[Column8]]="--",0,Table645[[#This Row],[Column4]]*Table645[[#This Row],[Column8]])</f>
        <v>0</v>
      </c>
      <c r="J130" s="169"/>
      <c r="K130" s="85">
        <f>Table645[[#This Row],[Column4]]*Table645[[#This Row],[Column10]]</f>
        <v>0</v>
      </c>
      <c r="L130" s="170" t="str">
        <f t="shared" si="97"/>
        <v>--</v>
      </c>
      <c r="M130" s="214">
        <f>IF(Table645[[#This Row],[Column10]]=0,0,Table645[[#This Row],[Column4]]*Table645[[#This Row],[Column12]])</f>
        <v>0</v>
      </c>
      <c r="N130" s="87" t="str">
        <f t="shared" si="98"/>
        <v>--</v>
      </c>
      <c r="O130" s="138"/>
      <c r="AZ130" s="89">
        <f>IF(Table645[[#This Row],[Column14]]="--",0,Table645[[#This Row],[Column4]]*Table645[[#This Row],[Column14]])</f>
        <v>0</v>
      </c>
      <c r="BA130" s="90"/>
      <c r="BB130" s="91" t="str">
        <f>IF(BA130=0,"--",BA130*$BA$3*IF(Table645[[#This Row],[Column5]]&lt;4.1,1,2)/60/24)</f>
        <v>--</v>
      </c>
      <c r="BC130" s="92">
        <f>IF(Table645[[#This Row],[Column54]]="--",0,Table645[[#This Row],[Column4]]*Table645[[#This Row],[Column54]])</f>
        <v>0</v>
      </c>
      <c r="BD130" s="119"/>
      <c r="BE130" s="119"/>
      <c r="BF130" s="119"/>
      <c r="BG130" s="91" t="str">
        <f>IF(BD130+Table645[[#This Row],[Column58]]=0,"--",(BD130*$BF$3*Table645[[#This Row],[Column57]]+Table645[[#This Row],[Column58]]*$BF$4)/60/24)</f>
        <v>--</v>
      </c>
      <c r="BH130" s="92">
        <f>IF(Table645[[#This Row],[Column59]]="--",0,Table645[[#This Row],[Column4]]*Table645[[#This Row],[Column59]])</f>
        <v>0</v>
      </c>
      <c r="BI130" s="119"/>
      <c r="BJ130" s="91" t="str">
        <f t="shared" si="84"/>
        <v>--</v>
      </c>
      <c r="BK130" s="92">
        <f>IF(Table645[[#This Row],[Column62]]="--",0,Table645[[#This Row],[Column4]]*Table645[[#This Row],[Column62]])</f>
        <v>0</v>
      </c>
      <c r="BL130" s="93"/>
      <c r="BM130" s="91" t="str">
        <f t="shared" si="99"/>
        <v>--</v>
      </c>
      <c r="BN130" s="89">
        <f>IF(Table645[[#This Row],[Column65]]="--",0,Table645[[#This Row],[Column4]]*Table645[[#This Row],[Column65]])</f>
        <v>0</v>
      </c>
      <c r="BO130" s="163"/>
      <c r="BP130" s="164" t="str">
        <f t="shared" si="100"/>
        <v>--</v>
      </c>
      <c r="BQ130" s="160">
        <f>IF(Table645[[#This Row],[Column68]]="--",0,Table645[[#This Row],[Column4]]*Table645[[#This Row],[Column68]])</f>
        <v>0</v>
      </c>
      <c r="BR130" s="94"/>
      <c r="BS130" s="91" t="str">
        <f t="shared" si="101"/>
        <v>--</v>
      </c>
      <c r="BT130" s="92">
        <f>IF(Table645[[#This Row],[Column71]]="--",0,Table645[[#This Row],[Column4]]*Table645[[#This Row],[Column71]])</f>
        <v>0</v>
      </c>
      <c r="BU130" s="44"/>
      <c r="BV130" s="90"/>
      <c r="BW130" s="91" t="str">
        <f>IF(BV130=0,"--",(Table645[[#This Row],[Column73]]*$BV$4*(IF(J130&lt;0.5001,1,IF(J130&lt;2.0001,2,3)))+BV130/$BV$3)/60/24)</f>
        <v>--</v>
      </c>
      <c r="BX130" s="92">
        <f>IF(Table645[[#This Row],[Column75]]="--",0,Table645[[#This Row],[Column4]]*Table645[[#This Row],[Column75]])</f>
        <v>0</v>
      </c>
      <c r="BY130" s="95" t="s">
        <v>70</v>
      </c>
      <c r="BZ130" s="91" t="str">
        <f>IF(Table645[[#This Row],[Column74]]=0,"--",BW130*$BY$3)</f>
        <v>--</v>
      </c>
      <c r="CA130" s="89">
        <f>IF(Table645[[#This Row],[Column78]]="--",0,Table645[[#This Row],[Column4]]*Table645[[#This Row],[Column78]])</f>
        <v>0</v>
      </c>
      <c r="CB130" s="95" t="s">
        <v>70</v>
      </c>
      <c r="CC130" s="91" t="str">
        <f>IF(Table645[[#This Row],[Column10]]+Table645[[#This Row],[Column74]]=0,"--",J130*$CB$4*$CB$5/(24*60)+IF(Table645[[#This Row],[Column74]]=0,0,$CB$3*Table645[[#This Row],[Column75]]))</f>
        <v>--</v>
      </c>
      <c r="CD130" s="92">
        <f>IF(Table645[[#This Row],[Column81]]="--",0,Table645[[#This Row],[Column4]]*Table645[[#This Row],[Column81]])</f>
        <v>0</v>
      </c>
      <c r="CE130" s="215"/>
      <c r="CF130" s="91" t="str">
        <f t="shared" si="85"/>
        <v>--</v>
      </c>
      <c r="CG130" s="92">
        <f>IF(Table645[[#This Row],[Column84]]="--",0,Table645[[#This Row],[Column4]]*Table645[[#This Row],[Column84]])</f>
        <v>0</v>
      </c>
      <c r="CH130" s="226"/>
      <c r="CI130" s="216"/>
      <c r="CJ130" s="91" t="str">
        <f>IF(CI130=0,"--",(Table645[[#This Row],[Column86]]*$CI$4*(IF(W130&lt;0.5001,1,IF(W130&lt;2.0001,2,3)))+CI130/$CI$3)/60/24)</f>
        <v>--</v>
      </c>
      <c r="CK130" s="92">
        <f>IF(Table645[[#This Row],[Column88]]="--",0,Table645[[#This Row],[Column4]]*Table645[[#This Row],[Column88]])</f>
        <v>0</v>
      </c>
      <c r="CL130" s="217"/>
      <c r="CM130" s="91" t="str">
        <f>IF(Table645[[#This Row],[Column87]]=0,"--",CJ130*$CL$3)</f>
        <v>--</v>
      </c>
      <c r="CN130" s="92">
        <f>IF(Table645[[#This Row],[Column91]]="--",0,Table645[[#This Row],[Column4]]*Table645[[#This Row],[Column91]])</f>
        <v>0</v>
      </c>
      <c r="CO130" s="217"/>
      <c r="CP130" s="91" t="str">
        <f>IF(Table645[[#This Row],[Column10]]+Table645[[#This Row],[Column87]]=0, "--", IF($D130="", 1, $D130) * IF($J130="", 1, $J130) * $CO$3 * $CO$4 * IF(Table645[[#This Row],[Column95]]="", 1, Table645[[#This Row],[Column95]]) / (24 * 60))</f>
        <v>--</v>
      </c>
      <c r="CQ130" s="164"/>
      <c r="CR130" s="92">
        <f>IF(Table645[[#This Row],[Column94]]="--",0,Table645[[#This Row],[Column4]]*Table645[[#This Row],[Column94]])</f>
        <v>0</v>
      </c>
      <c r="CS130" s="218" t="str">
        <f>IF(Table645[[#This Row],[Column87]]="","",Table645[[#This Row],[Column87]])</f>
        <v/>
      </c>
      <c r="CT130" s="91" t="str">
        <f>IF(Table645[[#This Row],[Column97]]="","--",Table645[[#This Row],[Column97]]/$CS$3/60/24)</f>
        <v>--</v>
      </c>
      <c r="CU130" s="92">
        <f>IF(Table645[[#This Row],[Column98]]="--",0,Table645[[#This Row],[Column4]]*Table645[[#This Row],[Column98]])</f>
        <v>0</v>
      </c>
      <c r="CV130" s="93"/>
      <c r="CW130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30" s="91" t="str">
        <f>IF(OR(Table645[[#This Row],[Column74]]&gt;0,Table645[[#This Row],[Column87]]&gt;0),(Table645[[#This Row],[Column73]]+Table645[[#This Row],[Column86]]+1)*$CW$3/60/24,"--")</f>
        <v>--</v>
      </c>
      <c r="CY130" s="92">
        <f>IF(Table645[[#This Row],[Column102]]="--",0,Table645[[#This Row],[Column4]]*Table645[[#This Row],[Column102]])</f>
        <v>0</v>
      </c>
      <c r="CZ130" s="158" t="str">
        <f t="shared" si="102"/>
        <v>--</v>
      </c>
      <c r="DA130" s="153"/>
      <c r="DB130" s="160">
        <f>IF(Table645[[#This Row],[Column104]]="--",0,Table645[[#This Row],[Column4]]*Table645[[#This Row],[Column104]])</f>
        <v>0</v>
      </c>
      <c r="DC130" s="219"/>
      <c r="DD130" s="220" t="str">
        <f>IF(DC130=0,"--",1/$DC$3*1000/(60*60*24)*Table645[[#This Row],[Column107]])</f>
        <v>--</v>
      </c>
      <c r="DE130" s="160">
        <f>IF(Table645[[#This Row],[Column108]]="--",0,Table645[[#This Row],[Column4]]*Table645[[#This Row],[Column108]])</f>
        <v>0</v>
      </c>
      <c r="DF130" s="101" t="s">
        <v>70</v>
      </c>
      <c r="DG130" s="91" t="str">
        <f t="shared" si="103"/>
        <v>--</v>
      </c>
      <c r="DH130" s="89">
        <f>IF(Table645[[#This Row],[Column111]]="--",0,Table645[[#This Row],[Column4]]*Table645[[#This Row],[Column111]])</f>
        <v>0</v>
      </c>
      <c r="DI130" s="96"/>
      <c r="DJ130" s="96"/>
      <c r="DK130" s="96"/>
      <c r="DL130" s="96"/>
      <c r="DM130" s="96"/>
      <c r="DN130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30" s="89">
        <f>IF(Table645[[#This Row],[Column118]]="--",0,Table645[[#This Row],[Column4]]*Table645[[#This Row],[Column118]])</f>
        <v>0</v>
      </c>
      <c r="DP130" s="96"/>
      <c r="DQ130" s="96"/>
      <c r="DR130" s="91" t="str">
        <f t="shared" si="104"/>
        <v>--</v>
      </c>
      <c r="DS130" s="89">
        <f>IF(Table645[[#This Row],[Column122]]="--",0,Table645[[#This Row],[Column4]]*Table645[[#This Row],[Column122]])</f>
        <v>0</v>
      </c>
      <c r="DT130" t="str">
        <f>IF(Table645[[#This Row],[Column125]]=0,"--",Table645[[#This Row],[Column125]]*Table645[[#This Row],[Column126]]*Table645[[#This Row],[Column127]]/1000000000)</f>
        <v>--</v>
      </c>
      <c r="DU130" s="53"/>
      <c r="DV130" s="53"/>
      <c r="DW130" s="53"/>
      <c r="DX130" s="91" t="str">
        <f t="shared" si="105"/>
        <v>--</v>
      </c>
      <c r="DY130" s="89">
        <f>IF(Table645[[#This Row],[Column128]]="--",0,Table645[[#This Row],[Column4]]*Table645[[#This Row],[Column128]])</f>
        <v>0</v>
      </c>
      <c r="EA130" s="89">
        <f>IF(Table645[[#This Row],[Column128]]="--",0,Table645[[#This Row],[Column4]]*Table645[[#This Row],[Column128]])</f>
        <v>0</v>
      </c>
      <c r="EC130" s="89">
        <f>IF(Table645[[#This Row],[Column128]]="--",0,Table645[[#This Row],[Column4]]*Table645[[#This Row],[Column128]])</f>
        <v>0</v>
      </c>
      <c r="EE130" s="89">
        <f>IF(Table645[[#This Row],[Column128]]="--",0,Table645[[#This Row],[Column4]]*Table645[[#This Row],[Column128]])</f>
        <v>0</v>
      </c>
      <c r="EG130" s="89">
        <f>IF(Table645[[#This Row],[Column128]]="--",0,Table645[[#This Row],[Column4]]*Table645[[#This Row],[Column128]])</f>
        <v>0</v>
      </c>
      <c r="EI130" s="89">
        <f>IF(Table645[[#This Row],[Column128]]="--",0,Table645[[#This Row],[Column4]]*Table645[[#This Row],[Column128]])</f>
        <v>0</v>
      </c>
    </row>
    <row r="131" spans="1:139" x14ac:dyDescent="0.25">
      <c r="A131" s="140"/>
      <c r="B131" s="79"/>
      <c r="C131" s="140"/>
      <c r="D131" s="167"/>
      <c r="E131" s="52"/>
      <c r="F131" s="81"/>
      <c r="G131" s="81"/>
      <c r="H131" s="102" t="str">
        <f t="shared" si="96"/>
        <v>--</v>
      </c>
      <c r="I131" s="100">
        <f>IF(Table645[[#This Row],[Column8]]="--",0,Table645[[#This Row],[Column4]]*Table645[[#This Row],[Column8]])</f>
        <v>0</v>
      </c>
      <c r="J131" s="169"/>
      <c r="K131" s="85">
        <f>Table645[[#This Row],[Column4]]*Table645[[#This Row],[Column10]]</f>
        <v>0</v>
      </c>
      <c r="L131" s="170" t="str">
        <f t="shared" si="97"/>
        <v>--</v>
      </c>
      <c r="M131" s="214">
        <f>IF(Table645[[#This Row],[Column10]]=0,0,Table645[[#This Row],[Column4]]*Table645[[#This Row],[Column12]])</f>
        <v>0</v>
      </c>
      <c r="N131" s="87" t="str">
        <f t="shared" si="98"/>
        <v>--</v>
      </c>
      <c r="O131" s="138"/>
      <c r="AZ131" s="89">
        <f>IF(Table645[[#This Row],[Column14]]="--",0,Table645[[#This Row],[Column4]]*Table645[[#This Row],[Column14]])</f>
        <v>0</v>
      </c>
      <c r="BA131" s="90"/>
      <c r="BB131" s="91" t="str">
        <f>IF(BA131=0,"--",BA131*$BA$3*IF(Table645[[#This Row],[Column5]]&lt;4.1,1,2)/60/24)</f>
        <v>--</v>
      </c>
      <c r="BC131" s="92">
        <f>IF(Table645[[#This Row],[Column54]]="--",0,Table645[[#This Row],[Column4]]*Table645[[#This Row],[Column54]])</f>
        <v>0</v>
      </c>
      <c r="BD131" s="119"/>
      <c r="BE131" s="119"/>
      <c r="BF131" s="119"/>
      <c r="BG131" s="91" t="str">
        <f>IF(BD131+Table645[[#This Row],[Column58]]=0,"--",(BD131*$BF$3*Table645[[#This Row],[Column57]]+Table645[[#This Row],[Column58]]*$BF$4)/60/24)</f>
        <v>--</v>
      </c>
      <c r="BH131" s="92">
        <f>IF(Table645[[#This Row],[Column59]]="--",0,Table645[[#This Row],[Column4]]*Table645[[#This Row],[Column59]])</f>
        <v>0</v>
      </c>
      <c r="BI131" s="119"/>
      <c r="BJ131" s="91" t="str">
        <f t="shared" si="84"/>
        <v>--</v>
      </c>
      <c r="BK131" s="92">
        <f>IF(Table645[[#This Row],[Column62]]="--",0,Table645[[#This Row],[Column4]]*Table645[[#This Row],[Column62]])</f>
        <v>0</v>
      </c>
      <c r="BL131" s="93"/>
      <c r="BM131" s="91" t="str">
        <f t="shared" si="99"/>
        <v>--</v>
      </c>
      <c r="BN131" s="89">
        <f>IF(Table645[[#This Row],[Column65]]="--",0,Table645[[#This Row],[Column4]]*Table645[[#This Row],[Column65]])</f>
        <v>0</v>
      </c>
      <c r="BO131" s="163"/>
      <c r="BP131" s="164" t="str">
        <f t="shared" si="100"/>
        <v>--</v>
      </c>
      <c r="BQ131" s="160">
        <f>IF(Table645[[#This Row],[Column68]]="--",0,Table645[[#This Row],[Column4]]*Table645[[#This Row],[Column68]])</f>
        <v>0</v>
      </c>
      <c r="BR131" s="94"/>
      <c r="BS131" s="91" t="str">
        <f t="shared" si="101"/>
        <v>--</v>
      </c>
      <c r="BT131" s="92">
        <f>IF(Table645[[#This Row],[Column71]]="--",0,Table645[[#This Row],[Column4]]*Table645[[#This Row],[Column71]])</f>
        <v>0</v>
      </c>
      <c r="BU131" s="44"/>
      <c r="BV131" s="90"/>
      <c r="BW131" s="91" t="str">
        <f>IF(BV131=0,"--",(Table645[[#This Row],[Column73]]*$BV$4*(IF(J131&lt;0.5001,1,IF(J131&lt;2.0001,2,3)))+BV131/$BV$3)/60/24)</f>
        <v>--</v>
      </c>
      <c r="BX131" s="92">
        <f>IF(Table645[[#This Row],[Column75]]="--",0,Table645[[#This Row],[Column4]]*Table645[[#This Row],[Column75]])</f>
        <v>0</v>
      </c>
      <c r="BY131" s="95" t="s">
        <v>70</v>
      </c>
      <c r="BZ131" s="91" t="str">
        <f>IF(Table645[[#This Row],[Column74]]=0,"--",BW131*$BY$3)</f>
        <v>--</v>
      </c>
      <c r="CA131" s="89">
        <f>IF(Table645[[#This Row],[Column78]]="--",0,Table645[[#This Row],[Column4]]*Table645[[#This Row],[Column78]])</f>
        <v>0</v>
      </c>
      <c r="CB131" s="95" t="s">
        <v>70</v>
      </c>
      <c r="CC131" s="91" t="str">
        <f>IF(Table645[[#This Row],[Column10]]+Table645[[#This Row],[Column74]]=0,"--",J131*$CB$4*$CB$5/(24*60)+IF(Table645[[#This Row],[Column74]]=0,0,$CB$3*Table645[[#This Row],[Column75]]))</f>
        <v>--</v>
      </c>
      <c r="CD131" s="92">
        <f>IF(Table645[[#This Row],[Column81]]="--",0,Table645[[#This Row],[Column4]]*Table645[[#This Row],[Column81]])</f>
        <v>0</v>
      </c>
      <c r="CE131" s="215"/>
      <c r="CF131" s="91" t="str">
        <f t="shared" si="85"/>
        <v>--</v>
      </c>
      <c r="CG131" s="92">
        <f>IF(Table645[[#This Row],[Column84]]="--",0,Table645[[#This Row],[Column4]]*Table645[[#This Row],[Column84]])</f>
        <v>0</v>
      </c>
      <c r="CH131" s="226"/>
      <c r="CI131" s="216"/>
      <c r="CJ131" s="91" t="str">
        <f>IF(CI131=0,"--",(Table645[[#This Row],[Column86]]*$CI$4*(IF(W131&lt;0.5001,1,IF(W131&lt;2.0001,2,3)))+CI131/$CI$3)/60/24)</f>
        <v>--</v>
      </c>
      <c r="CK131" s="92">
        <f>IF(Table645[[#This Row],[Column88]]="--",0,Table645[[#This Row],[Column4]]*Table645[[#This Row],[Column88]])</f>
        <v>0</v>
      </c>
      <c r="CL131" s="217"/>
      <c r="CM131" s="91" t="str">
        <f>IF(Table645[[#This Row],[Column87]]=0,"--",CJ131*$CL$3)</f>
        <v>--</v>
      </c>
      <c r="CN131" s="92">
        <f>IF(Table645[[#This Row],[Column91]]="--",0,Table645[[#This Row],[Column4]]*Table645[[#This Row],[Column91]])</f>
        <v>0</v>
      </c>
      <c r="CO131" s="217"/>
      <c r="CP131" s="91" t="str">
        <f>IF(Table645[[#This Row],[Column10]]+Table645[[#This Row],[Column87]]=0, "--", IF($D131="", 1, $D131) * IF($J131="", 1, $J131) * $CO$3 * $CO$4 * IF(Table645[[#This Row],[Column95]]="", 1, Table645[[#This Row],[Column95]]) / (24 * 60))</f>
        <v>--</v>
      </c>
      <c r="CQ131" s="164"/>
      <c r="CR131" s="92">
        <f>IF(Table645[[#This Row],[Column94]]="--",0,Table645[[#This Row],[Column4]]*Table645[[#This Row],[Column94]])</f>
        <v>0</v>
      </c>
      <c r="CS131" s="218" t="str">
        <f>IF(Table645[[#This Row],[Column87]]="","",Table645[[#This Row],[Column87]])</f>
        <v/>
      </c>
      <c r="CT131" s="91" t="str">
        <f>IF(Table645[[#This Row],[Column97]]="","--",Table645[[#This Row],[Column97]]/$CS$3/60/24)</f>
        <v>--</v>
      </c>
      <c r="CU131" s="92">
        <f>IF(Table645[[#This Row],[Column98]]="--",0,Table645[[#This Row],[Column4]]*Table645[[#This Row],[Column98]])</f>
        <v>0</v>
      </c>
      <c r="CV131" s="93"/>
      <c r="CW131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31" s="91" t="str">
        <f>IF(OR(Table645[[#This Row],[Column74]]&gt;0,Table645[[#This Row],[Column87]]&gt;0),(Table645[[#This Row],[Column73]]+Table645[[#This Row],[Column86]]+1)*$CW$3/60/24,"--")</f>
        <v>--</v>
      </c>
      <c r="CY131" s="92">
        <f>IF(Table645[[#This Row],[Column102]]="--",0,Table645[[#This Row],[Column4]]*Table645[[#This Row],[Column102]])</f>
        <v>0</v>
      </c>
      <c r="CZ131" s="158" t="str">
        <f t="shared" si="102"/>
        <v>--</v>
      </c>
      <c r="DA131" s="153"/>
      <c r="DB131" s="160">
        <f>IF(Table645[[#This Row],[Column104]]="--",0,Table645[[#This Row],[Column4]]*Table645[[#This Row],[Column104]])</f>
        <v>0</v>
      </c>
      <c r="DC131" s="219"/>
      <c r="DD131" s="220" t="str">
        <f>IF(DC131=0,"--",1/$DC$3*1000/(60*60*24)*Table645[[#This Row],[Column107]])</f>
        <v>--</v>
      </c>
      <c r="DE131" s="160">
        <f>IF(Table645[[#This Row],[Column108]]="--",0,Table645[[#This Row],[Column4]]*Table645[[#This Row],[Column108]])</f>
        <v>0</v>
      </c>
      <c r="DF131" s="101" t="s">
        <v>70</v>
      </c>
      <c r="DG131" s="91" t="str">
        <f t="shared" si="103"/>
        <v>--</v>
      </c>
      <c r="DH131" s="89">
        <f>IF(Table645[[#This Row],[Column111]]="--",0,Table645[[#This Row],[Column4]]*Table645[[#This Row],[Column111]])</f>
        <v>0</v>
      </c>
      <c r="DI131" s="96"/>
      <c r="DJ131" s="96"/>
      <c r="DK131" s="96"/>
      <c r="DL131" s="96"/>
      <c r="DM131" s="96"/>
      <c r="DN131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31" s="89">
        <f>IF(Table645[[#This Row],[Column118]]="--",0,Table645[[#This Row],[Column4]]*Table645[[#This Row],[Column118]])</f>
        <v>0</v>
      </c>
      <c r="DP131" s="96"/>
      <c r="DQ131" s="96"/>
      <c r="DR131" s="91" t="str">
        <f t="shared" si="104"/>
        <v>--</v>
      </c>
      <c r="DS131" s="89">
        <f>IF(Table645[[#This Row],[Column122]]="--",0,Table645[[#This Row],[Column4]]*Table645[[#This Row],[Column122]])</f>
        <v>0</v>
      </c>
      <c r="DT131" t="str">
        <f>IF(Table645[[#This Row],[Column125]]=0,"--",Table645[[#This Row],[Column125]]*Table645[[#This Row],[Column126]]*Table645[[#This Row],[Column127]]/1000000000)</f>
        <v>--</v>
      </c>
      <c r="DU131" s="53"/>
      <c r="DV131" s="53"/>
      <c r="DW131" s="53"/>
      <c r="DX131" s="91" t="str">
        <f t="shared" si="105"/>
        <v>--</v>
      </c>
      <c r="DY131" s="89">
        <f>IF(Table645[[#This Row],[Column128]]="--",0,Table645[[#This Row],[Column4]]*Table645[[#This Row],[Column128]])</f>
        <v>0</v>
      </c>
      <c r="EA131" s="89">
        <f>IF(Table645[[#This Row],[Column128]]="--",0,Table645[[#This Row],[Column4]]*Table645[[#This Row],[Column128]])</f>
        <v>0</v>
      </c>
      <c r="EC131" s="89">
        <f>IF(Table645[[#This Row],[Column128]]="--",0,Table645[[#This Row],[Column4]]*Table645[[#This Row],[Column128]])</f>
        <v>0</v>
      </c>
      <c r="EE131" s="89">
        <f>IF(Table645[[#This Row],[Column128]]="--",0,Table645[[#This Row],[Column4]]*Table645[[#This Row],[Column128]])</f>
        <v>0</v>
      </c>
      <c r="EG131" s="89">
        <f>IF(Table645[[#This Row],[Column128]]="--",0,Table645[[#This Row],[Column4]]*Table645[[#This Row],[Column128]])</f>
        <v>0</v>
      </c>
      <c r="EI131" s="89">
        <f>IF(Table645[[#This Row],[Column128]]="--",0,Table645[[#This Row],[Column4]]*Table645[[#This Row],[Column128]])</f>
        <v>0</v>
      </c>
    </row>
    <row r="132" spans="1:139" x14ac:dyDescent="0.25">
      <c r="A132" s="140"/>
      <c r="B132" s="79"/>
      <c r="C132" s="140"/>
      <c r="D132" s="167"/>
      <c r="E132" s="52"/>
      <c r="F132" s="81"/>
      <c r="G132" s="81"/>
      <c r="H132" s="102" t="str">
        <f t="shared" si="96"/>
        <v>--</v>
      </c>
      <c r="I132" s="100">
        <f>IF(Table645[[#This Row],[Column8]]="--",0,Table645[[#This Row],[Column4]]*Table645[[#This Row],[Column8]])</f>
        <v>0</v>
      </c>
      <c r="J132" s="169"/>
      <c r="K132" s="85">
        <f>Table645[[#This Row],[Column4]]*Table645[[#This Row],[Column10]]</f>
        <v>0</v>
      </c>
      <c r="L132" s="170" t="str">
        <f t="shared" si="97"/>
        <v>--</v>
      </c>
      <c r="M132" s="214">
        <f>IF(Table645[[#This Row],[Column10]]=0,0,Table645[[#This Row],[Column4]]*Table645[[#This Row],[Column12]])</f>
        <v>0</v>
      </c>
      <c r="N132" s="87" t="str">
        <f t="shared" si="98"/>
        <v>--</v>
      </c>
      <c r="O132" s="138"/>
      <c r="AZ132" s="89">
        <f>IF(Table645[[#This Row],[Column14]]="--",0,Table645[[#This Row],[Column4]]*Table645[[#This Row],[Column14]])</f>
        <v>0</v>
      </c>
      <c r="BA132" s="90"/>
      <c r="BB132" s="91" t="str">
        <f>IF(BA132=0,"--",BA132*$BA$3*IF(Table645[[#This Row],[Column5]]&lt;4.1,1,2)/60/24)</f>
        <v>--</v>
      </c>
      <c r="BC132" s="92">
        <f>IF(Table645[[#This Row],[Column54]]="--",0,Table645[[#This Row],[Column4]]*Table645[[#This Row],[Column54]])</f>
        <v>0</v>
      </c>
      <c r="BD132" s="119"/>
      <c r="BE132" s="119"/>
      <c r="BF132" s="119"/>
      <c r="BG132" s="91" t="str">
        <f>IF(BD132+Table645[[#This Row],[Column58]]=0,"--",(BD132*$BF$3*Table645[[#This Row],[Column57]]+Table645[[#This Row],[Column58]]*$BF$4)/60/24)</f>
        <v>--</v>
      </c>
      <c r="BH132" s="92">
        <f>IF(Table645[[#This Row],[Column59]]="--",0,Table645[[#This Row],[Column4]]*Table645[[#This Row],[Column59]])</f>
        <v>0</v>
      </c>
      <c r="BI132" s="119"/>
      <c r="BJ132" s="91" t="str">
        <f t="shared" si="84"/>
        <v>--</v>
      </c>
      <c r="BK132" s="92">
        <f>IF(Table645[[#This Row],[Column62]]="--",0,Table645[[#This Row],[Column4]]*Table645[[#This Row],[Column62]])</f>
        <v>0</v>
      </c>
      <c r="BL132" s="93"/>
      <c r="BM132" s="91" t="str">
        <f t="shared" si="99"/>
        <v>--</v>
      </c>
      <c r="BN132" s="89">
        <f>IF(Table645[[#This Row],[Column65]]="--",0,Table645[[#This Row],[Column4]]*Table645[[#This Row],[Column65]])</f>
        <v>0</v>
      </c>
      <c r="BO132" s="163"/>
      <c r="BP132" s="164" t="str">
        <f t="shared" si="100"/>
        <v>--</v>
      </c>
      <c r="BQ132" s="160">
        <f>IF(Table645[[#This Row],[Column68]]="--",0,Table645[[#This Row],[Column4]]*Table645[[#This Row],[Column68]])</f>
        <v>0</v>
      </c>
      <c r="BR132" s="94"/>
      <c r="BS132" s="91" t="str">
        <f t="shared" si="101"/>
        <v>--</v>
      </c>
      <c r="BT132" s="92">
        <f>IF(Table645[[#This Row],[Column71]]="--",0,Table645[[#This Row],[Column4]]*Table645[[#This Row],[Column71]])</f>
        <v>0</v>
      </c>
      <c r="BU132" s="44"/>
      <c r="BV132" s="90"/>
      <c r="BW132" s="91" t="str">
        <f>IF(BV132=0,"--",(Table645[[#This Row],[Column73]]*$BV$4*(IF(J132&lt;0.5001,1,IF(J132&lt;2.0001,2,3)))+BV132/$BV$3)/60/24)</f>
        <v>--</v>
      </c>
      <c r="BX132" s="92">
        <f>IF(Table645[[#This Row],[Column75]]="--",0,Table645[[#This Row],[Column4]]*Table645[[#This Row],[Column75]])</f>
        <v>0</v>
      </c>
      <c r="BY132" s="95" t="s">
        <v>70</v>
      </c>
      <c r="BZ132" s="91" t="str">
        <f>IF(Table645[[#This Row],[Column74]]=0,"--",BW132*$BY$3)</f>
        <v>--</v>
      </c>
      <c r="CA132" s="89">
        <f>IF(Table645[[#This Row],[Column78]]="--",0,Table645[[#This Row],[Column4]]*Table645[[#This Row],[Column78]])</f>
        <v>0</v>
      </c>
      <c r="CB132" s="95" t="s">
        <v>70</v>
      </c>
      <c r="CC132" s="91" t="str">
        <f>IF(Table645[[#This Row],[Column10]]+Table645[[#This Row],[Column74]]=0,"--",J132*$CB$4*$CB$5/(24*60)+IF(Table645[[#This Row],[Column74]]=0,0,$CB$3*Table645[[#This Row],[Column75]]))</f>
        <v>--</v>
      </c>
      <c r="CD132" s="92">
        <f>IF(Table645[[#This Row],[Column81]]="--",0,Table645[[#This Row],[Column4]]*Table645[[#This Row],[Column81]])</f>
        <v>0</v>
      </c>
      <c r="CE132" s="215"/>
      <c r="CF132" s="91" t="str">
        <f t="shared" si="85"/>
        <v>--</v>
      </c>
      <c r="CG132" s="92">
        <f>IF(Table645[[#This Row],[Column84]]="--",0,Table645[[#This Row],[Column4]]*Table645[[#This Row],[Column84]])</f>
        <v>0</v>
      </c>
      <c r="CH132" s="226"/>
      <c r="CI132" s="216"/>
      <c r="CJ132" s="91" t="str">
        <f>IF(CI132=0,"--",(Table645[[#This Row],[Column86]]*$CI$4*(IF(W132&lt;0.5001,1,IF(W132&lt;2.0001,2,3)))+CI132/$CI$3)/60/24)</f>
        <v>--</v>
      </c>
      <c r="CK132" s="92">
        <f>IF(Table645[[#This Row],[Column88]]="--",0,Table645[[#This Row],[Column4]]*Table645[[#This Row],[Column88]])</f>
        <v>0</v>
      </c>
      <c r="CL132" s="217"/>
      <c r="CM132" s="91" t="str">
        <f>IF(Table645[[#This Row],[Column87]]=0,"--",CJ132*$CL$3)</f>
        <v>--</v>
      </c>
      <c r="CN132" s="92">
        <f>IF(Table645[[#This Row],[Column91]]="--",0,Table645[[#This Row],[Column4]]*Table645[[#This Row],[Column91]])</f>
        <v>0</v>
      </c>
      <c r="CO132" s="217"/>
      <c r="CP132" s="91" t="str">
        <f>IF(Table645[[#This Row],[Column10]]+Table645[[#This Row],[Column87]]=0, "--", IF($D132="", 1, $D132) * IF($J132="", 1, $J132) * $CO$3 * $CO$4 * IF(Table645[[#This Row],[Column95]]="", 1, Table645[[#This Row],[Column95]]) / (24 * 60))</f>
        <v>--</v>
      </c>
      <c r="CQ132" s="164"/>
      <c r="CR132" s="92">
        <f>IF(Table645[[#This Row],[Column94]]="--",0,Table645[[#This Row],[Column4]]*Table645[[#This Row],[Column94]])</f>
        <v>0</v>
      </c>
      <c r="CS132" s="218" t="str">
        <f>IF(Table645[[#This Row],[Column87]]="","",Table645[[#This Row],[Column87]])</f>
        <v/>
      </c>
      <c r="CT132" s="91" t="str">
        <f>IF(Table645[[#This Row],[Column97]]="","--",Table645[[#This Row],[Column97]]/$CS$3/60/24)</f>
        <v>--</v>
      </c>
      <c r="CU132" s="92">
        <f>IF(Table645[[#This Row],[Column98]]="--",0,Table645[[#This Row],[Column4]]*Table645[[#This Row],[Column98]])</f>
        <v>0</v>
      </c>
      <c r="CV132" s="93"/>
      <c r="CW132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32" s="91" t="str">
        <f>IF(OR(Table645[[#This Row],[Column74]]&gt;0,Table645[[#This Row],[Column87]]&gt;0),(Table645[[#This Row],[Column73]]+Table645[[#This Row],[Column86]]+1)*$CW$3/60/24,"--")</f>
        <v>--</v>
      </c>
      <c r="CY132" s="92">
        <f>IF(Table645[[#This Row],[Column102]]="--",0,Table645[[#This Row],[Column4]]*Table645[[#This Row],[Column102]])</f>
        <v>0</v>
      </c>
      <c r="CZ132" s="158" t="str">
        <f t="shared" si="102"/>
        <v>--</v>
      </c>
      <c r="DA132" s="153"/>
      <c r="DB132" s="160">
        <f>IF(Table645[[#This Row],[Column104]]="--",0,Table645[[#This Row],[Column4]]*Table645[[#This Row],[Column104]])</f>
        <v>0</v>
      </c>
      <c r="DC132" s="219"/>
      <c r="DD132" s="220" t="str">
        <f>IF(DC132=0,"--",1/$DC$3*1000/(60*60*24)*Table645[[#This Row],[Column107]])</f>
        <v>--</v>
      </c>
      <c r="DE132" s="160">
        <f>IF(Table645[[#This Row],[Column108]]="--",0,Table645[[#This Row],[Column4]]*Table645[[#This Row],[Column108]])</f>
        <v>0</v>
      </c>
      <c r="DF132" s="101" t="s">
        <v>70</v>
      </c>
      <c r="DG132" s="91" t="str">
        <f t="shared" si="103"/>
        <v>--</v>
      </c>
      <c r="DH132" s="89">
        <f>IF(Table645[[#This Row],[Column111]]="--",0,Table645[[#This Row],[Column4]]*Table645[[#This Row],[Column111]])</f>
        <v>0</v>
      </c>
      <c r="DI132" s="96"/>
      <c r="DJ132" s="96"/>
      <c r="DK132" s="96"/>
      <c r="DL132" s="96"/>
      <c r="DM132" s="96"/>
      <c r="DN132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32" s="89">
        <f>IF(Table645[[#This Row],[Column118]]="--",0,Table645[[#This Row],[Column4]]*Table645[[#This Row],[Column118]])</f>
        <v>0</v>
      </c>
      <c r="DP132" s="96"/>
      <c r="DQ132" s="96"/>
      <c r="DR132" s="91" t="str">
        <f t="shared" si="104"/>
        <v>--</v>
      </c>
      <c r="DS132" s="89">
        <f>IF(Table645[[#This Row],[Column122]]="--",0,Table645[[#This Row],[Column4]]*Table645[[#This Row],[Column122]])</f>
        <v>0</v>
      </c>
      <c r="DT132" t="str">
        <f>IF(Table645[[#This Row],[Column125]]=0,"--",Table645[[#This Row],[Column125]]*Table645[[#This Row],[Column126]]*Table645[[#This Row],[Column127]]/1000000000)</f>
        <v>--</v>
      </c>
      <c r="DU132" s="53"/>
      <c r="DV132" s="53"/>
      <c r="DW132" s="53"/>
      <c r="DX132" s="91" t="str">
        <f t="shared" si="105"/>
        <v>--</v>
      </c>
      <c r="DY132" s="89">
        <f>IF(Table645[[#This Row],[Column128]]="--",0,Table645[[#This Row],[Column4]]*Table645[[#This Row],[Column128]])</f>
        <v>0</v>
      </c>
      <c r="EA132" s="89">
        <f>IF(Table645[[#This Row],[Column128]]="--",0,Table645[[#This Row],[Column4]]*Table645[[#This Row],[Column128]])</f>
        <v>0</v>
      </c>
      <c r="EC132" s="89">
        <f>IF(Table645[[#This Row],[Column128]]="--",0,Table645[[#This Row],[Column4]]*Table645[[#This Row],[Column128]])</f>
        <v>0</v>
      </c>
      <c r="EE132" s="89">
        <f>IF(Table645[[#This Row],[Column128]]="--",0,Table645[[#This Row],[Column4]]*Table645[[#This Row],[Column128]])</f>
        <v>0</v>
      </c>
      <c r="EG132" s="89">
        <f>IF(Table645[[#This Row],[Column128]]="--",0,Table645[[#This Row],[Column4]]*Table645[[#This Row],[Column128]])</f>
        <v>0</v>
      </c>
      <c r="EI132" s="89">
        <f>IF(Table645[[#This Row],[Column128]]="--",0,Table645[[#This Row],[Column4]]*Table645[[#This Row],[Column128]])</f>
        <v>0</v>
      </c>
    </row>
    <row r="133" spans="1:139" x14ac:dyDescent="0.25">
      <c r="A133" s="140"/>
      <c r="B133" s="79"/>
      <c r="C133" s="140"/>
      <c r="D133" s="167"/>
      <c r="E133" s="52"/>
      <c r="F133" s="81"/>
      <c r="G133" s="81"/>
      <c r="H133" s="102" t="str">
        <f t="shared" si="96"/>
        <v>--</v>
      </c>
      <c r="I133" s="100">
        <f>IF(Table645[[#This Row],[Column8]]="--",0,Table645[[#This Row],[Column4]]*Table645[[#This Row],[Column8]])</f>
        <v>0</v>
      </c>
      <c r="J133" s="169"/>
      <c r="K133" s="85">
        <f>Table645[[#This Row],[Column4]]*Table645[[#This Row],[Column10]]</f>
        <v>0</v>
      </c>
      <c r="L133" s="170" t="str">
        <f t="shared" si="97"/>
        <v>--</v>
      </c>
      <c r="M133" s="214">
        <f>IF(Table645[[#This Row],[Column10]]=0,0,Table645[[#This Row],[Column4]]*Table645[[#This Row],[Column12]])</f>
        <v>0</v>
      </c>
      <c r="N133" s="87" t="str">
        <f t="shared" si="98"/>
        <v>--</v>
      </c>
      <c r="O133" s="138"/>
      <c r="AZ133" s="89">
        <f>IF(Table645[[#This Row],[Column14]]="--",0,Table645[[#This Row],[Column4]]*Table645[[#This Row],[Column14]])</f>
        <v>0</v>
      </c>
      <c r="BA133" s="90"/>
      <c r="BB133" s="91" t="str">
        <f>IF(BA133=0,"--",BA133*$BA$3*IF(Table645[[#This Row],[Column5]]&lt;4.1,1,2)/60/24)</f>
        <v>--</v>
      </c>
      <c r="BC133" s="92">
        <f>IF(Table645[[#This Row],[Column54]]="--",0,Table645[[#This Row],[Column4]]*Table645[[#This Row],[Column54]])</f>
        <v>0</v>
      </c>
      <c r="BD133" s="119"/>
      <c r="BE133" s="119"/>
      <c r="BF133" s="119"/>
      <c r="BG133" s="91" t="str">
        <f>IF(BD133+Table645[[#This Row],[Column58]]=0,"--",(BD133*$BF$3*Table645[[#This Row],[Column57]]+Table645[[#This Row],[Column58]]*$BF$4)/60/24)</f>
        <v>--</v>
      </c>
      <c r="BH133" s="92">
        <f>IF(Table645[[#This Row],[Column59]]="--",0,Table645[[#This Row],[Column4]]*Table645[[#This Row],[Column59]])</f>
        <v>0</v>
      </c>
      <c r="BI133" s="119"/>
      <c r="BJ133" s="91" t="str">
        <f t="shared" si="84"/>
        <v>--</v>
      </c>
      <c r="BK133" s="92">
        <f>IF(Table645[[#This Row],[Column62]]="--",0,Table645[[#This Row],[Column4]]*Table645[[#This Row],[Column62]])</f>
        <v>0</v>
      </c>
      <c r="BL133" s="93"/>
      <c r="BM133" s="91" t="str">
        <f t="shared" si="99"/>
        <v>--</v>
      </c>
      <c r="BN133" s="89">
        <f>IF(Table645[[#This Row],[Column65]]="--",0,Table645[[#This Row],[Column4]]*Table645[[#This Row],[Column65]])</f>
        <v>0</v>
      </c>
      <c r="BO133" s="163"/>
      <c r="BP133" s="164" t="str">
        <f t="shared" si="100"/>
        <v>--</v>
      </c>
      <c r="BQ133" s="160">
        <f>IF(Table645[[#This Row],[Column68]]="--",0,Table645[[#This Row],[Column4]]*Table645[[#This Row],[Column68]])</f>
        <v>0</v>
      </c>
      <c r="BR133" s="94"/>
      <c r="BS133" s="91" t="str">
        <f t="shared" si="101"/>
        <v>--</v>
      </c>
      <c r="BT133" s="92">
        <f>IF(Table645[[#This Row],[Column71]]="--",0,Table645[[#This Row],[Column4]]*Table645[[#This Row],[Column71]])</f>
        <v>0</v>
      </c>
      <c r="BU133" s="44"/>
      <c r="BV133" s="90"/>
      <c r="BW133" s="91" t="str">
        <f>IF(BV133=0,"--",(Table645[[#This Row],[Column73]]*$BV$4*(IF(J133&lt;0.5001,1,IF(J133&lt;2.0001,2,3)))+BV133/$BV$3)/60/24)</f>
        <v>--</v>
      </c>
      <c r="BX133" s="92">
        <f>IF(Table645[[#This Row],[Column75]]="--",0,Table645[[#This Row],[Column4]]*Table645[[#This Row],[Column75]])</f>
        <v>0</v>
      </c>
      <c r="BY133" s="95" t="s">
        <v>70</v>
      </c>
      <c r="BZ133" s="91" t="str">
        <f>IF(Table645[[#This Row],[Column74]]=0,"--",BW133*$BY$3)</f>
        <v>--</v>
      </c>
      <c r="CA133" s="89">
        <f>IF(Table645[[#This Row],[Column78]]="--",0,Table645[[#This Row],[Column4]]*Table645[[#This Row],[Column78]])</f>
        <v>0</v>
      </c>
      <c r="CB133" s="95" t="s">
        <v>70</v>
      </c>
      <c r="CC133" s="91" t="str">
        <f>IF(Table645[[#This Row],[Column10]]+Table645[[#This Row],[Column74]]=0,"--",J133*$CB$4*$CB$5/(24*60)+IF(Table645[[#This Row],[Column74]]=0,0,$CB$3*Table645[[#This Row],[Column75]]))</f>
        <v>--</v>
      </c>
      <c r="CD133" s="92">
        <f>IF(Table645[[#This Row],[Column81]]="--",0,Table645[[#This Row],[Column4]]*Table645[[#This Row],[Column81]])</f>
        <v>0</v>
      </c>
      <c r="CE133" s="215"/>
      <c r="CF133" s="91" t="str">
        <f t="shared" si="85"/>
        <v>--</v>
      </c>
      <c r="CG133" s="92">
        <f>IF(Table645[[#This Row],[Column84]]="--",0,Table645[[#This Row],[Column4]]*Table645[[#This Row],[Column84]])</f>
        <v>0</v>
      </c>
      <c r="CH133" s="226"/>
      <c r="CI133" s="216"/>
      <c r="CJ133" s="91" t="str">
        <f>IF(CI133=0,"--",(Table645[[#This Row],[Column86]]*$CI$4*(IF(W133&lt;0.5001,1,IF(W133&lt;2.0001,2,3)))+CI133/$CI$3)/60/24)</f>
        <v>--</v>
      </c>
      <c r="CK133" s="92">
        <f>IF(Table645[[#This Row],[Column88]]="--",0,Table645[[#This Row],[Column4]]*Table645[[#This Row],[Column88]])</f>
        <v>0</v>
      </c>
      <c r="CL133" s="217"/>
      <c r="CM133" s="91" t="str">
        <f>IF(Table645[[#This Row],[Column87]]=0,"--",CJ133*$CL$3)</f>
        <v>--</v>
      </c>
      <c r="CN133" s="92">
        <f>IF(Table645[[#This Row],[Column91]]="--",0,Table645[[#This Row],[Column4]]*Table645[[#This Row],[Column91]])</f>
        <v>0</v>
      </c>
      <c r="CO133" s="217"/>
      <c r="CP133" s="91" t="str">
        <f>IF(Table645[[#This Row],[Column10]]+Table645[[#This Row],[Column87]]=0, "--", IF($D133="", 1, $D133) * IF($J133="", 1, $J133) * $CO$3 * $CO$4 * IF(Table645[[#This Row],[Column95]]="", 1, Table645[[#This Row],[Column95]]) / (24 * 60))</f>
        <v>--</v>
      </c>
      <c r="CQ133" s="164"/>
      <c r="CR133" s="92">
        <f>IF(Table645[[#This Row],[Column94]]="--",0,Table645[[#This Row],[Column4]]*Table645[[#This Row],[Column94]])</f>
        <v>0</v>
      </c>
      <c r="CS133" s="218" t="str">
        <f>IF(Table645[[#This Row],[Column87]]="","",Table645[[#This Row],[Column87]])</f>
        <v/>
      </c>
      <c r="CT133" s="91" t="str">
        <f>IF(Table645[[#This Row],[Column97]]="","--",Table645[[#This Row],[Column97]]/$CS$3/60/24)</f>
        <v>--</v>
      </c>
      <c r="CU133" s="92">
        <f>IF(Table645[[#This Row],[Column98]]="--",0,Table645[[#This Row],[Column4]]*Table645[[#This Row],[Column98]])</f>
        <v>0</v>
      </c>
      <c r="CV133" s="93"/>
      <c r="CW133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33" s="91" t="str">
        <f>IF(OR(Table645[[#This Row],[Column74]]&gt;0,Table645[[#This Row],[Column87]]&gt;0),(Table645[[#This Row],[Column73]]+Table645[[#This Row],[Column86]]+1)*$CW$3/60/24,"--")</f>
        <v>--</v>
      </c>
      <c r="CY133" s="92">
        <f>IF(Table645[[#This Row],[Column102]]="--",0,Table645[[#This Row],[Column4]]*Table645[[#This Row],[Column102]])</f>
        <v>0</v>
      </c>
      <c r="CZ133" s="158" t="str">
        <f t="shared" si="102"/>
        <v>--</v>
      </c>
      <c r="DA133" s="153"/>
      <c r="DB133" s="160">
        <f>IF(Table645[[#This Row],[Column104]]="--",0,Table645[[#This Row],[Column4]]*Table645[[#This Row],[Column104]])</f>
        <v>0</v>
      </c>
      <c r="DC133" s="219"/>
      <c r="DD133" s="220" t="str">
        <f>IF(DC133=0,"--",1/$DC$3*1000/(60*60*24)*Table645[[#This Row],[Column107]])</f>
        <v>--</v>
      </c>
      <c r="DE133" s="160">
        <f>IF(Table645[[#This Row],[Column108]]="--",0,Table645[[#This Row],[Column4]]*Table645[[#This Row],[Column108]])</f>
        <v>0</v>
      </c>
      <c r="DF133" s="101" t="s">
        <v>70</v>
      </c>
      <c r="DG133" s="91" t="str">
        <f t="shared" si="103"/>
        <v>--</v>
      </c>
      <c r="DH133" s="89">
        <f>IF(Table645[[#This Row],[Column111]]="--",0,Table645[[#This Row],[Column4]]*Table645[[#This Row],[Column111]])</f>
        <v>0</v>
      </c>
      <c r="DI133" s="96"/>
      <c r="DJ133" s="96"/>
      <c r="DK133" s="96"/>
      <c r="DL133" s="96"/>
      <c r="DM133" s="96"/>
      <c r="DN133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33" s="89">
        <f>IF(Table645[[#This Row],[Column118]]="--",0,Table645[[#This Row],[Column4]]*Table645[[#This Row],[Column118]])</f>
        <v>0</v>
      </c>
      <c r="DP133" s="96"/>
      <c r="DQ133" s="96"/>
      <c r="DR133" s="91" t="str">
        <f t="shared" si="104"/>
        <v>--</v>
      </c>
      <c r="DS133" s="89">
        <f>IF(Table645[[#This Row],[Column122]]="--",0,Table645[[#This Row],[Column4]]*Table645[[#This Row],[Column122]])</f>
        <v>0</v>
      </c>
      <c r="DT133" t="str">
        <f>IF(Table645[[#This Row],[Column125]]=0,"--",Table645[[#This Row],[Column125]]*Table645[[#This Row],[Column126]]*Table645[[#This Row],[Column127]]/1000000000)</f>
        <v>--</v>
      </c>
      <c r="DU133" s="53"/>
      <c r="DV133" s="53"/>
      <c r="DW133" s="53"/>
      <c r="DX133" s="91" t="str">
        <f t="shared" si="105"/>
        <v>--</v>
      </c>
      <c r="DY133" s="89">
        <f>IF(Table645[[#This Row],[Column128]]="--",0,Table645[[#This Row],[Column4]]*Table645[[#This Row],[Column128]])</f>
        <v>0</v>
      </c>
      <c r="EA133" s="89">
        <f>IF(Table645[[#This Row],[Column128]]="--",0,Table645[[#This Row],[Column4]]*Table645[[#This Row],[Column128]])</f>
        <v>0</v>
      </c>
      <c r="EC133" s="89">
        <f>IF(Table645[[#This Row],[Column128]]="--",0,Table645[[#This Row],[Column4]]*Table645[[#This Row],[Column128]])</f>
        <v>0</v>
      </c>
      <c r="EE133" s="89">
        <f>IF(Table645[[#This Row],[Column128]]="--",0,Table645[[#This Row],[Column4]]*Table645[[#This Row],[Column128]])</f>
        <v>0</v>
      </c>
      <c r="EG133" s="89">
        <f>IF(Table645[[#This Row],[Column128]]="--",0,Table645[[#This Row],[Column4]]*Table645[[#This Row],[Column128]])</f>
        <v>0</v>
      </c>
      <c r="EI133" s="89">
        <f>IF(Table645[[#This Row],[Column128]]="--",0,Table645[[#This Row],[Column4]]*Table645[[#This Row],[Column128]])</f>
        <v>0</v>
      </c>
    </row>
    <row r="134" spans="1:139" x14ac:dyDescent="0.25">
      <c r="A134" s="140"/>
      <c r="B134" s="79"/>
      <c r="C134" s="140"/>
      <c r="D134" s="167"/>
      <c r="E134" s="52"/>
      <c r="F134" s="81"/>
      <c r="G134" s="81"/>
      <c r="H134" s="102" t="str">
        <f t="shared" si="86"/>
        <v>--</v>
      </c>
      <c r="I134" s="100">
        <f>IF(Table645[[#This Row],[Column8]]="--",0,Table645[[#This Row],[Column4]]*Table645[[#This Row],[Column8]])</f>
        <v>0</v>
      </c>
      <c r="J134" s="169"/>
      <c r="K134" s="85">
        <f>Table645[[#This Row],[Column4]]*Table645[[#This Row],[Column10]]</f>
        <v>0</v>
      </c>
      <c r="L134" s="170" t="str">
        <f t="shared" si="87"/>
        <v>--</v>
      </c>
      <c r="M134" s="214">
        <f>IF(Table645[[#This Row],[Column10]]=0,0,Table645[[#This Row],[Column4]]*Table645[[#This Row],[Column12]])</f>
        <v>0</v>
      </c>
      <c r="N134" s="87" t="str">
        <f t="shared" si="88"/>
        <v>--</v>
      </c>
      <c r="O134" s="138"/>
      <c r="AZ134" s="89">
        <f>IF(Table645[[#This Row],[Column14]]="--",0,Table645[[#This Row],[Column4]]*Table645[[#This Row],[Column14]])</f>
        <v>0</v>
      </c>
      <c r="BA134" s="90"/>
      <c r="BB134" s="91" t="str">
        <f>IF(BA134=0,"--",BA134*$BA$3*IF(Table645[[#This Row],[Column5]]&lt;4.1,1,2)/60/24)</f>
        <v>--</v>
      </c>
      <c r="BC134" s="92">
        <f>IF(Table645[[#This Row],[Column54]]="--",0,Table645[[#This Row],[Column4]]*Table645[[#This Row],[Column54]])</f>
        <v>0</v>
      </c>
      <c r="BD134" s="119"/>
      <c r="BE134" s="119"/>
      <c r="BF134" s="119"/>
      <c r="BG134" s="91" t="str">
        <f>IF(BD134+Table645[[#This Row],[Column58]]=0,"--",(BD134*$BF$3*Table645[[#This Row],[Column57]]+Table645[[#This Row],[Column58]]*$BF$4)/60/24)</f>
        <v>--</v>
      </c>
      <c r="BH134" s="92">
        <f>IF(Table645[[#This Row],[Column59]]="--",0,Table645[[#This Row],[Column4]]*Table645[[#This Row],[Column59]])</f>
        <v>0</v>
      </c>
      <c r="BI134" s="119"/>
      <c r="BJ134" s="91" t="str">
        <f t="shared" si="84"/>
        <v>--</v>
      </c>
      <c r="BK134" s="92">
        <f>IF(Table645[[#This Row],[Column62]]="--",0,Table645[[#This Row],[Column4]]*Table645[[#This Row],[Column62]])</f>
        <v>0</v>
      </c>
      <c r="BL134" s="93"/>
      <c r="BM134" s="91" t="str">
        <f t="shared" si="89"/>
        <v>--</v>
      </c>
      <c r="BN134" s="89">
        <f>IF(Table645[[#This Row],[Column65]]="--",0,Table645[[#This Row],[Column4]]*Table645[[#This Row],[Column65]])</f>
        <v>0</v>
      </c>
      <c r="BO134" s="163"/>
      <c r="BP134" s="164" t="str">
        <f t="shared" si="90"/>
        <v>--</v>
      </c>
      <c r="BQ134" s="160">
        <f>IF(Table645[[#This Row],[Column68]]="--",0,Table645[[#This Row],[Column4]]*Table645[[#This Row],[Column68]])</f>
        <v>0</v>
      </c>
      <c r="BR134" s="94"/>
      <c r="BS134" s="91" t="str">
        <f t="shared" si="91"/>
        <v>--</v>
      </c>
      <c r="BT134" s="92">
        <f>IF(Table645[[#This Row],[Column71]]="--",0,Table645[[#This Row],[Column4]]*Table645[[#This Row],[Column71]])</f>
        <v>0</v>
      </c>
      <c r="BU134" s="44"/>
      <c r="BV134" s="90"/>
      <c r="BW134" s="91" t="str">
        <f>IF(BV134=0,"--",(Table645[[#This Row],[Column73]]*$BV$4*(IF(J134&lt;0.5001,1,IF(J134&lt;2.0001,2,3)))+BV134/$BV$3)/60/24)</f>
        <v>--</v>
      </c>
      <c r="BX134" s="92">
        <f>IF(Table645[[#This Row],[Column75]]="--",0,Table645[[#This Row],[Column4]]*Table645[[#This Row],[Column75]])</f>
        <v>0</v>
      </c>
      <c r="BY134" s="95" t="s">
        <v>70</v>
      </c>
      <c r="BZ134" s="91" t="str">
        <f>IF(Table645[[#This Row],[Column74]]=0,"--",BW134*$BY$3)</f>
        <v>--</v>
      </c>
      <c r="CA134" s="89">
        <f>IF(Table645[[#This Row],[Column78]]="--",0,Table645[[#This Row],[Column4]]*Table645[[#This Row],[Column78]])</f>
        <v>0</v>
      </c>
      <c r="CB134" s="95" t="s">
        <v>70</v>
      </c>
      <c r="CC134" s="91" t="str">
        <f>IF(Table645[[#This Row],[Column10]]+Table645[[#This Row],[Column74]]=0,"--",J134*$CB$4*$CB$5/(24*60)+IF(Table645[[#This Row],[Column74]]=0,0,$CB$3*Table645[[#This Row],[Column75]]))</f>
        <v>--</v>
      </c>
      <c r="CD134" s="92">
        <f>IF(Table645[[#This Row],[Column81]]="--",0,Table645[[#This Row],[Column4]]*Table645[[#This Row],[Column81]])</f>
        <v>0</v>
      </c>
      <c r="CE134" s="215"/>
      <c r="CF134" s="91" t="str">
        <f t="shared" si="85"/>
        <v>--</v>
      </c>
      <c r="CG134" s="92">
        <f>IF(Table645[[#This Row],[Column84]]="--",0,Table645[[#This Row],[Column4]]*Table645[[#This Row],[Column84]])</f>
        <v>0</v>
      </c>
      <c r="CH134" s="226"/>
      <c r="CI134" s="216"/>
      <c r="CJ134" s="91" t="str">
        <f>IF(CI134=0,"--",(Table645[[#This Row],[Column86]]*$CI$4*(IF(W134&lt;0.5001,1,IF(W134&lt;2.0001,2,3)))+CI134/$CI$3)/60/24)</f>
        <v>--</v>
      </c>
      <c r="CK134" s="92">
        <f>IF(Table645[[#This Row],[Column88]]="--",0,Table645[[#This Row],[Column4]]*Table645[[#This Row],[Column88]])</f>
        <v>0</v>
      </c>
      <c r="CL134" s="217"/>
      <c r="CM134" s="91" t="str">
        <f>IF(Table645[[#This Row],[Column87]]=0,"--",CJ134*$CL$3)</f>
        <v>--</v>
      </c>
      <c r="CN134" s="92">
        <f>IF(Table645[[#This Row],[Column91]]="--",0,Table645[[#This Row],[Column4]]*Table645[[#This Row],[Column91]])</f>
        <v>0</v>
      </c>
      <c r="CO134" s="217"/>
      <c r="CP134" s="91" t="str">
        <f>IF(Table645[[#This Row],[Column10]]+Table645[[#This Row],[Column87]]=0, "--", IF($D134="", 1, $D134) * IF($J134="", 1, $J134) * $CO$3 * $CO$4 * IF(Table645[[#This Row],[Column95]]="", 1, Table645[[#This Row],[Column95]]) / (24 * 60))</f>
        <v>--</v>
      </c>
      <c r="CQ134" s="164"/>
      <c r="CR134" s="92">
        <f>IF(Table645[[#This Row],[Column94]]="--",0,Table645[[#This Row],[Column4]]*Table645[[#This Row],[Column94]])</f>
        <v>0</v>
      </c>
      <c r="CS134" s="218" t="str">
        <f>IF(Table645[[#This Row],[Column87]]="","",Table645[[#This Row],[Column87]])</f>
        <v/>
      </c>
      <c r="CT134" s="91" t="str">
        <f>IF(Table645[[#This Row],[Column97]]="","--",Table645[[#This Row],[Column97]]/$CS$3/60/24)</f>
        <v>--</v>
      </c>
      <c r="CU134" s="92">
        <f>IF(Table645[[#This Row],[Column98]]="--",0,Table645[[#This Row],[Column4]]*Table645[[#This Row],[Column98]])</f>
        <v>0</v>
      </c>
      <c r="CV134" s="93"/>
      <c r="CW134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34" s="91" t="str">
        <f>IF(OR(Table645[[#This Row],[Column74]]&gt;0,Table645[[#This Row],[Column87]]&gt;0),(Table645[[#This Row],[Column73]]+Table645[[#This Row],[Column86]]+1)*$CW$3/60/24,"--")</f>
        <v>--</v>
      </c>
      <c r="CY134" s="92">
        <f>IF(Table645[[#This Row],[Column102]]="--",0,Table645[[#This Row],[Column4]]*Table645[[#This Row],[Column102]])</f>
        <v>0</v>
      </c>
      <c r="CZ134" s="158" t="str">
        <f t="shared" si="92"/>
        <v>--</v>
      </c>
      <c r="DA134" s="153"/>
      <c r="DB134" s="160">
        <f>IF(Table645[[#This Row],[Column104]]="--",0,Table645[[#This Row],[Column4]]*Table645[[#This Row],[Column104]])</f>
        <v>0</v>
      </c>
      <c r="DC134" s="219"/>
      <c r="DD134" s="220" t="str">
        <f>IF(DC134=0,"--",1/$DC$3*1000/(60*60*24)*Table645[[#This Row],[Column107]])</f>
        <v>--</v>
      </c>
      <c r="DE134" s="160">
        <f>IF(Table645[[#This Row],[Column108]]="--",0,Table645[[#This Row],[Column4]]*Table645[[#This Row],[Column108]])</f>
        <v>0</v>
      </c>
      <c r="DF134" s="101" t="s">
        <v>70</v>
      </c>
      <c r="DG134" s="91" t="str">
        <f t="shared" si="93"/>
        <v>--</v>
      </c>
      <c r="DH134" s="89">
        <f>IF(Table645[[#This Row],[Column111]]="--",0,Table645[[#This Row],[Column4]]*Table645[[#This Row],[Column111]])</f>
        <v>0</v>
      </c>
      <c r="DI134" s="96"/>
      <c r="DJ134" s="96"/>
      <c r="DK134" s="96"/>
      <c r="DL134" s="96"/>
      <c r="DM134" s="96"/>
      <c r="DN134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34" s="89">
        <f>IF(Table645[[#This Row],[Column118]]="--",0,Table645[[#This Row],[Column4]]*Table645[[#This Row],[Column118]])</f>
        <v>0</v>
      </c>
      <c r="DP134" s="96"/>
      <c r="DQ134" s="96"/>
      <c r="DR134" s="91" t="str">
        <f t="shared" si="94"/>
        <v>--</v>
      </c>
      <c r="DS134" s="89">
        <f>IF(Table645[[#This Row],[Column122]]="--",0,Table645[[#This Row],[Column4]]*Table645[[#This Row],[Column122]])</f>
        <v>0</v>
      </c>
      <c r="DT134" t="str">
        <f>IF(Table645[[#This Row],[Column125]]=0,"--",Table645[[#This Row],[Column125]]*Table645[[#This Row],[Column126]]*Table645[[#This Row],[Column127]]/1000000000)</f>
        <v>--</v>
      </c>
      <c r="DU134" s="53"/>
      <c r="DV134" s="53"/>
      <c r="DW134" s="53"/>
      <c r="DX134" s="91" t="str">
        <f t="shared" si="95"/>
        <v>--</v>
      </c>
      <c r="DY134" s="89">
        <f>IF(Table645[[#This Row],[Column128]]="--",0,Table645[[#This Row],[Column4]]*Table645[[#This Row],[Column128]])</f>
        <v>0</v>
      </c>
      <c r="EA134" s="89">
        <f>IF(Table645[[#This Row],[Column128]]="--",0,Table645[[#This Row],[Column4]]*Table645[[#This Row],[Column128]])</f>
        <v>0</v>
      </c>
      <c r="EC134" s="89">
        <f>IF(Table645[[#This Row],[Column128]]="--",0,Table645[[#This Row],[Column4]]*Table645[[#This Row],[Column128]])</f>
        <v>0</v>
      </c>
      <c r="EE134" s="89">
        <f>IF(Table645[[#This Row],[Column128]]="--",0,Table645[[#This Row],[Column4]]*Table645[[#This Row],[Column128]])</f>
        <v>0</v>
      </c>
      <c r="EG134" s="89">
        <f>IF(Table645[[#This Row],[Column128]]="--",0,Table645[[#This Row],[Column4]]*Table645[[#This Row],[Column128]])</f>
        <v>0</v>
      </c>
      <c r="EI134" s="89">
        <f>IF(Table645[[#This Row],[Column128]]="--",0,Table645[[#This Row],[Column4]]*Table645[[#This Row],[Column128]])</f>
        <v>0</v>
      </c>
    </row>
    <row r="135" spans="1:139" x14ac:dyDescent="0.25">
      <c r="A135" s="140"/>
      <c r="B135" s="79"/>
      <c r="C135" s="140"/>
      <c r="D135" s="167"/>
      <c r="E135" s="52"/>
      <c r="F135" s="81"/>
      <c r="G135" s="81"/>
      <c r="H135" s="102" t="str">
        <f t="shared" si="86"/>
        <v>--</v>
      </c>
      <c r="I135" s="100">
        <f>IF(Table645[[#This Row],[Column8]]="--",0,Table645[[#This Row],[Column4]]*Table645[[#This Row],[Column8]])</f>
        <v>0</v>
      </c>
      <c r="J135" s="169"/>
      <c r="K135" s="85">
        <f>Table645[[#This Row],[Column4]]*Table645[[#This Row],[Column10]]</f>
        <v>0</v>
      </c>
      <c r="L135" s="170" t="str">
        <f t="shared" si="87"/>
        <v>--</v>
      </c>
      <c r="M135" s="214">
        <f>IF(Table645[[#This Row],[Column10]]=0,0,Table645[[#This Row],[Column4]]*Table645[[#This Row],[Column12]])</f>
        <v>0</v>
      </c>
      <c r="N135" s="87" t="str">
        <f t="shared" si="88"/>
        <v>--</v>
      </c>
      <c r="O135" s="138"/>
      <c r="AZ135" s="89">
        <f>IF(Table645[[#This Row],[Column14]]="--",0,Table645[[#This Row],[Column4]]*Table645[[#This Row],[Column14]])</f>
        <v>0</v>
      </c>
      <c r="BA135" s="90"/>
      <c r="BB135" s="91" t="str">
        <f>IF(BA135=0,"--",BA135*$BA$3*IF(Table645[[#This Row],[Column5]]&lt;4.1,1,2)/60/24)</f>
        <v>--</v>
      </c>
      <c r="BC135" s="92">
        <f>IF(Table645[[#This Row],[Column54]]="--",0,Table645[[#This Row],[Column4]]*Table645[[#This Row],[Column54]])</f>
        <v>0</v>
      </c>
      <c r="BD135" s="119"/>
      <c r="BE135" s="119"/>
      <c r="BF135" s="119"/>
      <c r="BG135" s="91" t="str">
        <f>IF(BD135+Table645[[#This Row],[Column58]]=0,"--",(BD135*$BF$3*Table645[[#This Row],[Column57]]+Table645[[#This Row],[Column58]]*$BF$4)/60/24)</f>
        <v>--</v>
      </c>
      <c r="BH135" s="92">
        <f>IF(Table645[[#This Row],[Column59]]="--",0,Table645[[#This Row],[Column4]]*Table645[[#This Row],[Column59]])</f>
        <v>0</v>
      </c>
      <c r="BI135" s="119"/>
      <c r="BJ135" s="91" t="str">
        <f t="shared" si="84"/>
        <v>--</v>
      </c>
      <c r="BK135" s="92">
        <f>IF(Table645[[#This Row],[Column62]]="--",0,Table645[[#This Row],[Column4]]*Table645[[#This Row],[Column62]])</f>
        <v>0</v>
      </c>
      <c r="BL135" s="93"/>
      <c r="BM135" s="91" t="str">
        <f t="shared" si="89"/>
        <v>--</v>
      </c>
      <c r="BN135" s="89">
        <f>IF(Table645[[#This Row],[Column65]]="--",0,Table645[[#This Row],[Column4]]*Table645[[#This Row],[Column65]])</f>
        <v>0</v>
      </c>
      <c r="BO135" s="163"/>
      <c r="BP135" s="164" t="str">
        <f t="shared" si="90"/>
        <v>--</v>
      </c>
      <c r="BQ135" s="160">
        <f>IF(Table645[[#This Row],[Column68]]="--",0,Table645[[#This Row],[Column4]]*Table645[[#This Row],[Column68]])</f>
        <v>0</v>
      </c>
      <c r="BR135" s="94"/>
      <c r="BS135" s="91" t="str">
        <f t="shared" si="91"/>
        <v>--</v>
      </c>
      <c r="BT135" s="92">
        <f>IF(Table645[[#This Row],[Column71]]="--",0,Table645[[#This Row],[Column4]]*Table645[[#This Row],[Column71]])</f>
        <v>0</v>
      </c>
      <c r="BU135" s="44"/>
      <c r="BV135" s="90"/>
      <c r="BW135" s="91" t="str">
        <f>IF(BV135=0,"--",(Table645[[#This Row],[Column73]]*$BV$4*(IF(J135&lt;0.5001,1,IF(J135&lt;2.0001,2,3)))+BV135/$BV$3)/60/24)</f>
        <v>--</v>
      </c>
      <c r="BX135" s="92">
        <f>IF(Table645[[#This Row],[Column75]]="--",0,Table645[[#This Row],[Column4]]*Table645[[#This Row],[Column75]])</f>
        <v>0</v>
      </c>
      <c r="BY135" s="95" t="s">
        <v>70</v>
      </c>
      <c r="BZ135" s="91" t="str">
        <f>IF(Table645[[#This Row],[Column74]]=0,"--",BW135*$BY$3)</f>
        <v>--</v>
      </c>
      <c r="CA135" s="89">
        <f>IF(Table645[[#This Row],[Column78]]="--",0,Table645[[#This Row],[Column4]]*Table645[[#This Row],[Column78]])</f>
        <v>0</v>
      </c>
      <c r="CB135" s="95" t="s">
        <v>70</v>
      </c>
      <c r="CC135" s="91" t="str">
        <f>IF(Table645[[#This Row],[Column10]]+Table645[[#This Row],[Column74]]=0,"--",J135*$CB$4*$CB$5/(24*60)+IF(Table645[[#This Row],[Column74]]=0,0,$CB$3*Table645[[#This Row],[Column75]]))</f>
        <v>--</v>
      </c>
      <c r="CD135" s="92">
        <f>IF(Table645[[#This Row],[Column81]]="--",0,Table645[[#This Row],[Column4]]*Table645[[#This Row],[Column81]])</f>
        <v>0</v>
      </c>
      <c r="CE135" s="215"/>
      <c r="CF135" s="91" t="str">
        <f t="shared" si="85"/>
        <v>--</v>
      </c>
      <c r="CG135" s="92">
        <f>IF(Table645[[#This Row],[Column84]]="--",0,Table645[[#This Row],[Column4]]*Table645[[#This Row],[Column84]])</f>
        <v>0</v>
      </c>
      <c r="CH135" s="226"/>
      <c r="CI135" s="216"/>
      <c r="CJ135" s="91" t="str">
        <f>IF(CI135=0,"--",(Table645[[#This Row],[Column86]]*$CI$4*(IF(W135&lt;0.5001,1,IF(W135&lt;2.0001,2,3)))+CI135/$CI$3)/60/24)</f>
        <v>--</v>
      </c>
      <c r="CK135" s="92">
        <f>IF(Table645[[#This Row],[Column88]]="--",0,Table645[[#This Row],[Column4]]*Table645[[#This Row],[Column88]])</f>
        <v>0</v>
      </c>
      <c r="CL135" s="217"/>
      <c r="CM135" s="91" t="str">
        <f>IF(Table645[[#This Row],[Column87]]=0,"--",CJ135*$CL$3)</f>
        <v>--</v>
      </c>
      <c r="CN135" s="92">
        <f>IF(Table645[[#This Row],[Column91]]="--",0,Table645[[#This Row],[Column4]]*Table645[[#This Row],[Column91]])</f>
        <v>0</v>
      </c>
      <c r="CO135" s="217"/>
      <c r="CP135" s="91" t="str">
        <f>IF(Table645[[#This Row],[Column10]]+Table645[[#This Row],[Column87]]=0, "--", IF($D135="", 1, $D135) * IF($J135="", 1, $J135) * $CO$3 * $CO$4 * IF(Table645[[#This Row],[Column95]]="", 1, Table645[[#This Row],[Column95]]) / (24 * 60))</f>
        <v>--</v>
      </c>
      <c r="CQ135" s="164"/>
      <c r="CR135" s="92">
        <f>IF(Table645[[#This Row],[Column94]]="--",0,Table645[[#This Row],[Column4]]*Table645[[#This Row],[Column94]])</f>
        <v>0</v>
      </c>
      <c r="CS135" s="218" t="str">
        <f>IF(Table645[[#This Row],[Column87]]="","",Table645[[#This Row],[Column87]])</f>
        <v/>
      </c>
      <c r="CT135" s="91" t="str">
        <f>IF(Table645[[#This Row],[Column97]]="","--",Table645[[#This Row],[Column97]]/$CS$3/60/24)</f>
        <v>--</v>
      </c>
      <c r="CU135" s="92">
        <f>IF(Table645[[#This Row],[Column98]]="--",0,Table645[[#This Row],[Column4]]*Table645[[#This Row],[Column98]])</f>
        <v>0</v>
      </c>
      <c r="CV135" s="93"/>
      <c r="CW135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35" s="91" t="str">
        <f>IF(OR(Table645[[#This Row],[Column74]]&gt;0,Table645[[#This Row],[Column87]]&gt;0),(Table645[[#This Row],[Column73]]+Table645[[#This Row],[Column86]]+1)*$CW$3/60/24,"--")</f>
        <v>--</v>
      </c>
      <c r="CY135" s="92">
        <f>IF(Table645[[#This Row],[Column102]]="--",0,Table645[[#This Row],[Column4]]*Table645[[#This Row],[Column102]])</f>
        <v>0</v>
      </c>
      <c r="CZ135" s="158" t="str">
        <f t="shared" si="92"/>
        <v>--</v>
      </c>
      <c r="DA135" s="153"/>
      <c r="DB135" s="160">
        <f>IF(Table645[[#This Row],[Column104]]="--",0,Table645[[#This Row],[Column4]]*Table645[[#This Row],[Column104]])</f>
        <v>0</v>
      </c>
      <c r="DC135" s="219"/>
      <c r="DD135" s="220" t="str">
        <f>IF(DC135=0,"--",1/$DC$3*1000/(60*60*24)*Table645[[#This Row],[Column107]])</f>
        <v>--</v>
      </c>
      <c r="DE135" s="160">
        <f>IF(Table645[[#This Row],[Column108]]="--",0,Table645[[#This Row],[Column4]]*Table645[[#This Row],[Column108]])</f>
        <v>0</v>
      </c>
      <c r="DF135" s="101" t="s">
        <v>70</v>
      </c>
      <c r="DG135" s="91" t="str">
        <f t="shared" si="93"/>
        <v>--</v>
      </c>
      <c r="DH135" s="89">
        <f>IF(Table645[[#This Row],[Column111]]="--",0,Table645[[#This Row],[Column4]]*Table645[[#This Row],[Column111]])</f>
        <v>0</v>
      </c>
      <c r="DI135" s="96"/>
      <c r="DJ135" s="96"/>
      <c r="DK135" s="96"/>
      <c r="DL135" s="96"/>
      <c r="DM135" s="96"/>
      <c r="DN135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35" s="89">
        <f>IF(Table645[[#This Row],[Column118]]="--",0,Table645[[#This Row],[Column4]]*Table645[[#This Row],[Column118]])</f>
        <v>0</v>
      </c>
      <c r="DP135" s="96"/>
      <c r="DQ135" s="96"/>
      <c r="DR135" s="91" t="str">
        <f t="shared" si="94"/>
        <v>--</v>
      </c>
      <c r="DS135" s="89">
        <f>IF(Table645[[#This Row],[Column122]]="--",0,Table645[[#This Row],[Column4]]*Table645[[#This Row],[Column122]])</f>
        <v>0</v>
      </c>
      <c r="DT135" t="str">
        <f>IF(Table645[[#This Row],[Column125]]=0,"--",Table645[[#This Row],[Column125]]*Table645[[#This Row],[Column126]]*Table645[[#This Row],[Column127]]/1000000000)</f>
        <v>--</v>
      </c>
      <c r="DU135" s="53"/>
      <c r="DV135" s="53"/>
      <c r="DW135" s="53"/>
      <c r="DX135" s="91" t="str">
        <f t="shared" si="95"/>
        <v>--</v>
      </c>
      <c r="DY135" s="89">
        <f>IF(Table645[[#This Row],[Column128]]="--",0,Table645[[#This Row],[Column4]]*Table645[[#This Row],[Column128]])</f>
        <v>0</v>
      </c>
      <c r="EA135" s="89">
        <f>IF(Table645[[#This Row],[Column128]]="--",0,Table645[[#This Row],[Column4]]*Table645[[#This Row],[Column128]])</f>
        <v>0</v>
      </c>
      <c r="EC135" s="89">
        <f>IF(Table645[[#This Row],[Column128]]="--",0,Table645[[#This Row],[Column4]]*Table645[[#This Row],[Column128]])</f>
        <v>0</v>
      </c>
      <c r="EE135" s="89">
        <f>IF(Table645[[#This Row],[Column128]]="--",0,Table645[[#This Row],[Column4]]*Table645[[#This Row],[Column128]])</f>
        <v>0</v>
      </c>
      <c r="EG135" s="89">
        <f>IF(Table645[[#This Row],[Column128]]="--",0,Table645[[#This Row],[Column4]]*Table645[[#This Row],[Column128]])</f>
        <v>0</v>
      </c>
      <c r="EI135" s="89">
        <f>IF(Table645[[#This Row],[Column128]]="--",0,Table645[[#This Row],[Column4]]*Table645[[#This Row],[Column128]])</f>
        <v>0</v>
      </c>
    </row>
    <row r="136" spans="1:139" x14ac:dyDescent="0.25">
      <c r="A136" s="140"/>
      <c r="B136" s="79"/>
      <c r="C136" s="140"/>
      <c r="D136" s="167"/>
      <c r="E136" s="52"/>
      <c r="F136" s="81"/>
      <c r="G136" s="81"/>
      <c r="H136" s="102" t="str">
        <f t="shared" si="86"/>
        <v>--</v>
      </c>
      <c r="I136" s="100">
        <f>IF(Table645[[#This Row],[Column8]]="--",0,Table645[[#This Row],[Column4]]*Table645[[#This Row],[Column8]])</f>
        <v>0</v>
      </c>
      <c r="J136" s="169"/>
      <c r="K136" s="85">
        <f>Table645[[#This Row],[Column4]]*Table645[[#This Row],[Column10]]</f>
        <v>0</v>
      </c>
      <c r="L136" s="170" t="str">
        <f t="shared" si="87"/>
        <v>--</v>
      </c>
      <c r="M136" s="214">
        <f>IF(Table645[[#This Row],[Column10]]=0,0,Table645[[#This Row],[Column4]]*Table645[[#This Row],[Column12]])</f>
        <v>0</v>
      </c>
      <c r="N136" s="87" t="str">
        <f t="shared" si="88"/>
        <v>--</v>
      </c>
      <c r="O136" s="138"/>
      <c r="AZ136" s="89">
        <f>IF(Table645[[#This Row],[Column14]]="--",0,Table645[[#This Row],[Column4]]*Table645[[#This Row],[Column14]])</f>
        <v>0</v>
      </c>
      <c r="BA136" s="90"/>
      <c r="BB136" s="91" t="str">
        <f>IF(BA136=0,"--",BA136*$BA$3*IF(Table645[[#This Row],[Column5]]&lt;4.1,1,2)/60/24)</f>
        <v>--</v>
      </c>
      <c r="BC136" s="92">
        <f>IF(Table645[[#This Row],[Column54]]="--",0,Table645[[#This Row],[Column4]]*Table645[[#This Row],[Column54]])</f>
        <v>0</v>
      </c>
      <c r="BD136" s="119"/>
      <c r="BE136" s="119"/>
      <c r="BF136" s="119"/>
      <c r="BG136" s="91" t="str">
        <f>IF(BD136+Table645[[#This Row],[Column58]]=0,"--",(BD136*$BF$3*Table645[[#This Row],[Column57]]+Table645[[#This Row],[Column58]]*$BF$4)/60/24)</f>
        <v>--</v>
      </c>
      <c r="BH136" s="92">
        <f>IF(Table645[[#This Row],[Column59]]="--",0,Table645[[#This Row],[Column4]]*Table645[[#This Row],[Column59]])</f>
        <v>0</v>
      </c>
      <c r="BI136" s="119"/>
      <c r="BJ136" s="91" t="str">
        <f t="shared" si="84"/>
        <v>--</v>
      </c>
      <c r="BK136" s="92">
        <f>IF(Table645[[#This Row],[Column62]]="--",0,Table645[[#This Row],[Column4]]*Table645[[#This Row],[Column62]])</f>
        <v>0</v>
      </c>
      <c r="BL136" s="93"/>
      <c r="BM136" s="91" t="str">
        <f t="shared" si="89"/>
        <v>--</v>
      </c>
      <c r="BN136" s="89">
        <f>IF(Table645[[#This Row],[Column65]]="--",0,Table645[[#This Row],[Column4]]*Table645[[#This Row],[Column65]])</f>
        <v>0</v>
      </c>
      <c r="BO136" s="163"/>
      <c r="BP136" s="164" t="str">
        <f t="shared" si="90"/>
        <v>--</v>
      </c>
      <c r="BQ136" s="160">
        <f>IF(Table645[[#This Row],[Column68]]="--",0,Table645[[#This Row],[Column4]]*Table645[[#This Row],[Column68]])</f>
        <v>0</v>
      </c>
      <c r="BR136" s="94"/>
      <c r="BS136" s="91" t="str">
        <f t="shared" si="91"/>
        <v>--</v>
      </c>
      <c r="BT136" s="92">
        <f>IF(Table645[[#This Row],[Column71]]="--",0,Table645[[#This Row],[Column4]]*Table645[[#This Row],[Column71]])</f>
        <v>0</v>
      </c>
      <c r="BU136" s="44"/>
      <c r="BV136" s="90"/>
      <c r="BW136" s="91" t="str">
        <f>IF(BV136=0,"--",(Table645[[#This Row],[Column73]]*$BV$4*(IF(J136&lt;0.5001,1,IF(J136&lt;2.0001,2,3)))+BV136/$BV$3)/60/24)</f>
        <v>--</v>
      </c>
      <c r="BX136" s="92">
        <f>IF(Table645[[#This Row],[Column75]]="--",0,Table645[[#This Row],[Column4]]*Table645[[#This Row],[Column75]])</f>
        <v>0</v>
      </c>
      <c r="BY136" s="95" t="s">
        <v>70</v>
      </c>
      <c r="BZ136" s="91" t="str">
        <f>IF(Table645[[#This Row],[Column74]]=0,"--",BW136*$BY$3)</f>
        <v>--</v>
      </c>
      <c r="CA136" s="89">
        <f>IF(Table645[[#This Row],[Column78]]="--",0,Table645[[#This Row],[Column4]]*Table645[[#This Row],[Column78]])</f>
        <v>0</v>
      </c>
      <c r="CB136" s="95" t="s">
        <v>70</v>
      </c>
      <c r="CC136" s="91" t="str">
        <f>IF(Table645[[#This Row],[Column10]]+Table645[[#This Row],[Column74]]=0,"--",J136*$CB$4*$CB$5/(24*60)+IF(Table645[[#This Row],[Column74]]=0,0,$CB$3*Table645[[#This Row],[Column75]]))</f>
        <v>--</v>
      </c>
      <c r="CD136" s="92">
        <f>IF(Table645[[#This Row],[Column81]]="--",0,Table645[[#This Row],[Column4]]*Table645[[#This Row],[Column81]])</f>
        <v>0</v>
      </c>
      <c r="CE136" s="215"/>
      <c r="CF136" s="91" t="str">
        <f t="shared" si="85"/>
        <v>--</v>
      </c>
      <c r="CG136" s="92">
        <f>IF(Table645[[#This Row],[Column84]]="--",0,Table645[[#This Row],[Column4]]*Table645[[#This Row],[Column84]])</f>
        <v>0</v>
      </c>
      <c r="CH136" s="226"/>
      <c r="CI136" s="216"/>
      <c r="CJ136" s="91" t="str">
        <f>IF(CI136=0,"--",(Table645[[#This Row],[Column86]]*$CI$4*(IF(W136&lt;0.5001,1,IF(W136&lt;2.0001,2,3)))+CI136/$CI$3)/60/24)</f>
        <v>--</v>
      </c>
      <c r="CK136" s="92">
        <f>IF(Table645[[#This Row],[Column88]]="--",0,Table645[[#This Row],[Column4]]*Table645[[#This Row],[Column88]])</f>
        <v>0</v>
      </c>
      <c r="CL136" s="217"/>
      <c r="CM136" s="91" t="str">
        <f>IF(Table645[[#This Row],[Column87]]=0,"--",CJ136*$CL$3)</f>
        <v>--</v>
      </c>
      <c r="CN136" s="92">
        <f>IF(Table645[[#This Row],[Column91]]="--",0,Table645[[#This Row],[Column4]]*Table645[[#This Row],[Column91]])</f>
        <v>0</v>
      </c>
      <c r="CO136" s="217"/>
      <c r="CP136" s="91" t="str">
        <f>IF(Table645[[#This Row],[Column10]]+Table645[[#This Row],[Column87]]=0, "--", IF($D136="", 1, $D136) * IF($J136="", 1, $J136) * $CO$3 * $CO$4 * IF(Table645[[#This Row],[Column95]]="", 1, Table645[[#This Row],[Column95]]) / (24 * 60))</f>
        <v>--</v>
      </c>
      <c r="CQ136" s="164"/>
      <c r="CR136" s="92">
        <f>IF(Table645[[#This Row],[Column94]]="--",0,Table645[[#This Row],[Column4]]*Table645[[#This Row],[Column94]])</f>
        <v>0</v>
      </c>
      <c r="CS136" s="218" t="str">
        <f>IF(Table645[[#This Row],[Column87]]="","",Table645[[#This Row],[Column87]])</f>
        <v/>
      </c>
      <c r="CT136" s="91" t="str">
        <f>IF(Table645[[#This Row],[Column97]]="","--",Table645[[#This Row],[Column97]]/$CS$3/60/24)</f>
        <v>--</v>
      </c>
      <c r="CU136" s="92">
        <f>IF(Table645[[#This Row],[Column98]]="--",0,Table645[[#This Row],[Column4]]*Table645[[#This Row],[Column98]])</f>
        <v>0</v>
      </c>
      <c r="CV136" s="93"/>
      <c r="CW136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36" s="91" t="str">
        <f>IF(OR(Table645[[#This Row],[Column74]]&gt;0,Table645[[#This Row],[Column87]]&gt;0),(Table645[[#This Row],[Column73]]+Table645[[#This Row],[Column86]]+1)*$CW$3/60/24,"--")</f>
        <v>--</v>
      </c>
      <c r="CY136" s="92">
        <f>IF(Table645[[#This Row],[Column102]]="--",0,Table645[[#This Row],[Column4]]*Table645[[#This Row],[Column102]])</f>
        <v>0</v>
      </c>
      <c r="CZ136" s="158" t="str">
        <f t="shared" si="92"/>
        <v>--</v>
      </c>
      <c r="DA136" s="153"/>
      <c r="DB136" s="160">
        <f>IF(Table645[[#This Row],[Column104]]="--",0,Table645[[#This Row],[Column4]]*Table645[[#This Row],[Column104]])</f>
        <v>0</v>
      </c>
      <c r="DC136" s="219"/>
      <c r="DD136" s="220" t="str">
        <f>IF(DC136=0,"--",1/$DC$3*1000/(60*60*24)*Table645[[#This Row],[Column107]])</f>
        <v>--</v>
      </c>
      <c r="DE136" s="160">
        <f>IF(Table645[[#This Row],[Column108]]="--",0,Table645[[#This Row],[Column4]]*Table645[[#This Row],[Column108]])</f>
        <v>0</v>
      </c>
      <c r="DF136" s="101" t="s">
        <v>70</v>
      </c>
      <c r="DG136" s="91" t="str">
        <f t="shared" si="93"/>
        <v>--</v>
      </c>
      <c r="DH136" s="89">
        <f>IF(Table645[[#This Row],[Column111]]="--",0,Table645[[#This Row],[Column4]]*Table645[[#This Row],[Column111]])</f>
        <v>0</v>
      </c>
      <c r="DI136" s="96"/>
      <c r="DJ136" s="96"/>
      <c r="DK136" s="96"/>
      <c r="DL136" s="96"/>
      <c r="DM136" s="96"/>
      <c r="DN136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36" s="89">
        <f>IF(Table645[[#This Row],[Column118]]="--",0,Table645[[#This Row],[Column4]]*Table645[[#This Row],[Column118]])</f>
        <v>0</v>
      </c>
      <c r="DP136" s="96"/>
      <c r="DQ136" s="96"/>
      <c r="DR136" s="91" t="str">
        <f t="shared" si="94"/>
        <v>--</v>
      </c>
      <c r="DS136" s="89">
        <f>IF(Table645[[#This Row],[Column122]]="--",0,Table645[[#This Row],[Column4]]*Table645[[#This Row],[Column122]])</f>
        <v>0</v>
      </c>
      <c r="DT136" t="str">
        <f>IF(Table645[[#This Row],[Column125]]=0,"--",Table645[[#This Row],[Column125]]*Table645[[#This Row],[Column126]]*Table645[[#This Row],[Column127]]/1000000000)</f>
        <v>--</v>
      </c>
      <c r="DU136" s="53"/>
      <c r="DV136" s="53"/>
      <c r="DW136" s="53"/>
      <c r="DX136" s="91" t="str">
        <f t="shared" si="95"/>
        <v>--</v>
      </c>
      <c r="DY136" s="89">
        <f>IF(Table645[[#This Row],[Column128]]="--",0,Table645[[#This Row],[Column4]]*Table645[[#This Row],[Column128]])</f>
        <v>0</v>
      </c>
      <c r="EA136" s="89">
        <f>IF(Table645[[#This Row],[Column128]]="--",0,Table645[[#This Row],[Column4]]*Table645[[#This Row],[Column128]])</f>
        <v>0</v>
      </c>
      <c r="EC136" s="89">
        <f>IF(Table645[[#This Row],[Column128]]="--",0,Table645[[#This Row],[Column4]]*Table645[[#This Row],[Column128]])</f>
        <v>0</v>
      </c>
      <c r="EE136" s="89">
        <f>IF(Table645[[#This Row],[Column128]]="--",0,Table645[[#This Row],[Column4]]*Table645[[#This Row],[Column128]])</f>
        <v>0</v>
      </c>
      <c r="EG136" s="89">
        <f>IF(Table645[[#This Row],[Column128]]="--",0,Table645[[#This Row],[Column4]]*Table645[[#This Row],[Column128]])</f>
        <v>0</v>
      </c>
      <c r="EI136" s="89">
        <f>IF(Table645[[#This Row],[Column128]]="--",0,Table645[[#This Row],[Column4]]*Table645[[#This Row],[Column128]])</f>
        <v>0</v>
      </c>
    </row>
    <row r="137" spans="1:139" x14ac:dyDescent="0.25">
      <c r="A137" s="140"/>
      <c r="B137" s="79"/>
      <c r="C137" s="140"/>
      <c r="D137" s="167"/>
      <c r="E137" s="52"/>
      <c r="F137" s="81"/>
      <c r="G137" s="81"/>
      <c r="H137" s="102" t="str">
        <f t="shared" si="86"/>
        <v>--</v>
      </c>
      <c r="I137" s="100">
        <f>IF(Table645[[#This Row],[Column8]]="--",0,Table645[[#This Row],[Column4]]*Table645[[#This Row],[Column8]])</f>
        <v>0</v>
      </c>
      <c r="J137" s="169"/>
      <c r="K137" s="85">
        <f>Table645[[#This Row],[Column4]]*Table645[[#This Row],[Column10]]</f>
        <v>0</v>
      </c>
      <c r="L137" s="170" t="str">
        <f t="shared" si="87"/>
        <v>--</v>
      </c>
      <c r="M137" s="214">
        <f>IF(Table645[[#This Row],[Column10]]=0,0,Table645[[#This Row],[Column4]]*Table645[[#This Row],[Column12]])</f>
        <v>0</v>
      </c>
      <c r="N137" s="87" t="str">
        <f t="shared" si="88"/>
        <v>--</v>
      </c>
      <c r="O137" s="138"/>
      <c r="AZ137" s="89">
        <f>IF(Table645[[#This Row],[Column14]]="--",0,Table645[[#This Row],[Column4]]*Table645[[#This Row],[Column14]])</f>
        <v>0</v>
      </c>
      <c r="BA137" s="90"/>
      <c r="BB137" s="91" t="str">
        <f>IF(BA137=0,"--",BA137*$BA$3*IF(Table645[[#This Row],[Column5]]&lt;4.1,1,2)/60/24)</f>
        <v>--</v>
      </c>
      <c r="BC137" s="92">
        <f>IF(Table645[[#This Row],[Column54]]="--",0,Table645[[#This Row],[Column4]]*Table645[[#This Row],[Column54]])</f>
        <v>0</v>
      </c>
      <c r="BD137" s="119"/>
      <c r="BE137" s="119"/>
      <c r="BF137" s="119"/>
      <c r="BG137" s="91" t="str">
        <f>IF(BD137+Table645[[#This Row],[Column58]]=0,"--",(BD137*$BF$3*Table645[[#This Row],[Column57]]+Table645[[#This Row],[Column58]]*$BF$4)/60/24)</f>
        <v>--</v>
      </c>
      <c r="BH137" s="92">
        <f>IF(Table645[[#This Row],[Column59]]="--",0,Table645[[#This Row],[Column4]]*Table645[[#This Row],[Column59]])</f>
        <v>0</v>
      </c>
      <c r="BI137" s="119"/>
      <c r="BJ137" s="91" t="str">
        <f t="shared" si="84"/>
        <v>--</v>
      </c>
      <c r="BK137" s="92">
        <f>IF(Table645[[#This Row],[Column62]]="--",0,Table645[[#This Row],[Column4]]*Table645[[#This Row],[Column62]])</f>
        <v>0</v>
      </c>
      <c r="BL137" s="93"/>
      <c r="BM137" s="91" t="str">
        <f t="shared" si="89"/>
        <v>--</v>
      </c>
      <c r="BN137" s="89">
        <f>IF(Table645[[#This Row],[Column65]]="--",0,Table645[[#This Row],[Column4]]*Table645[[#This Row],[Column65]])</f>
        <v>0</v>
      </c>
      <c r="BO137" s="163"/>
      <c r="BP137" s="164" t="str">
        <f t="shared" si="90"/>
        <v>--</v>
      </c>
      <c r="BQ137" s="160">
        <f>IF(Table645[[#This Row],[Column68]]="--",0,Table645[[#This Row],[Column4]]*Table645[[#This Row],[Column68]])</f>
        <v>0</v>
      </c>
      <c r="BR137" s="94"/>
      <c r="BS137" s="91" t="str">
        <f t="shared" si="91"/>
        <v>--</v>
      </c>
      <c r="BT137" s="92">
        <f>IF(Table645[[#This Row],[Column71]]="--",0,Table645[[#This Row],[Column4]]*Table645[[#This Row],[Column71]])</f>
        <v>0</v>
      </c>
      <c r="BU137" s="44"/>
      <c r="BV137" s="90"/>
      <c r="BW137" s="91" t="str">
        <f>IF(BV137=0,"--",(Table645[[#This Row],[Column73]]*$BV$4*(IF(J137&lt;0.5001,1,IF(J137&lt;2.0001,2,3)))+BV137/$BV$3)/60/24)</f>
        <v>--</v>
      </c>
      <c r="BX137" s="92">
        <f>IF(Table645[[#This Row],[Column75]]="--",0,Table645[[#This Row],[Column4]]*Table645[[#This Row],[Column75]])</f>
        <v>0</v>
      </c>
      <c r="BY137" s="95" t="s">
        <v>70</v>
      </c>
      <c r="BZ137" s="91" t="str">
        <f>IF(Table645[[#This Row],[Column74]]=0,"--",BW137*$BY$3)</f>
        <v>--</v>
      </c>
      <c r="CA137" s="89">
        <f>IF(Table645[[#This Row],[Column78]]="--",0,Table645[[#This Row],[Column4]]*Table645[[#This Row],[Column78]])</f>
        <v>0</v>
      </c>
      <c r="CB137" s="95" t="s">
        <v>70</v>
      </c>
      <c r="CC137" s="91" t="str">
        <f>IF(Table645[[#This Row],[Column10]]+Table645[[#This Row],[Column74]]=0,"--",J137*$CB$4*$CB$5/(24*60)+IF(Table645[[#This Row],[Column74]]=0,0,$CB$3*Table645[[#This Row],[Column75]]))</f>
        <v>--</v>
      </c>
      <c r="CD137" s="92">
        <f>IF(Table645[[#This Row],[Column81]]="--",0,Table645[[#This Row],[Column4]]*Table645[[#This Row],[Column81]])</f>
        <v>0</v>
      </c>
      <c r="CE137" s="215"/>
      <c r="CF137" s="91" t="str">
        <f t="shared" si="85"/>
        <v>--</v>
      </c>
      <c r="CG137" s="92">
        <f>IF(Table645[[#This Row],[Column84]]="--",0,Table645[[#This Row],[Column4]]*Table645[[#This Row],[Column84]])</f>
        <v>0</v>
      </c>
      <c r="CH137" s="226"/>
      <c r="CI137" s="216"/>
      <c r="CJ137" s="91" t="str">
        <f>IF(CI137=0,"--",(Table645[[#This Row],[Column86]]*$CI$4*(IF(W137&lt;0.5001,1,IF(W137&lt;2.0001,2,3)))+CI137/$CI$3)/60/24)</f>
        <v>--</v>
      </c>
      <c r="CK137" s="92">
        <f>IF(Table645[[#This Row],[Column88]]="--",0,Table645[[#This Row],[Column4]]*Table645[[#This Row],[Column88]])</f>
        <v>0</v>
      </c>
      <c r="CL137" s="217"/>
      <c r="CM137" s="91" t="str">
        <f>IF(Table645[[#This Row],[Column87]]=0,"--",CJ137*$CL$3)</f>
        <v>--</v>
      </c>
      <c r="CN137" s="92">
        <f>IF(Table645[[#This Row],[Column91]]="--",0,Table645[[#This Row],[Column4]]*Table645[[#This Row],[Column91]])</f>
        <v>0</v>
      </c>
      <c r="CO137" s="217"/>
      <c r="CP137" s="91" t="str">
        <f>IF(Table645[[#This Row],[Column10]]+Table645[[#This Row],[Column87]]=0, "--", IF($D137="", 1, $D137) * IF($J137="", 1, $J137) * $CO$3 * $CO$4 * IF(Table645[[#This Row],[Column95]]="", 1, Table645[[#This Row],[Column95]]) / (24 * 60))</f>
        <v>--</v>
      </c>
      <c r="CQ137" s="164"/>
      <c r="CR137" s="92">
        <f>IF(Table645[[#This Row],[Column94]]="--",0,Table645[[#This Row],[Column4]]*Table645[[#This Row],[Column94]])</f>
        <v>0</v>
      </c>
      <c r="CS137" s="218" t="str">
        <f>IF(Table645[[#This Row],[Column87]]="","",Table645[[#This Row],[Column87]])</f>
        <v/>
      </c>
      <c r="CT137" s="91" t="str">
        <f>IF(Table645[[#This Row],[Column97]]="","--",Table645[[#This Row],[Column97]]/$CS$3/60/24)</f>
        <v>--</v>
      </c>
      <c r="CU137" s="92">
        <f>IF(Table645[[#This Row],[Column98]]="--",0,Table645[[#This Row],[Column4]]*Table645[[#This Row],[Column98]])</f>
        <v>0</v>
      </c>
      <c r="CV137" s="93"/>
      <c r="CW137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37" s="91" t="str">
        <f>IF(OR(Table645[[#This Row],[Column74]]&gt;0,Table645[[#This Row],[Column87]]&gt;0),(Table645[[#This Row],[Column73]]+Table645[[#This Row],[Column86]]+1)*$CW$3/60/24,"--")</f>
        <v>--</v>
      </c>
      <c r="CY137" s="92">
        <f>IF(Table645[[#This Row],[Column102]]="--",0,Table645[[#This Row],[Column4]]*Table645[[#This Row],[Column102]])</f>
        <v>0</v>
      </c>
      <c r="CZ137" s="158" t="str">
        <f t="shared" si="92"/>
        <v>--</v>
      </c>
      <c r="DA137" s="153"/>
      <c r="DB137" s="160">
        <f>IF(Table645[[#This Row],[Column104]]="--",0,Table645[[#This Row],[Column4]]*Table645[[#This Row],[Column104]])</f>
        <v>0</v>
      </c>
      <c r="DC137" s="219"/>
      <c r="DD137" s="220" t="str">
        <f>IF(DC137=0,"--",1/$DC$3*1000/(60*60*24)*Table645[[#This Row],[Column107]])</f>
        <v>--</v>
      </c>
      <c r="DE137" s="160">
        <f>IF(Table645[[#This Row],[Column108]]="--",0,Table645[[#This Row],[Column4]]*Table645[[#This Row],[Column108]])</f>
        <v>0</v>
      </c>
      <c r="DF137" s="101" t="s">
        <v>70</v>
      </c>
      <c r="DG137" s="91" t="str">
        <f t="shared" si="93"/>
        <v>--</v>
      </c>
      <c r="DH137" s="89">
        <f>IF(Table645[[#This Row],[Column111]]="--",0,Table645[[#This Row],[Column4]]*Table645[[#This Row],[Column111]])</f>
        <v>0</v>
      </c>
      <c r="DI137" s="96"/>
      <c r="DJ137" s="96"/>
      <c r="DK137" s="96"/>
      <c r="DL137" s="96"/>
      <c r="DM137" s="96"/>
      <c r="DN137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37" s="89">
        <f>IF(Table645[[#This Row],[Column118]]="--",0,Table645[[#This Row],[Column4]]*Table645[[#This Row],[Column118]])</f>
        <v>0</v>
      </c>
      <c r="DP137" s="96"/>
      <c r="DQ137" s="96"/>
      <c r="DR137" s="91" t="str">
        <f t="shared" si="94"/>
        <v>--</v>
      </c>
      <c r="DS137" s="89">
        <f>IF(Table645[[#This Row],[Column122]]="--",0,Table645[[#This Row],[Column4]]*Table645[[#This Row],[Column122]])</f>
        <v>0</v>
      </c>
      <c r="DT137" t="str">
        <f>IF(Table645[[#This Row],[Column125]]=0,"--",Table645[[#This Row],[Column125]]*Table645[[#This Row],[Column126]]*Table645[[#This Row],[Column127]]/1000000000)</f>
        <v>--</v>
      </c>
      <c r="DU137" s="53"/>
      <c r="DV137" s="53"/>
      <c r="DW137" s="53"/>
      <c r="DX137" s="91" t="str">
        <f t="shared" si="95"/>
        <v>--</v>
      </c>
      <c r="DY137" s="89">
        <f>IF(Table645[[#This Row],[Column128]]="--",0,Table645[[#This Row],[Column4]]*Table645[[#This Row],[Column128]])</f>
        <v>0</v>
      </c>
      <c r="EA137" s="89">
        <f>IF(Table645[[#This Row],[Column128]]="--",0,Table645[[#This Row],[Column4]]*Table645[[#This Row],[Column128]])</f>
        <v>0</v>
      </c>
      <c r="EC137" s="89">
        <f>IF(Table645[[#This Row],[Column128]]="--",0,Table645[[#This Row],[Column4]]*Table645[[#This Row],[Column128]])</f>
        <v>0</v>
      </c>
      <c r="EE137" s="89">
        <f>IF(Table645[[#This Row],[Column128]]="--",0,Table645[[#This Row],[Column4]]*Table645[[#This Row],[Column128]])</f>
        <v>0</v>
      </c>
      <c r="EG137" s="89">
        <f>IF(Table645[[#This Row],[Column128]]="--",0,Table645[[#This Row],[Column4]]*Table645[[#This Row],[Column128]])</f>
        <v>0</v>
      </c>
      <c r="EI137" s="89">
        <f>IF(Table645[[#This Row],[Column128]]="--",0,Table645[[#This Row],[Column4]]*Table645[[#This Row],[Column128]])</f>
        <v>0</v>
      </c>
    </row>
    <row r="138" spans="1:139" x14ac:dyDescent="0.25">
      <c r="A138" s="140"/>
      <c r="B138" s="79"/>
      <c r="C138" s="140"/>
      <c r="D138" s="167"/>
      <c r="E138" s="52"/>
      <c r="F138" s="81"/>
      <c r="G138" s="81"/>
      <c r="H138" s="102" t="str">
        <f t="shared" si="86"/>
        <v>--</v>
      </c>
      <c r="I138" s="100">
        <f>IF(Table645[[#This Row],[Column8]]="--",0,Table645[[#This Row],[Column4]]*Table645[[#This Row],[Column8]])</f>
        <v>0</v>
      </c>
      <c r="J138" s="169"/>
      <c r="K138" s="85">
        <f>Table645[[#This Row],[Column4]]*Table645[[#This Row],[Column10]]</f>
        <v>0</v>
      </c>
      <c r="L138" s="170" t="str">
        <f t="shared" si="87"/>
        <v>--</v>
      </c>
      <c r="M138" s="214">
        <f>IF(Table645[[#This Row],[Column10]]=0,0,Table645[[#This Row],[Column4]]*Table645[[#This Row],[Column12]])</f>
        <v>0</v>
      </c>
      <c r="N138" s="87" t="str">
        <f t="shared" si="88"/>
        <v>--</v>
      </c>
      <c r="O138" s="138"/>
      <c r="AZ138" s="89">
        <f>IF(Table645[[#This Row],[Column14]]="--",0,Table645[[#This Row],[Column4]]*Table645[[#This Row],[Column14]])</f>
        <v>0</v>
      </c>
      <c r="BA138" s="90"/>
      <c r="BB138" s="91" t="str">
        <f>IF(BA138=0,"--",BA138*$BA$3*IF(Table645[[#This Row],[Column5]]&lt;4.1,1,2)/60/24)</f>
        <v>--</v>
      </c>
      <c r="BC138" s="92">
        <f>IF(Table645[[#This Row],[Column54]]="--",0,Table645[[#This Row],[Column4]]*Table645[[#This Row],[Column54]])</f>
        <v>0</v>
      </c>
      <c r="BD138" s="119"/>
      <c r="BE138" s="119"/>
      <c r="BF138" s="119"/>
      <c r="BG138" s="91" t="str">
        <f>IF(BD138+Table645[[#This Row],[Column58]]=0,"--",(BD138*$BF$3*Table645[[#This Row],[Column57]]+Table645[[#This Row],[Column58]]*$BF$4)/60/24)</f>
        <v>--</v>
      </c>
      <c r="BH138" s="92">
        <f>IF(Table645[[#This Row],[Column59]]="--",0,Table645[[#This Row],[Column4]]*Table645[[#This Row],[Column59]])</f>
        <v>0</v>
      </c>
      <c r="BI138" s="119"/>
      <c r="BJ138" s="91" t="str">
        <f t="shared" si="84"/>
        <v>--</v>
      </c>
      <c r="BK138" s="92">
        <f>IF(Table645[[#This Row],[Column62]]="--",0,Table645[[#This Row],[Column4]]*Table645[[#This Row],[Column62]])</f>
        <v>0</v>
      </c>
      <c r="BL138" s="93"/>
      <c r="BM138" s="91" t="str">
        <f t="shared" si="89"/>
        <v>--</v>
      </c>
      <c r="BN138" s="89">
        <f>IF(Table645[[#This Row],[Column65]]="--",0,Table645[[#This Row],[Column4]]*Table645[[#This Row],[Column65]])</f>
        <v>0</v>
      </c>
      <c r="BO138" s="163"/>
      <c r="BP138" s="164" t="str">
        <f t="shared" si="90"/>
        <v>--</v>
      </c>
      <c r="BQ138" s="160">
        <f>IF(Table645[[#This Row],[Column68]]="--",0,Table645[[#This Row],[Column4]]*Table645[[#This Row],[Column68]])</f>
        <v>0</v>
      </c>
      <c r="BR138" s="94"/>
      <c r="BS138" s="91" t="str">
        <f t="shared" si="91"/>
        <v>--</v>
      </c>
      <c r="BT138" s="92">
        <f>IF(Table645[[#This Row],[Column71]]="--",0,Table645[[#This Row],[Column4]]*Table645[[#This Row],[Column71]])</f>
        <v>0</v>
      </c>
      <c r="BU138" s="44"/>
      <c r="BV138" s="90"/>
      <c r="BW138" s="91" t="str">
        <f>IF(BV138=0,"--",(Table645[[#This Row],[Column73]]*$BV$4*(IF(J138&lt;0.5001,1,IF(J138&lt;2.0001,2,3)))+BV138/$BV$3)/60/24)</f>
        <v>--</v>
      </c>
      <c r="BX138" s="92">
        <f>IF(Table645[[#This Row],[Column75]]="--",0,Table645[[#This Row],[Column4]]*Table645[[#This Row],[Column75]])</f>
        <v>0</v>
      </c>
      <c r="BY138" s="95" t="s">
        <v>70</v>
      </c>
      <c r="BZ138" s="91" t="str">
        <f>IF(Table645[[#This Row],[Column74]]=0,"--",BW138*$BY$3)</f>
        <v>--</v>
      </c>
      <c r="CA138" s="89">
        <f>IF(Table645[[#This Row],[Column78]]="--",0,Table645[[#This Row],[Column4]]*Table645[[#This Row],[Column78]])</f>
        <v>0</v>
      </c>
      <c r="CB138" s="95" t="s">
        <v>70</v>
      </c>
      <c r="CC138" s="91" t="str">
        <f>IF(Table645[[#This Row],[Column10]]+Table645[[#This Row],[Column74]]=0,"--",J138*$CB$4*$CB$5/(24*60)+IF(Table645[[#This Row],[Column74]]=0,0,$CB$3*Table645[[#This Row],[Column75]]))</f>
        <v>--</v>
      </c>
      <c r="CD138" s="92">
        <f>IF(Table645[[#This Row],[Column81]]="--",0,Table645[[#This Row],[Column4]]*Table645[[#This Row],[Column81]])</f>
        <v>0</v>
      </c>
      <c r="CE138" s="215"/>
      <c r="CF138" s="91" t="str">
        <f t="shared" si="85"/>
        <v>--</v>
      </c>
      <c r="CG138" s="92">
        <f>IF(Table645[[#This Row],[Column84]]="--",0,Table645[[#This Row],[Column4]]*Table645[[#This Row],[Column84]])</f>
        <v>0</v>
      </c>
      <c r="CH138" s="226"/>
      <c r="CI138" s="216"/>
      <c r="CJ138" s="91" t="str">
        <f>IF(CI138=0,"--",(Table645[[#This Row],[Column86]]*$CI$4*(IF(W138&lt;0.5001,1,IF(W138&lt;2.0001,2,3)))+CI138/$CI$3)/60/24)</f>
        <v>--</v>
      </c>
      <c r="CK138" s="92">
        <f>IF(Table645[[#This Row],[Column88]]="--",0,Table645[[#This Row],[Column4]]*Table645[[#This Row],[Column88]])</f>
        <v>0</v>
      </c>
      <c r="CL138" s="217"/>
      <c r="CM138" s="91" t="str">
        <f>IF(Table645[[#This Row],[Column87]]=0,"--",CJ138*$CL$3)</f>
        <v>--</v>
      </c>
      <c r="CN138" s="92">
        <f>IF(Table645[[#This Row],[Column91]]="--",0,Table645[[#This Row],[Column4]]*Table645[[#This Row],[Column91]])</f>
        <v>0</v>
      </c>
      <c r="CO138" s="217"/>
      <c r="CP138" s="91" t="str">
        <f>IF(Table645[[#This Row],[Column10]]+Table645[[#This Row],[Column87]]=0, "--", IF($D138="", 1, $D138) * IF($J138="", 1, $J138) * $CO$3 * $CO$4 * IF(Table645[[#This Row],[Column95]]="", 1, Table645[[#This Row],[Column95]]) / (24 * 60))</f>
        <v>--</v>
      </c>
      <c r="CQ138" s="164"/>
      <c r="CR138" s="92">
        <f>IF(Table645[[#This Row],[Column94]]="--",0,Table645[[#This Row],[Column4]]*Table645[[#This Row],[Column94]])</f>
        <v>0</v>
      </c>
      <c r="CS138" s="218" t="str">
        <f>IF(Table645[[#This Row],[Column87]]="","",Table645[[#This Row],[Column87]])</f>
        <v/>
      </c>
      <c r="CT138" s="91" t="str">
        <f>IF(Table645[[#This Row],[Column97]]="","--",Table645[[#This Row],[Column97]]/$CS$3/60/24)</f>
        <v>--</v>
      </c>
      <c r="CU138" s="92">
        <f>IF(Table645[[#This Row],[Column98]]="--",0,Table645[[#This Row],[Column4]]*Table645[[#This Row],[Column98]])</f>
        <v>0</v>
      </c>
      <c r="CV138" s="93"/>
      <c r="CW138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38" s="91" t="str">
        <f>IF(OR(Table645[[#This Row],[Column74]]&gt;0,Table645[[#This Row],[Column87]]&gt;0),(Table645[[#This Row],[Column73]]+Table645[[#This Row],[Column86]]+1)*$CW$3/60/24,"--")</f>
        <v>--</v>
      </c>
      <c r="CY138" s="92">
        <f>IF(Table645[[#This Row],[Column102]]="--",0,Table645[[#This Row],[Column4]]*Table645[[#This Row],[Column102]])</f>
        <v>0</v>
      </c>
      <c r="CZ138" s="158" t="str">
        <f t="shared" si="92"/>
        <v>--</v>
      </c>
      <c r="DA138" s="153"/>
      <c r="DB138" s="160">
        <f>IF(Table645[[#This Row],[Column104]]="--",0,Table645[[#This Row],[Column4]]*Table645[[#This Row],[Column104]])</f>
        <v>0</v>
      </c>
      <c r="DC138" s="219"/>
      <c r="DD138" s="220" t="str">
        <f>IF(DC138=0,"--",1/$DC$3*1000/(60*60*24)*Table645[[#This Row],[Column107]])</f>
        <v>--</v>
      </c>
      <c r="DE138" s="160">
        <f>IF(Table645[[#This Row],[Column108]]="--",0,Table645[[#This Row],[Column4]]*Table645[[#This Row],[Column108]])</f>
        <v>0</v>
      </c>
      <c r="DF138" s="101" t="s">
        <v>70</v>
      </c>
      <c r="DG138" s="91" t="str">
        <f t="shared" si="93"/>
        <v>--</v>
      </c>
      <c r="DH138" s="89">
        <f>IF(Table645[[#This Row],[Column111]]="--",0,Table645[[#This Row],[Column4]]*Table645[[#This Row],[Column111]])</f>
        <v>0</v>
      </c>
      <c r="DI138" s="96"/>
      <c r="DJ138" s="96"/>
      <c r="DK138" s="96"/>
      <c r="DL138" s="96"/>
      <c r="DM138" s="96"/>
      <c r="DN138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38" s="89">
        <f>IF(Table645[[#This Row],[Column118]]="--",0,Table645[[#This Row],[Column4]]*Table645[[#This Row],[Column118]])</f>
        <v>0</v>
      </c>
      <c r="DP138" s="96"/>
      <c r="DQ138" s="96"/>
      <c r="DR138" s="91" t="str">
        <f t="shared" si="94"/>
        <v>--</v>
      </c>
      <c r="DS138" s="89">
        <f>IF(Table645[[#This Row],[Column122]]="--",0,Table645[[#This Row],[Column4]]*Table645[[#This Row],[Column122]])</f>
        <v>0</v>
      </c>
      <c r="DT138" t="str">
        <f>IF(Table645[[#This Row],[Column125]]=0,"--",Table645[[#This Row],[Column125]]*Table645[[#This Row],[Column126]]*Table645[[#This Row],[Column127]]/1000000000)</f>
        <v>--</v>
      </c>
      <c r="DU138" s="53"/>
      <c r="DV138" s="53"/>
      <c r="DW138" s="53"/>
      <c r="DX138" s="91" t="str">
        <f t="shared" si="95"/>
        <v>--</v>
      </c>
      <c r="DY138" s="89">
        <f>IF(Table645[[#This Row],[Column128]]="--",0,Table645[[#This Row],[Column4]]*Table645[[#This Row],[Column128]])</f>
        <v>0</v>
      </c>
      <c r="EA138" s="89">
        <f>IF(Table645[[#This Row],[Column128]]="--",0,Table645[[#This Row],[Column4]]*Table645[[#This Row],[Column128]])</f>
        <v>0</v>
      </c>
      <c r="EC138" s="89">
        <f>IF(Table645[[#This Row],[Column128]]="--",0,Table645[[#This Row],[Column4]]*Table645[[#This Row],[Column128]])</f>
        <v>0</v>
      </c>
      <c r="EE138" s="89">
        <f>IF(Table645[[#This Row],[Column128]]="--",0,Table645[[#This Row],[Column4]]*Table645[[#This Row],[Column128]])</f>
        <v>0</v>
      </c>
      <c r="EG138" s="89">
        <f>IF(Table645[[#This Row],[Column128]]="--",0,Table645[[#This Row],[Column4]]*Table645[[#This Row],[Column128]])</f>
        <v>0</v>
      </c>
      <c r="EI138" s="89">
        <f>IF(Table645[[#This Row],[Column128]]="--",0,Table645[[#This Row],[Column4]]*Table645[[#This Row],[Column128]])</f>
        <v>0</v>
      </c>
    </row>
    <row r="139" spans="1:139" x14ac:dyDescent="0.25">
      <c r="A139" s="140"/>
      <c r="B139" s="79"/>
      <c r="C139" s="140"/>
      <c r="D139" s="167"/>
      <c r="E139" s="52"/>
      <c r="F139" s="81"/>
      <c r="G139" s="81"/>
      <c r="H139" s="102" t="str">
        <f t="shared" si="86"/>
        <v>--</v>
      </c>
      <c r="I139" s="100">
        <f>IF(Table645[[#This Row],[Column8]]="--",0,Table645[[#This Row],[Column4]]*Table645[[#This Row],[Column8]])</f>
        <v>0</v>
      </c>
      <c r="J139" s="169"/>
      <c r="K139" s="85">
        <f>Table645[[#This Row],[Column4]]*Table645[[#This Row],[Column10]]</f>
        <v>0</v>
      </c>
      <c r="L139" s="170" t="str">
        <f t="shared" si="87"/>
        <v>--</v>
      </c>
      <c r="M139" s="214">
        <f>IF(Table645[[#This Row],[Column10]]=0,0,Table645[[#This Row],[Column4]]*Table645[[#This Row],[Column12]])</f>
        <v>0</v>
      </c>
      <c r="N139" s="87" t="str">
        <f t="shared" si="88"/>
        <v>--</v>
      </c>
      <c r="O139" s="138"/>
      <c r="AZ139" s="89">
        <f>IF(Table645[[#This Row],[Column14]]="--",0,Table645[[#This Row],[Column4]]*Table645[[#This Row],[Column14]])</f>
        <v>0</v>
      </c>
      <c r="BA139" s="90"/>
      <c r="BB139" s="91" t="str">
        <f>IF(BA139=0,"--",BA139*$BA$3*IF(Table645[[#This Row],[Column5]]&lt;4.1,1,2)/60/24)</f>
        <v>--</v>
      </c>
      <c r="BC139" s="92">
        <f>IF(Table645[[#This Row],[Column54]]="--",0,Table645[[#This Row],[Column4]]*Table645[[#This Row],[Column54]])</f>
        <v>0</v>
      </c>
      <c r="BD139" s="119"/>
      <c r="BE139" s="119"/>
      <c r="BF139" s="119"/>
      <c r="BG139" s="91" t="str">
        <f>IF(BD139+Table645[[#This Row],[Column58]]=0,"--",(BD139*$BF$3*Table645[[#This Row],[Column57]]+Table645[[#This Row],[Column58]]*$BF$4)/60/24)</f>
        <v>--</v>
      </c>
      <c r="BH139" s="92">
        <f>IF(Table645[[#This Row],[Column59]]="--",0,Table645[[#This Row],[Column4]]*Table645[[#This Row],[Column59]])</f>
        <v>0</v>
      </c>
      <c r="BI139" s="119"/>
      <c r="BJ139" s="91" t="str">
        <f t="shared" si="84"/>
        <v>--</v>
      </c>
      <c r="BK139" s="92">
        <f>IF(Table645[[#This Row],[Column62]]="--",0,Table645[[#This Row],[Column4]]*Table645[[#This Row],[Column62]])</f>
        <v>0</v>
      </c>
      <c r="BL139" s="93"/>
      <c r="BM139" s="91" t="str">
        <f t="shared" si="89"/>
        <v>--</v>
      </c>
      <c r="BN139" s="89">
        <f>IF(Table645[[#This Row],[Column65]]="--",0,Table645[[#This Row],[Column4]]*Table645[[#This Row],[Column65]])</f>
        <v>0</v>
      </c>
      <c r="BO139" s="163"/>
      <c r="BP139" s="164" t="str">
        <f t="shared" si="90"/>
        <v>--</v>
      </c>
      <c r="BQ139" s="160">
        <f>IF(Table645[[#This Row],[Column68]]="--",0,Table645[[#This Row],[Column4]]*Table645[[#This Row],[Column68]])</f>
        <v>0</v>
      </c>
      <c r="BR139" s="94"/>
      <c r="BS139" s="91" t="str">
        <f t="shared" si="91"/>
        <v>--</v>
      </c>
      <c r="BT139" s="92">
        <f>IF(Table645[[#This Row],[Column71]]="--",0,Table645[[#This Row],[Column4]]*Table645[[#This Row],[Column71]])</f>
        <v>0</v>
      </c>
      <c r="BU139" s="44"/>
      <c r="BV139" s="90"/>
      <c r="BW139" s="91" t="str">
        <f>IF(BV139=0,"--",(Table645[[#This Row],[Column73]]*$BV$4*(IF(J139&lt;0.5001,1,IF(J139&lt;2.0001,2,3)))+BV139/$BV$3)/60/24)</f>
        <v>--</v>
      </c>
      <c r="BX139" s="92">
        <f>IF(Table645[[#This Row],[Column75]]="--",0,Table645[[#This Row],[Column4]]*Table645[[#This Row],[Column75]])</f>
        <v>0</v>
      </c>
      <c r="BY139" s="95" t="s">
        <v>70</v>
      </c>
      <c r="BZ139" s="91" t="str">
        <f>IF(Table645[[#This Row],[Column74]]=0,"--",BW139*$BY$3)</f>
        <v>--</v>
      </c>
      <c r="CA139" s="89">
        <f>IF(Table645[[#This Row],[Column78]]="--",0,Table645[[#This Row],[Column4]]*Table645[[#This Row],[Column78]])</f>
        <v>0</v>
      </c>
      <c r="CB139" s="95" t="s">
        <v>70</v>
      </c>
      <c r="CC139" s="91" t="str">
        <f>IF(Table645[[#This Row],[Column10]]+Table645[[#This Row],[Column74]]=0,"--",J139*$CB$4*$CB$5/(24*60)+IF(Table645[[#This Row],[Column74]]=0,0,$CB$3*Table645[[#This Row],[Column75]]))</f>
        <v>--</v>
      </c>
      <c r="CD139" s="92">
        <f>IF(Table645[[#This Row],[Column81]]="--",0,Table645[[#This Row],[Column4]]*Table645[[#This Row],[Column81]])</f>
        <v>0</v>
      </c>
      <c r="CE139" s="215"/>
      <c r="CF139" s="91" t="str">
        <f t="shared" si="85"/>
        <v>--</v>
      </c>
      <c r="CG139" s="92">
        <f>IF(Table645[[#This Row],[Column84]]="--",0,Table645[[#This Row],[Column4]]*Table645[[#This Row],[Column84]])</f>
        <v>0</v>
      </c>
      <c r="CH139" s="226"/>
      <c r="CI139" s="216"/>
      <c r="CJ139" s="91" t="str">
        <f>IF(CI139=0,"--",(Table645[[#This Row],[Column86]]*$CI$4*(IF(W139&lt;0.5001,1,IF(W139&lt;2.0001,2,3)))+CI139/$CI$3)/60/24)</f>
        <v>--</v>
      </c>
      <c r="CK139" s="92">
        <f>IF(Table645[[#This Row],[Column88]]="--",0,Table645[[#This Row],[Column4]]*Table645[[#This Row],[Column88]])</f>
        <v>0</v>
      </c>
      <c r="CL139" s="217"/>
      <c r="CM139" s="91" t="str">
        <f>IF(Table645[[#This Row],[Column87]]=0,"--",CJ139*$CL$3)</f>
        <v>--</v>
      </c>
      <c r="CN139" s="92">
        <f>IF(Table645[[#This Row],[Column91]]="--",0,Table645[[#This Row],[Column4]]*Table645[[#This Row],[Column91]])</f>
        <v>0</v>
      </c>
      <c r="CO139" s="217"/>
      <c r="CP139" s="91" t="str">
        <f>IF(Table645[[#This Row],[Column10]]+Table645[[#This Row],[Column87]]=0, "--", IF($D139="", 1, $D139) * IF($J139="", 1, $J139) * $CO$3 * $CO$4 * IF(Table645[[#This Row],[Column95]]="", 1, Table645[[#This Row],[Column95]]) / (24 * 60))</f>
        <v>--</v>
      </c>
      <c r="CQ139" s="164"/>
      <c r="CR139" s="92">
        <f>IF(Table645[[#This Row],[Column94]]="--",0,Table645[[#This Row],[Column4]]*Table645[[#This Row],[Column94]])</f>
        <v>0</v>
      </c>
      <c r="CS139" s="218" t="str">
        <f>IF(Table645[[#This Row],[Column87]]="","",Table645[[#This Row],[Column87]])</f>
        <v/>
      </c>
      <c r="CT139" s="91" t="str">
        <f>IF(Table645[[#This Row],[Column97]]="","--",Table645[[#This Row],[Column97]]/$CS$3/60/24)</f>
        <v>--</v>
      </c>
      <c r="CU139" s="92">
        <f>IF(Table645[[#This Row],[Column98]]="--",0,Table645[[#This Row],[Column4]]*Table645[[#This Row],[Column98]])</f>
        <v>0</v>
      </c>
      <c r="CV139" s="93"/>
      <c r="CW139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39" s="91" t="str">
        <f>IF(OR(Table645[[#This Row],[Column74]]&gt;0,Table645[[#This Row],[Column87]]&gt;0),(Table645[[#This Row],[Column73]]+Table645[[#This Row],[Column86]]+1)*$CW$3/60/24,"--")</f>
        <v>--</v>
      </c>
      <c r="CY139" s="92">
        <f>IF(Table645[[#This Row],[Column102]]="--",0,Table645[[#This Row],[Column4]]*Table645[[#This Row],[Column102]])</f>
        <v>0</v>
      </c>
      <c r="CZ139" s="158" t="str">
        <f t="shared" si="92"/>
        <v>--</v>
      </c>
      <c r="DA139" s="153"/>
      <c r="DB139" s="160">
        <f>IF(Table645[[#This Row],[Column104]]="--",0,Table645[[#This Row],[Column4]]*Table645[[#This Row],[Column104]])</f>
        <v>0</v>
      </c>
      <c r="DC139" s="219"/>
      <c r="DD139" s="220" t="str">
        <f>IF(DC139=0,"--",1/$DC$3*1000/(60*60*24)*Table645[[#This Row],[Column107]])</f>
        <v>--</v>
      </c>
      <c r="DE139" s="160">
        <f>IF(Table645[[#This Row],[Column108]]="--",0,Table645[[#This Row],[Column4]]*Table645[[#This Row],[Column108]])</f>
        <v>0</v>
      </c>
      <c r="DF139" s="101" t="s">
        <v>70</v>
      </c>
      <c r="DG139" s="91" t="str">
        <f t="shared" si="93"/>
        <v>--</v>
      </c>
      <c r="DH139" s="89">
        <f>IF(Table645[[#This Row],[Column111]]="--",0,Table645[[#This Row],[Column4]]*Table645[[#This Row],[Column111]])</f>
        <v>0</v>
      </c>
      <c r="DI139" s="96"/>
      <c r="DJ139" s="96"/>
      <c r="DK139" s="96"/>
      <c r="DL139" s="96"/>
      <c r="DM139" s="96"/>
      <c r="DN139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39" s="89">
        <f>IF(Table645[[#This Row],[Column118]]="--",0,Table645[[#This Row],[Column4]]*Table645[[#This Row],[Column118]])</f>
        <v>0</v>
      </c>
      <c r="DP139" s="96"/>
      <c r="DQ139" s="96"/>
      <c r="DR139" s="91" t="str">
        <f t="shared" si="94"/>
        <v>--</v>
      </c>
      <c r="DS139" s="89">
        <f>IF(Table645[[#This Row],[Column122]]="--",0,Table645[[#This Row],[Column4]]*Table645[[#This Row],[Column122]])</f>
        <v>0</v>
      </c>
      <c r="DT139" t="str">
        <f>IF(Table645[[#This Row],[Column125]]=0,"--",Table645[[#This Row],[Column125]]*Table645[[#This Row],[Column126]]*Table645[[#This Row],[Column127]]/1000000000)</f>
        <v>--</v>
      </c>
      <c r="DU139" s="53"/>
      <c r="DV139" s="53"/>
      <c r="DW139" s="53"/>
      <c r="DX139" s="91" t="str">
        <f t="shared" si="95"/>
        <v>--</v>
      </c>
      <c r="DY139" s="89">
        <f>IF(Table645[[#This Row],[Column128]]="--",0,Table645[[#This Row],[Column4]]*Table645[[#This Row],[Column128]])</f>
        <v>0</v>
      </c>
      <c r="EA139" s="89">
        <f>IF(Table645[[#This Row],[Column128]]="--",0,Table645[[#This Row],[Column4]]*Table645[[#This Row],[Column128]])</f>
        <v>0</v>
      </c>
      <c r="EC139" s="89">
        <f>IF(Table645[[#This Row],[Column128]]="--",0,Table645[[#This Row],[Column4]]*Table645[[#This Row],[Column128]])</f>
        <v>0</v>
      </c>
      <c r="EE139" s="89">
        <f>IF(Table645[[#This Row],[Column128]]="--",0,Table645[[#This Row],[Column4]]*Table645[[#This Row],[Column128]])</f>
        <v>0</v>
      </c>
      <c r="EG139" s="89">
        <f>IF(Table645[[#This Row],[Column128]]="--",0,Table645[[#This Row],[Column4]]*Table645[[#This Row],[Column128]])</f>
        <v>0</v>
      </c>
      <c r="EI139" s="89">
        <f>IF(Table645[[#This Row],[Column128]]="--",0,Table645[[#This Row],[Column4]]*Table645[[#This Row],[Column128]])</f>
        <v>0</v>
      </c>
    </row>
    <row r="140" spans="1:139" x14ac:dyDescent="0.25">
      <c r="A140" s="140"/>
      <c r="B140" s="79"/>
      <c r="C140" s="140"/>
      <c r="D140" s="167"/>
      <c r="E140" s="52"/>
      <c r="F140" s="81"/>
      <c r="G140" s="81"/>
      <c r="H140" s="102" t="str">
        <f t="shared" ref="H140:H229" si="106">IF(E140&gt;0,E140*F140*G140/1000000*8*(1+$H$4),"--")</f>
        <v>--</v>
      </c>
      <c r="I140" s="100">
        <f>IF(Table645[[#This Row],[Column8]]="--",0,Table645[[#This Row],[Column4]]*Table645[[#This Row],[Column8]])</f>
        <v>0</v>
      </c>
      <c r="J140" s="169"/>
      <c r="K140" s="85">
        <f>Table645[[#This Row],[Column4]]*Table645[[#This Row],[Column10]]</f>
        <v>0</v>
      </c>
      <c r="L140" s="170" t="str">
        <f t="shared" ref="L140:L229" si="107">IF(J140=0,"--",J140/$J$3)</f>
        <v>--</v>
      </c>
      <c r="M140" s="214">
        <f>IF(Table645[[#This Row],[Column10]]=0,0,Table645[[#This Row],[Column4]]*Table645[[#This Row],[Column12]])</f>
        <v>0</v>
      </c>
      <c r="N140" s="87" t="str">
        <f t="shared" ref="N140:N229" si="108">IF(SUM(Q140:AX140)=0,"--",(Q140/$Q$4+T140/$T$4+W140/$W$4+Z140/$Z$4+AC140/$AC$4+AF140/$AF$4+AI140/$AI$4+AL140/$AL$4+AO140/$AO$4+AR140/$AR$4+AU140/$AU$4+AX140/$AX$4)/60/24)</f>
        <v>--</v>
      </c>
      <c r="O140" s="138"/>
      <c r="AZ140" s="89">
        <f>IF(Table645[[#This Row],[Column14]]="--",0,Table645[[#This Row],[Column4]]*Table645[[#This Row],[Column14]])</f>
        <v>0</v>
      </c>
      <c r="BA140" s="90"/>
      <c r="BB140" s="91" t="str">
        <f>IF(BA140=0,"--",BA140*$BA$3*IF(Table645[[#This Row],[Column5]]&lt;4.1,1,2)/60/24)</f>
        <v>--</v>
      </c>
      <c r="BC140" s="92">
        <f>IF(Table645[[#This Row],[Column54]]="--",0,Table645[[#This Row],[Column4]]*Table645[[#This Row],[Column54]])</f>
        <v>0</v>
      </c>
      <c r="BD140" s="119"/>
      <c r="BE140" s="119"/>
      <c r="BF140" s="119"/>
      <c r="BG140" s="91" t="str">
        <f>IF(BD140+Table645[[#This Row],[Column58]]=0,"--",(BD140*$BF$3*Table645[[#This Row],[Column57]]+Table645[[#This Row],[Column58]]*$BF$4)/60/24)</f>
        <v>--</v>
      </c>
      <c r="BH140" s="92">
        <f>IF(Table645[[#This Row],[Column59]]="--",0,Table645[[#This Row],[Column4]]*Table645[[#This Row],[Column59]])</f>
        <v>0</v>
      </c>
      <c r="BI140" s="119"/>
      <c r="BJ140" s="91" t="str">
        <f t="shared" si="84"/>
        <v>--</v>
      </c>
      <c r="BK140" s="92">
        <f>IF(Table645[[#This Row],[Column62]]="--",0,Table645[[#This Row],[Column4]]*Table645[[#This Row],[Column62]])</f>
        <v>0</v>
      </c>
      <c r="BL140" s="93"/>
      <c r="BM140" s="91" t="str">
        <f t="shared" ref="BM140:BM229" si="109">IF(BL140=0,"--",BL140*$BL$3/60/60/24)</f>
        <v>--</v>
      </c>
      <c r="BN140" s="89">
        <f>IF(Table645[[#This Row],[Column65]]="--",0,Table645[[#This Row],[Column4]]*Table645[[#This Row],[Column65]])</f>
        <v>0</v>
      </c>
      <c r="BO140" s="163"/>
      <c r="BP140" s="164" t="str">
        <f t="shared" ref="BP140:BP229" si="110">IF(BO140=0,"--",BO140*$BO$3/60/60/24)</f>
        <v>--</v>
      </c>
      <c r="BQ140" s="160">
        <f>IF(Table645[[#This Row],[Column68]]="--",0,Table645[[#This Row],[Column4]]*Table645[[#This Row],[Column68]])</f>
        <v>0</v>
      </c>
      <c r="BR140" s="94"/>
      <c r="BS140" s="91" t="str">
        <f t="shared" ref="BS140:BS229" si="111">IF(BR140=0,"--",BR140*$BR$3/60/60/24)</f>
        <v>--</v>
      </c>
      <c r="BT140" s="92">
        <f>IF(Table645[[#This Row],[Column71]]="--",0,Table645[[#This Row],[Column4]]*Table645[[#This Row],[Column71]])</f>
        <v>0</v>
      </c>
      <c r="BU140" s="44"/>
      <c r="BV140" s="90"/>
      <c r="BW140" s="91" t="str">
        <f>IF(BV140=0,"--",(Table645[[#This Row],[Column73]]*$BV$4*(IF(J140&lt;0.5001,1,IF(J140&lt;2.0001,2,3)))+BV140/$BV$3)/60/24)</f>
        <v>--</v>
      </c>
      <c r="BX140" s="92">
        <f>IF(Table645[[#This Row],[Column75]]="--",0,Table645[[#This Row],[Column4]]*Table645[[#This Row],[Column75]])</f>
        <v>0</v>
      </c>
      <c r="BY140" s="95" t="s">
        <v>70</v>
      </c>
      <c r="BZ140" s="91" t="str">
        <f>IF(Table645[[#This Row],[Column74]]=0,"--",BW140*$BY$3)</f>
        <v>--</v>
      </c>
      <c r="CA140" s="89">
        <f>IF(Table645[[#This Row],[Column78]]="--",0,Table645[[#This Row],[Column4]]*Table645[[#This Row],[Column78]])</f>
        <v>0</v>
      </c>
      <c r="CB140" s="95" t="s">
        <v>70</v>
      </c>
      <c r="CC140" s="91" t="str">
        <f>IF(Table645[[#This Row],[Column10]]+Table645[[#This Row],[Column74]]=0,"--",J140*$CB$4*$CB$5/(24*60)+IF(Table645[[#This Row],[Column74]]=0,0,$CB$3*Table645[[#This Row],[Column75]]))</f>
        <v>--</v>
      </c>
      <c r="CD140" s="92">
        <f>IF(Table645[[#This Row],[Column81]]="--",0,Table645[[#This Row],[Column4]]*Table645[[#This Row],[Column81]])</f>
        <v>0</v>
      </c>
      <c r="CE140" s="215"/>
      <c r="CF140" s="91" t="str">
        <f t="shared" si="85"/>
        <v>--</v>
      </c>
      <c r="CG140" s="92">
        <f>IF(Table645[[#This Row],[Column84]]="--",0,Table645[[#This Row],[Column4]]*Table645[[#This Row],[Column84]])</f>
        <v>0</v>
      </c>
      <c r="CH140" s="226"/>
      <c r="CI140" s="216"/>
      <c r="CJ140" s="91" t="str">
        <f>IF(CI140=0,"--",(Table645[[#This Row],[Column86]]*$CI$4*(IF(W140&lt;0.5001,1,IF(W140&lt;2.0001,2,3)))+CI140/$CI$3)/60/24)</f>
        <v>--</v>
      </c>
      <c r="CK140" s="92">
        <f>IF(Table645[[#This Row],[Column88]]="--",0,Table645[[#This Row],[Column4]]*Table645[[#This Row],[Column88]])</f>
        <v>0</v>
      </c>
      <c r="CL140" s="217"/>
      <c r="CM140" s="91" t="str">
        <f>IF(Table645[[#This Row],[Column87]]=0,"--",CJ140*$CL$3)</f>
        <v>--</v>
      </c>
      <c r="CN140" s="92">
        <f>IF(Table645[[#This Row],[Column91]]="--",0,Table645[[#This Row],[Column4]]*Table645[[#This Row],[Column91]])</f>
        <v>0</v>
      </c>
      <c r="CO140" s="217"/>
      <c r="CP140" s="91" t="str">
        <f>IF(Table645[[#This Row],[Column10]]+Table645[[#This Row],[Column87]]=0, "--", IF($D140="", 1, $D140) * IF($J140="", 1, $J140) * $CO$3 * $CO$4 * IF(Table645[[#This Row],[Column95]]="", 1, Table645[[#This Row],[Column95]]) / (24 * 60))</f>
        <v>--</v>
      </c>
      <c r="CQ140" s="164"/>
      <c r="CR140" s="92">
        <f>IF(Table645[[#This Row],[Column94]]="--",0,Table645[[#This Row],[Column4]]*Table645[[#This Row],[Column94]])</f>
        <v>0</v>
      </c>
      <c r="CS140" s="218" t="str">
        <f>IF(Table645[[#This Row],[Column87]]="","",Table645[[#This Row],[Column87]])</f>
        <v/>
      </c>
      <c r="CT140" s="91" t="str">
        <f>IF(Table645[[#This Row],[Column97]]="","--",Table645[[#This Row],[Column97]]/$CS$3/60/24)</f>
        <v>--</v>
      </c>
      <c r="CU140" s="92">
        <f>IF(Table645[[#This Row],[Column98]]="--",0,Table645[[#This Row],[Column4]]*Table645[[#This Row],[Column98]])</f>
        <v>0</v>
      </c>
      <c r="CV140" s="93"/>
      <c r="CW140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40" s="91" t="str">
        <f>IF(OR(Table645[[#This Row],[Column74]]&gt;0,Table645[[#This Row],[Column87]]&gt;0),(Table645[[#This Row],[Column73]]+Table645[[#This Row],[Column86]]+1)*$CW$3/60/24,"--")</f>
        <v>--</v>
      </c>
      <c r="CY140" s="92">
        <f>IF(Table645[[#This Row],[Column102]]="--",0,Table645[[#This Row],[Column4]]*Table645[[#This Row],[Column102]])</f>
        <v>0</v>
      </c>
      <c r="CZ140" s="158" t="str">
        <f t="shared" ref="CZ140:CZ229" si="112">IF(J140=0,"--",J140/$CZ$3/(24)*DA140)</f>
        <v>--</v>
      </c>
      <c r="DA140" s="153"/>
      <c r="DB140" s="160">
        <f>IF(Table645[[#This Row],[Column104]]="--",0,Table645[[#This Row],[Column4]]*Table645[[#This Row],[Column104]])</f>
        <v>0</v>
      </c>
      <c r="DC140" s="219"/>
      <c r="DD140" s="220" t="str">
        <f>IF(DC140=0,"--",1/$DC$3*1000/(60*60*24)*Table645[[#This Row],[Column107]])</f>
        <v>--</v>
      </c>
      <c r="DE140" s="160">
        <f>IF(Table645[[#This Row],[Column108]]="--",0,Table645[[#This Row],[Column4]]*Table645[[#This Row],[Column108]])</f>
        <v>0</v>
      </c>
      <c r="DF140" s="101" t="s">
        <v>70</v>
      </c>
      <c r="DG140" s="91" t="str">
        <f t="shared" ref="DG140:DG229" si="113">IF(DA140=0,"--",(J140*$DF$3)/60/24)</f>
        <v>--</v>
      </c>
      <c r="DH140" s="89">
        <f>IF(Table645[[#This Row],[Column111]]="--",0,Table645[[#This Row],[Column4]]*Table645[[#This Row],[Column111]])</f>
        <v>0</v>
      </c>
      <c r="DI140" s="96"/>
      <c r="DJ140" s="96"/>
      <c r="DK140" s="96"/>
      <c r="DL140" s="96"/>
      <c r="DM140" s="96"/>
      <c r="DN140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40" s="89">
        <f>IF(Table645[[#This Row],[Column118]]="--",0,Table645[[#This Row],[Column4]]*Table645[[#This Row],[Column118]])</f>
        <v>0</v>
      </c>
      <c r="DP140" s="96"/>
      <c r="DQ140" s="96"/>
      <c r="DR140" s="91" t="str">
        <f t="shared" ref="DR140:DR229" si="114">IF(DP140+DQ140&gt;0,(DP140*$DQ$3+DQ140*$DQ$4)/60/24,IF(DN140="--","--",(DP140*$DQ$3+DQ140*$DQ$4)/60/24))</f>
        <v>--</v>
      </c>
      <c r="DS140" s="89">
        <f>IF(Table645[[#This Row],[Column122]]="--",0,Table645[[#This Row],[Column4]]*Table645[[#This Row],[Column122]])</f>
        <v>0</v>
      </c>
      <c r="DT140" t="str">
        <f>IF(Table645[[#This Row],[Column125]]=0,"--",Table645[[#This Row],[Column125]]*Table645[[#This Row],[Column126]]*Table645[[#This Row],[Column127]]/1000000000)</f>
        <v>--</v>
      </c>
      <c r="DU140" s="53"/>
      <c r="DV140" s="53"/>
      <c r="DW140" s="53"/>
      <c r="DX140" s="91" t="str">
        <f t="shared" ref="DX140:DX229" si="115">IF(DT140="--","--",(1+DT140*$DT$3)/60/24)</f>
        <v>--</v>
      </c>
      <c r="DY140" s="89">
        <f>IF(Table645[[#This Row],[Column128]]="--",0,Table645[[#This Row],[Column4]]*Table645[[#This Row],[Column128]])</f>
        <v>0</v>
      </c>
      <c r="EA140" s="89">
        <f>IF(Table645[[#This Row],[Column128]]="--",0,Table645[[#This Row],[Column4]]*Table645[[#This Row],[Column128]])</f>
        <v>0</v>
      </c>
      <c r="EC140" s="89">
        <f>IF(Table645[[#This Row],[Column128]]="--",0,Table645[[#This Row],[Column4]]*Table645[[#This Row],[Column128]])</f>
        <v>0</v>
      </c>
      <c r="EE140" s="89">
        <f>IF(Table645[[#This Row],[Column128]]="--",0,Table645[[#This Row],[Column4]]*Table645[[#This Row],[Column128]])</f>
        <v>0</v>
      </c>
      <c r="EG140" s="89">
        <f>IF(Table645[[#This Row],[Column128]]="--",0,Table645[[#This Row],[Column4]]*Table645[[#This Row],[Column128]])</f>
        <v>0</v>
      </c>
      <c r="EI140" s="89">
        <f>IF(Table645[[#This Row],[Column128]]="--",0,Table645[[#This Row],[Column4]]*Table645[[#This Row],[Column128]])</f>
        <v>0</v>
      </c>
    </row>
    <row r="141" spans="1:139" x14ac:dyDescent="0.25">
      <c r="A141" s="140"/>
      <c r="B141" s="79"/>
      <c r="C141" s="140"/>
      <c r="D141" s="167"/>
      <c r="E141" s="52"/>
      <c r="F141" s="81"/>
      <c r="G141" s="81"/>
      <c r="H141" s="102" t="str">
        <f t="shared" si="106"/>
        <v>--</v>
      </c>
      <c r="I141" s="100">
        <f>IF(Table645[[#This Row],[Column8]]="--",0,Table645[[#This Row],[Column4]]*Table645[[#This Row],[Column8]])</f>
        <v>0</v>
      </c>
      <c r="J141" s="169"/>
      <c r="K141" s="85">
        <f>Table645[[#This Row],[Column4]]*Table645[[#This Row],[Column10]]</f>
        <v>0</v>
      </c>
      <c r="L141" s="170" t="str">
        <f t="shared" si="107"/>
        <v>--</v>
      </c>
      <c r="M141" s="214">
        <f>IF(Table645[[#This Row],[Column10]]=0,0,Table645[[#This Row],[Column4]]*Table645[[#This Row],[Column12]])</f>
        <v>0</v>
      </c>
      <c r="N141" s="87" t="str">
        <f t="shared" si="108"/>
        <v>--</v>
      </c>
      <c r="O141" s="138"/>
      <c r="AZ141" s="89">
        <f>IF(Table645[[#This Row],[Column14]]="--",0,Table645[[#This Row],[Column4]]*Table645[[#This Row],[Column14]])</f>
        <v>0</v>
      </c>
      <c r="BA141" s="90"/>
      <c r="BB141" s="91" t="str">
        <f>IF(BA141=0,"--",BA141*$BA$3*IF(Table645[[#This Row],[Column5]]&lt;4.1,1,2)/60/24)</f>
        <v>--</v>
      </c>
      <c r="BC141" s="92">
        <f>IF(Table645[[#This Row],[Column54]]="--",0,Table645[[#This Row],[Column4]]*Table645[[#This Row],[Column54]])</f>
        <v>0</v>
      </c>
      <c r="BD141" s="119"/>
      <c r="BE141" s="119"/>
      <c r="BF141" s="119"/>
      <c r="BG141" s="91" t="str">
        <f>IF(BD141+Table645[[#This Row],[Column58]]=0,"--",(BD141*$BF$3*Table645[[#This Row],[Column57]]+Table645[[#This Row],[Column58]]*$BF$4)/60/24)</f>
        <v>--</v>
      </c>
      <c r="BH141" s="92">
        <f>IF(Table645[[#This Row],[Column59]]="--",0,Table645[[#This Row],[Column4]]*Table645[[#This Row],[Column59]])</f>
        <v>0</v>
      </c>
      <c r="BI141" s="119"/>
      <c r="BJ141" s="91" t="str">
        <f t="shared" si="84"/>
        <v>--</v>
      </c>
      <c r="BK141" s="92">
        <f>IF(Table645[[#This Row],[Column62]]="--",0,Table645[[#This Row],[Column4]]*Table645[[#This Row],[Column62]])</f>
        <v>0</v>
      </c>
      <c r="BL141" s="93"/>
      <c r="BM141" s="91" t="str">
        <f t="shared" si="109"/>
        <v>--</v>
      </c>
      <c r="BN141" s="89">
        <f>IF(Table645[[#This Row],[Column65]]="--",0,Table645[[#This Row],[Column4]]*Table645[[#This Row],[Column65]])</f>
        <v>0</v>
      </c>
      <c r="BO141" s="163"/>
      <c r="BP141" s="164" t="str">
        <f t="shared" si="110"/>
        <v>--</v>
      </c>
      <c r="BQ141" s="160">
        <f>IF(Table645[[#This Row],[Column68]]="--",0,Table645[[#This Row],[Column4]]*Table645[[#This Row],[Column68]])</f>
        <v>0</v>
      </c>
      <c r="BR141" s="94"/>
      <c r="BS141" s="91" t="str">
        <f t="shared" si="111"/>
        <v>--</v>
      </c>
      <c r="BT141" s="92">
        <f>IF(Table645[[#This Row],[Column71]]="--",0,Table645[[#This Row],[Column4]]*Table645[[#This Row],[Column71]])</f>
        <v>0</v>
      </c>
      <c r="BU141" s="44"/>
      <c r="BV141" s="90"/>
      <c r="BW141" s="91" t="str">
        <f>IF(BV141=0,"--",(Table645[[#This Row],[Column73]]*$BV$4*(IF(J141&lt;0.5001,1,IF(J141&lt;2.0001,2,3)))+BV141/$BV$3)/60/24)</f>
        <v>--</v>
      </c>
      <c r="BX141" s="92">
        <f>IF(Table645[[#This Row],[Column75]]="--",0,Table645[[#This Row],[Column4]]*Table645[[#This Row],[Column75]])</f>
        <v>0</v>
      </c>
      <c r="BY141" s="95" t="s">
        <v>70</v>
      </c>
      <c r="BZ141" s="91" t="str">
        <f>IF(Table645[[#This Row],[Column74]]=0,"--",BW141*$BY$3)</f>
        <v>--</v>
      </c>
      <c r="CA141" s="89">
        <f>IF(Table645[[#This Row],[Column78]]="--",0,Table645[[#This Row],[Column4]]*Table645[[#This Row],[Column78]])</f>
        <v>0</v>
      </c>
      <c r="CB141" s="95" t="s">
        <v>70</v>
      </c>
      <c r="CC141" s="91" t="str">
        <f>IF(Table645[[#This Row],[Column10]]+Table645[[#This Row],[Column74]]=0,"--",J141*$CB$4*$CB$5/(24*60)+IF(Table645[[#This Row],[Column74]]=0,0,$CB$3*Table645[[#This Row],[Column75]]))</f>
        <v>--</v>
      </c>
      <c r="CD141" s="92">
        <f>IF(Table645[[#This Row],[Column81]]="--",0,Table645[[#This Row],[Column4]]*Table645[[#This Row],[Column81]])</f>
        <v>0</v>
      </c>
      <c r="CE141" s="215"/>
      <c r="CF141" s="91" t="str">
        <f t="shared" si="85"/>
        <v>--</v>
      </c>
      <c r="CG141" s="92">
        <f>IF(Table645[[#This Row],[Column84]]="--",0,Table645[[#This Row],[Column4]]*Table645[[#This Row],[Column84]])</f>
        <v>0</v>
      </c>
      <c r="CH141" s="226"/>
      <c r="CI141" s="216"/>
      <c r="CJ141" s="91" t="str">
        <f>IF(CI141=0,"--",(Table645[[#This Row],[Column86]]*$CI$4*(IF(W141&lt;0.5001,1,IF(W141&lt;2.0001,2,3)))+CI141/$CI$3)/60/24)</f>
        <v>--</v>
      </c>
      <c r="CK141" s="92">
        <f>IF(Table645[[#This Row],[Column88]]="--",0,Table645[[#This Row],[Column4]]*Table645[[#This Row],[Column88]])</f>
        <v>0</v>
      </c>
      <c r="CL141" s="217"/>
      <c r="CM141" s="91" t="str">
        <f>IF(Table645[[#This Row],[Column87]]=0,"--",CJ141*$CL$3)</f>
        <v>--</v>
      </c>
      <c r="CN141" s="92">
        <f>IF(Table645[[#This Row],[Column91]]="--",0,Table645[[#This Row],[Column4]]*Table645[[#This Row],[Column91]])</f>
        <v>0</v>
      </c>
      <c r="CO141" s="217"/>
      <c r="CP141" s="91" t="str">
        <f>IF(Table645[[#This Row],[Column10]]+Table645[[#This Row],[Column87]]=0, "--", IF($D141="", 1, $D141) * IF($J141="", 1, $J141) * $CO$3 * $CO$4 * IF(Table645[[#This Row],[Column95]]="", 1, Table645[[#This Row],[Column95]]) / (24 * 60))</f>
        <v>--</v>
      </c>
      <c r="CQ141" s="164"/>
      <c r="CR141" s="92">
        <f>IF(Table645[[#This Row],[Column94]]="--",0,Table645[[#This Row],[Column4]]*Table645[[#This Row],[Column94]])</f>
        <v>0</v>
      </c>
      <c r="CS141" s="218" t="str">
        <f>IF(Table645[[#This Row],[Column87]]="","",Table645[[#This Row],[Column87]])</f>
        <v/>
      </c>
      <c r="CT141" s="91" t="str">
        <f>IF(Table645[[#This Row],[Column97]]="","--",Table645[[#This Row],[Column97]]/$CS$3/60/24)</f>
        <v>--</v>
      </c>
      <c r="CU141" s="92">
        <f>IF(Table645[[#This Row],[Column98]]="--",0,Table645[[#This Row],[Column4]]*Table645[[#This Row],[Column98]])</f>
        <v>0</v>
      </c>
      <c r="CV141" s="93"/>
      <c r="CW141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41" s="91" t="str">
        <f>IF(OR(Table645[[#This Row],[Column74]]&gt;0,Table645[[#This Row],[Column87]]&gt;0),(Table645[[#This Row],[Column73]]+Table645[[#This Row],[Column86]]+1)*$CW$3/60/24,"--")</f>
        <v>--</v>
      </c>
      <c r="CY141" s="92">
        <f>IF(Table645[[#This Row],[Column102]]="--",0,Table645[[#This Row],[Column4]]*Table645[[#This Row],[Column102]])</f>
        <v>0</v>
      </c>
      <c r="CZ141" s="158" t="str">
        <f t="shared" si="112"/>
        <v>--</v>
      </c>
      <c r="DA141" s="153"/>
      <c r="DB141" s="160">
        <f>IF(Table645[[#This Row],[Column104]]="--",0,Table645[[#This Row],[Column4]]*Table645[[#This Row],[Column104]])</f>
        <v>0</v>
      </c>
      <c r="DC141" s="219"/>
      <c r="DD141" s="220" t="str">
        <f>IF(DC141=0,"--",1/$DC$3*1000/(60*60*24)*Table645[[#This Row],[Column107]])</f>
        <v>--</v>
      </c>
      <c r="DE141" s="160">
        <f>IF(Table645[[#This Row],[Column108]]="--",0,Table645[[#This Row],[Column4]]*Table645[[#This Row],[Column108]])</f>
        <v>0</v>
      </c>
      <c r="DF141" s="101" t="s">
        <v>70</v>
      </c>
      <c r="DG141" s="91" t="str">
        <f t="shared" si="113"/>
        <v>--</v>
      </c>
      <c r="DH141" s="89">
        <f>IF(Table645[[#This Row],[Column111]]="--",0,Table645[[#This Row],[Column4]]*Table645[[#This Row],[Column111]])</f>
        <v>0</v>
      </c>
      <c r="DI141" s="96"/>
      <c r="DJ141" s="96"/>
      <c r="DK141" s="96"/>
      <c r="DL141" s="96"/>
      <c r="DM141" s="96"/>
      <c r="DN141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41" s="89">
        <f>IF(Table645[[#This Row],[Column118]]="--",0,Table645[[#This Row],[Column4]]*Table645[[#This Row],[Column118]])</f>
        <v>0</v>
      </c>
      <c r="DP141" s="96"/>
      <c r="DQ141" s="96"/>
      <c r="DR141" s="91" t="str">
        <f t="shared" si="114"/>
        <v>--</v>
      </c>
      <c r="DS141" s="89">
        <f>IF(Table645[[#This Row],[Column122]]="--",0,Table645[[#This Row],[Column4]]*Table645[[#This Row],[Column122]])</f>
        <v>0</v>
      </c>
      <c r="DT141" t="str">
        <f>IF(Table645[[#This Row],[Column125]]=0,"--",Table645[[#This Row],[Column125]]*Table645[[#This Row],[Column126]]*Table645[[#This Row],[Column127]]/1000000000)</f>
        <v>--</v>
      </c>
      <c r="DU141" s="53"/>
      <c r="DV141" s="53"/>
      <c r="DW141" s="53"/>
      <c r="DX141" s="91" t="str">
        <f t="shared" si="115"/>
        <v>--</v>
      </c>
      <c r="DY141" s="89">
        <f>IF(Table645[[#This Row],[Column128]]="--",0,Table645[[#This Row],[Column4]]*Table645[[#This Row],[Column128]])</f>
        <v>0</v>
      </c>
      <c r="EA141" s="89">
        <f>IF(Table645[[#This Row],[Column128]]="--",0,Table645[[#This Row],[Column4]]*Table645[[#This Row],[Column128]])</f>
        <v>0</v>
      </c>
      <c r="EC141" s="89">
        <f>IF(Table645[[#This Row],[Column128]]="--",0,Table645[[#This Row],[Column4]]*Table645[[#This Row],[Column128]])</f>
        <v>0</v>
      </c>
      <c r="EE141" s="89">
        <f>IF(Table645[[#This Row],[Column128]]="--",0,Table645[[#This Row],[Column4]]*Table645[[#This Row],[Column128]])</f>
        <v>0</v>
      </c>
      <c r="EG141" s="89">
        <f>IF(Table645[[#This Row],[Column128]]="--",0,Table645[[#This Row],[Column4]]*Table645[[#This Row],[Column128]])</f>
        <v>0</v>
      </c>
      <c r="EI141" s="89">
        <f>IF(Table645[[#This Row],[Column128]]="--",0,Table645[[#This Row],[Column4]]*Table645[[#This Row],[Column128]])</f>
        <v>0</v>
      </c>
    </row>
    <row r="142" spans="1:139" x14ac:dyDescent="0.25">
      <c r="A142" s="140"/>
      <c r="B142" s="79"/>
      <c r="C142" s="140"/>
      <c r="D142" s="167"/>
      <c r="E142" s="52"/>
      <c r="F142" s="81"/>
      <c r="G142" s="81"/>
      <c r="H142" s="102" t="str">
        <f t="shared" si="106"/>
        <v>--</v>
      </c>
      <c r="I142" s="100">
        <f>IF(Table645[[#This Row],[Column8]]="--",0,Table645[[#This Row],[Column4]]*Table645[[#This Row],[Column8]])</f>
        <v>0</v>
      </c>
      <c r="J142" s="169"/>
      <c r="K142" s="85">
        <f>Table645[[#This Row],[Column4]]*Table645[[#This Row],[Column10]]</f>
        <v>0</v>
      </c>
      <c r="L142" s="170" t="str">
        <f t="shared" si="107"/>
        <v>--</v>
      </c>
      <c r="M142" s="214">
        <f>IF(Table645[[#This Row],[Column10]]=0,0,Table645[[#This Row],[Column4]]*Table645[[#This Row],[Column12]])</f>
        <v>0</v>
      </c>
      <c r="N142" s="87" t="str">
        <f t="shared" si="108"/>
        <v>--</v>
      </c>
      <c r="O142" s="138"/>
      <c r="AZ142" s="89">
        <f>IF(Table645[[#This Row],[Column14]]="--",0,Table645[[#This Row],[Column4]]*Table645[[#This Row],[Column14]])</f>
        <v>0</v>
      </c>
      <c r="BA142" s="90"/>
      <c r="BB142" s="91" t="str">
        <f>IF(BA142=0,"--",BA142*$BA$3*IF(Table645[[#This Row],[Column5]]&lt;4.1,1,2)/60/24)</f>
        <v>--</v>
      </c>
      <c r="BC142" s="92">
        <f>IF(Table645[[#This Row],[Column54]]="--",0,Table645[[#This Row],[Column4]]*Table645[[#This Row],[Column54]])</f>
        <v>0</v>
      </c>
      <c r="BD142" s="119"/>
      <c r="BE142" s="119"/>
      <c r="BF142" s="119"/>
      <c r="BG142" s="91" t="str">
        <f>IF(BD142+Table645[[#This Row],[Column58]]=0,"--",(BD142*$BF$3*Table645[[#This Row],[Column57]]+Table645[[#This Row],[Column58]]*$BF$4)/60/24)</f>
        <v>--</v>
      </c>
      <c r="BH142" s="92">
        <f>IF(Table645[[#This Row],[Column59]]="--",0,Table645[[#This Row],[Column4]]*Table645[[#This Row],[Column59]])</f>
        <v>0</v>
      </c>
      <c r="BI142" s="119"/>
      <c r="BJ142" s="91" t="str">
        <f t="shared" si="84"/>
        <v>--</v>
      </c>
      <c r="BK142" s="92">
        <f>IF(Table645[[#This Row],[Column62]]="--",0,Table645[[#This Row],[Column4]]*Table645[[#This Row],[Column62]])</f>
        <v>0</v>
      </c>
      <c r="BL142" s="93"/>
      <c r="BM142" s="91" t="str">
        <f t="shared" si="109"/>
        <v>--</v>
      </c>
      <c r="BN142" s="89">
        <f>IF(Table645[[#This Row],[Column65]]="--",0,Table645[[#This Row],[Column4]]*Table645[[#This Row],[Column65]])</f>
        <v>0</v>
      </c>
      <c r="BO142" s="163"/>
      <c r="BP142" s="164" t="str">
        <f t="shared" si="110"/>
        <v>--</v>
      </c>
      <c r="BQ142" s="160">
        <f>IF(Table645[[#This Row],[Column68]]="--",0,Table645[[#This Row],[Column4]]*Table645[[#This Row],[Column68]])</f>
        <v>0</v>
      </c>
      <c r="BR142" s="94"/>
      <c r="BS142" s="91" t="str">
        <f t="shared" si="111"/>
        <v>--</v>
      </c>
      <c r="BT142" s="92">
        <f>IF(Table645[[#This Row],[Column71]]="--",0,Table645[[#This Row],[Column4]]*Table645[[#This Row],[Column71]])</f>
        <v>0</v>
      </c>
      <c r="BU142" s="44"/>
      <c r="BV142" s="90"/>
      <c r="BW142" s="91" t="str">
        <f>IF(BV142=0,"--",(Table645[[#This Row],[Column73]]*$BV$4*(IF(J142&lt;0.5001,1,IF(J142&lt;2.0001,2,3)))+BV142/$BV$3)/60/24)</f>
        <v>--</v>
      </c>
      <c r="BX142" s="92">
        <f>IF(Table645[[#This Row],[Column75]]="--",0,Table645[[#This Row],[Column4]]*Table645[[#This Row],[Column75]])</f>
        <v>0</v>
      </c>
      <c r="BY142" s="95" t="s">
        <v>70</v>
      </c>
      <c r="BZ142" s="91" t="str">
        <f>IF(Table645[[#This Row],[Column74]]=0,"--",BW142*$BY$3)</f>
        <v>--</v>
      </c>
      <c r="CA142" s="89">
        <f>IF(Table645[[#This Row],[Column78]]="--",0,Table645[[#This Row],[Column4]]*Table645[[#This Row],[Column78]])</f>
        <v>0</v>
      </c>
      <c r="CB142" s="95" t="s">
        <v>70</v>
      </c>
      <c r="CC142" s="91" t="str">
        <f>IF(Table645[[#This Row],[Column10]]+Table645[[#This Row],[Column74]]=0,"--",J142*$CB$4*$CB$5/(24*60)+IF(Table645[[#This Row],[Column74]]=0,0,$CB$3*Table645[[#This Row],[Column75]]))</f>
        <v>--</v>
      </c>
      <c r="CD142" s="92">
        <f>IF(Table645[[#This Row],[Column81]]="--",0,Table645[[#This Row],[Column4]]*Table645[[#This Row],[Column81]])</f>
        <v>0</v>
      </c>
      <c r="CE142" s="215"/>
      <c r="CF142" s="91" t="str">
        <f t="shared" si="85"/>
        <v>--</v>
      </c>
      <c r="CG142" s="92">
        <f>IF(Table645[[#This Row],[Column84]]="--",0,Table645[[#This Row],[Column4]]*Table645[[#This Row],[Column84]])</f>
        <v>0</v>
      </c>
      <c r="CH142" s="226"/>
      <c r="CI142" s="216"/>
      <c r="CJ142" s="91" t="str">
        <f>IF(CI142=0,"--",(Table645[[#This Row],[Column86]]*$CI$4*(IF(W142&lt;0.5001,1,IF(W142&lt;2.0001,2,3)))+CI142/$CI$3)/60/24)</f>
        <v>--</v>
      </c>
      <c r="CK142" s="92">
        <f>IF(Table645[[#This Row],[Column88]]="--",0,Table645[[#This Row],[Column4]]*Table645[[#This Row],[Column88]])</f>
        <v>0</v>
      </c>
      <c r="CL142" s="217"/>
      <c r="CM142" s="91" t="str">
        <f>IF(Table645[[#This Row],[Column87]]=0,"--",CJ142*$CL$3)</f>
        <v>--</v>
      </c>
      <c r="CN142" s="92">
        <f>IF(Table645[[#This Row],[Column91]]="--",0,Table645[[#This Row],[Column4]]*Table645[[#This Row],[Column91]])</f>
        <v>0</v>
      </c>
      <c r="CO142" s="217"/>
      <c r="CP142" s="91" t="str">
        <f>IF(Table645[[#This Row],[Column10]]+Table645[[#This Row],[Column87]]=0, "--", IF($D142="", 1, $D142) * IF($J142="", 1, $J142) * $CO$3 * $CO$4 * IF(Table645[[#This Row],[Column95]]="", 1, Table645[[#This Row],[Column95]]) / (24 * 60))</f>
        <v>--</v>
      </c>
      <c r="CQ142" s="164"/>
      <c r="CR142" s="92">
        <f>IF(Table645[[#This Row],[Column94]]="--",0,Table645[[#This Row],[Column4]]*Table645[[#This Row],[Column94]])</f>
        <v>0</v>
      </c>
      <c r="CS142" s="218" t="str">
        <f>IF(Table645[[#This Row],[Column87]]="","",Table645[[#This Row],[Column87]])</f>
        <v/>
      </c>
      <c r="CT142" s="91" t="str">
        <f>IF(Table645[[#This Row],[Column97]]="","--",Table645[[#This Row],[Column97]]/$CS$3/60/24)</f>
        <v>--</v>
      </c>
      <c r="CU142" s="92">
        <f>IF(Table645[[#This Row],[Column98]]="--",0,Table645[[#This Row],[Column4]]*Table645[[#This Row],[Column98]])</f>
        <v>0</v>
      </c>
      <c r="CV142" s="93"/>
      <c r="CW142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42" s="91" t="str">
        <f>IF(OR(Table645[[#This Row],[Column74]]&gt;0,Table645[[#This Row],[Column87]]&gt;0),(Table645[[#This Row],[Column73]]+Table645[[#This Row],[Column86]]+1)*$CW$3/60/24,"--")</f>
        <v>--</v>
      </c>
      <c r="CY142" s="92">
        <f>IF(Table645[[#This Row],[Column102]]="--",0,Table645[[#This Row],[Column4]]*Table645[[#This Row],[Column102]])</f>
        <v>0</v>
      </c>
      <c r="CZ142" s="158" t="str">
        <f t="shared" si="112"/>
        <v>--</v>
      </c>
      <c r="DA142" s="153"/>
      <c r="DB142" s="160">
        <f>IF(Table645[[#This Row],[Column104]]="--",0,Table645[[#This Row],[Column4]]*Table645[[#This Row],[Column104]])</f>
        <v>0</v>
      </c>
      <c r="DC142" s="219"/>
      <c r="DD142" s="220" t="str">
        <f>IF(DC142=0,"--",1/$DC$3*1000/(60*60*24)*Table645[[#This Row],[Column107]])</f>
        <v>--</v>
      </c>
      <c r="DE142" s="160">
        <f>IF(Table645[[#This Row],[Column108]]="--",0,Table645[[#This Row],[Column4]]*Table645[[#This Row],[Column108]])</f>
        <v>0</v>
      </c>
      <c r="DF142" s="101" t="s">
        <v>70</v>
      </c>
      <c r="DG142" s="91" t="str">
        <f t="shared" si="113"/>
        <v>--</v>
      </c>
      <c r="DH142" s="89">
        <f>IF(Table645[[#This Row],[Column111]]="--",0,Table645[[#This Row],[Column4]]*Table645[[#This Row],[Column111]])</f>
        <v>0</v>
      </c>
      <c r="DI142" s="96"/>
      <c r="DJ142" s="96"/>
      <c r="DK142" s="96"/>
      <c r="DL142" s="96"/>
      <c r="DM142" s="96"/>
      <c r="DN142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42" s="89">
        <f>IF(Table645[[#This Row],[Column118]]="--",0,Table645[[#This Row],[Column4]]*Table645[[#This Row],[Column118]])</f>
        <v>0</v>
      </c>
      <c r="DP142" s="96"/>
      <c r="DQ142" s="96"/>
      <c r="DR142" s="91" t="str">
        <f t="shared" si="114"/>
        <v>--</v>
      </c>
      <c r="DS142" s="89">
        <f>IF(Table645[[#This Row],[Column122]]="--",0,Table645[[#This Row],[Column4]]*Table645[[#This Row],[Column122]])</f>
        <v>0</v>
      </c>
      <c r="DT142" t="str">
        <f>IF(Table645[[#This Row],[Column125]]=0,"--",Table645[[#This Row],[Column125]]*Table645[[#This Row],[Column126]]*Table645[[#This Row],[Column127]]/1000000000)</f>
        <v>--</v>
      </c>
      <c r="DU142" s="53"/>
      <c r="DV142" s="53"/>
      <c r="DW142" s="53"/>
      <c r="DX142" s="91" t="str">
        <f t="shared" si="115"/>
        <v>--</v>
      </c>
      <c r="DY142" s="89">
        <f>IF(Table645[[#This Row],[Column128]]="--",0,Table645[[#This Row],[Column4]]*Table645[[#This Row],[Column128]])</f>
        <v>0</v>
      </c>
      <c r="EA142" s="89">
        <f>IF(Table645[[#This Row],[Column128]]="--",0,Table645[[#This Row],[Column4]]*Table645[[#This Row],[Column128]])</f>
        <v>0</v>
      </c>
      <c r="EC142" s="89">
        <f>IF(Table645[[#This Row],[Column128]]="--",0,Table645[[#This Row],[Column4]]*Table645[[#This Row],[Column128]])</f>
        <v>0</v>
      </c>
      <c r="EE142" s="89">
        <f>IF(Table645[[#This Row],[Column128]]="--",0,Table645[[#This Row],[Column4]]*Table645[[#This Row],[Column128]])</f>
        <v>0</v>
      </c>
      <c r="EG142" s="89">
        <f>IF(Table645[[#This Row],[Column128]]="--",0,Table645[[#This Row],[Column4]]*Table645[[#This Row],[Column128]])</f>
        <v>0</v>
      </c>
      <c r="EI142" s="89">
        <f>IF(Table645[[#This Row],[Column128]]="--",0,Table645[[#This Row],[Column4]]*Table645[[#This Row],[Column128]])</f>
        <v>0</v>
      </c>
    </row>
    <row r="143" spans="1:139" x14ac:dyDescent="0.25">
      <c r="A143" s="140"/>
      <c r="B143" s="79"/>
      <c r="C143" s="140"/>
      <c r="D143" s="167"/>
      <c r="E143" s="52"/>
      <c r="F143" s="81"/>
      <c r="G143" s="81"/>
      <c r="H143" s="102" t="str">
        <f t="shared" si="106"/>
        <v>--</v>
      </c>
      <c r="I143" s="100">
        <f>IF(Table645[[#This Row],[Column8]]="--",0,Table645[[#This Row],[Column4]]*Table645[[#This Row],[Column8]])</f>
        <v>0</v>
      </c>
      <c r="J143" s="169"/>
      <c r="K143" s="85">
        <f>Table645[[#This Row],[Column4]]*Table645[[#This Row],[Column10]]</f>
        <v>0</v>
      </c>
      <c r="L143" s="170" t="str">
        <f t="shared" si="107"/>
        <v>--</v>
      </c>
      <c r="M143" s="214">
        <f>IF(Table645[[#This Row],[Column10]]=0,0,Table645[[#This Row],[Column4]]*Table645[[#This Row],[Column12]])</f>
        <v>0</v>
      </c>
      <c r="N143" s="87" t="str">
        <f t="shared" si="108"/>
        <v>--</v>
      </c>
      <c r="O143" s="138"/>
      <c r="AZ143" s="89">
        <f>IF(Table645[[#This Row],[Column14]]="--",0,Table645[[#This Row],[Column4]]*Table645[[#This Row],[Column14]])</f>
        <v>0</v>
      </c>
      <c r="BA143" s="90"/>
      <c r="BB143" s="91" t="str">
        <f>IF(BA143=0,"--",BA143*$BA$3*IF(Table645[[#This Row],[Column5]]&lt;4.1,1,2)/60/24)</f>
        <v>--</v>
      </c>
      <c r="BC143" s="92">
        <f>IF(Table645[[#This Row],[Column54]]="--",0,Table645[[#This Row],[Column4]]*Table645[[#This Row],[Column54]])</f>
        <v>0</v>
      </c>
      <c r="BD143" s="119"/>
      <c r="BE143" s="119"/>
      <c r="BF143" s="119"/>
      <c r="BG143" s="91" t="str">
        <f>IF(BD143+Table645[[#This Row],[Column58]]=0,"--",(BD143*$BF$3*Table645[[#This Row],[Column57]]+Table645[[#This Row],[Column58]]*$BF$4)/60/24)</f>
        <v>--</v>
      </c>
      <c r="BH143" s="92">
        <f>IF(Table645[[#This Row],[Column59]]="--",0,Table645[[#This Row],[Column4]]*Table645[[#This Row],[Column59]])</f>
        <v>0</v>
      </c>
      <c r="BI143" s="119"/>
      <c r="BJ143" s="91" t="str">
        <f t="shared" si="84"/>
        <v>--</v>
      </c>
      <c r="BK143" s="92">
        <f>IF(Table645[[#This Row],[Column62]]="--",0,Table645[[#This Row],[Column4]]*Table645[[#This Row],[Column62]])</f>
        <v>0</v>
      </c>
      <c r="BL143" s="93"/>
      <c r="BM143" s="91" t="str">
        <f t="shared" si="109"/>
        <v>--</v>
      </c>
      <c r="BN143" s="89">
        <f>IF(Table645[[#This Row],[Column65]]="--",0,Table645[[#This Row],[Column4]]*Table645[[#This Row],[Column65]])</f>
        <v>0</v>
      </c>
      <c r="BO143" s="163"/>
      <c r="BP143" s="164" t="str">
        <f t="shared" si="110"/>
        <v>--</v>
      </c>
      <c r="BQ143" s="160">
        <f>IF(Table645[[#This Row],[Column68]]="--",0,Table645[[#This Row],[Column4]]*Table645[[#This Row],[Column68]])</f>
        <v>0</v>
      </c>
      <c r="BR143" s="94"/>
      <c r="BS143" s="91" t="str">
        <f t="shared" si="111"/>
        <v>--</v>
      </c>
      <c r="BT143" s="92">
        <f>IF(Table645[[#This Row],[Column71]]="--",0,Table645[[#This Row],[Column4]]*Table645[[#This Row],[Column71]])</f>
        <v>0</v>
      </c>
      <c r="BU143" s="44"/>
      <c r="BV143" s="90"/>
      <c r="BW143" s="91" t="str">
        <f>IF(BV143=0,"--",(Table645[[#This Row],[Column73]]*$BV$4*(IF(J143&lt;0.5001,1,IF(J143&lt;2.0001,2,3)))+BV143/$BV$3)/60/24)</f>
        <v>--</v>
      </c>
      <c r="BX143" s="92">
        <f>IF(Table645[[#This Row],[Column75]]="--",0,Table645[[#This Row],[Column4]]*Table645[[#This Row],[Column75]])</f>
        <v>0</v>
      </c>
      <c r="BY143" s="95" t="s">
        <v>70</v>
      </c>
      <c r="BZ143" s="91" t="str">
        <f>IF(Table645[[#This Row],[Column74]]=0,"--",BW143*$BY$3)</f>
        <v>--</v>
      </c>
      <c r="CA143" s="89">
        <f>IF(Table645[[#This Row],[Column78]]="--",0,Table645[[#This Row],[Column4]]*Table645[[#This Row],[Column78]])</f>
        <v>0</v>
      </c>
      <c r="CB143" s="95" t="s">
        <v>70</v>
      </c>
      <c r="CC143" s="91" t="str">
        <f>IF(Table645[[#This Row],[Column10]]+Table645[[#This Row],[Column74]]=0,"--",J143*$CB$4*$CB$5/(24*60)+IF(Table645[[#This Row],[Column74]]=0,0,$CB$3*Table645[[#This Row],[Column75]]))</f>
        <v>--</v>
      </c>
      <c r="CD143" s="92">
        <f>IF(Table645[[#This Row],[Column81]]="--",0,Table645[[#This Row],[Column4]]*Table645[[#This Row],[Column81]])</f>
        <v>0</v>
      </c>
      <c r="CE143" s="215"/>
      <c r="CF143" s="91" t="str">
        <f t="shared" si="85"/>
        <v>--</v>
      </c>
      <c r="CG143" s="92">
        <f>IF(Table645[[#This Row],[Column84]]="--",0,Table645[[#This Row],[Column4]]*Table645[[#This Row],[Column84]])</f>
        <v>0</v>
      </c>
      <c r="CH143" s="226"/>
      <c r="CI143" s="216"/>
      <c r="CJ143" s="91" t="str">
        <f>IF(CI143=0,"--",(Table645[[#This Row],[Column86]]*$CI$4*(IF(W143&lt;0.5001,1,IF(W143&lt;2.0001,2,3)))+CI143/$CI$3)/60/24)</f>
        <v>--</v>
      </c>
      <c r="CK143" s="92">
        <f>IF(Table645[[#This Row],[Column88]]="--",0,Table645[[#This Row],[Column4]]*Table645[[#This Row],[Column88]])</f>
        <v>0</v>
      </c>
      <c r="CL143" s="217"/>
      <c r="CM143" s="91" t="str">
        <f>IF(Table645[[#This Row],[Column87]]=0,"--",CJ143*$CL$3)</f>
        <v>--</v>
      </c>
      <c r="CN143" s="92">
        <f>IF(Table645[[#This Row],[Column91]]="--",0,Table645[[#This Row],[Column4]]*Table645[[#This Row],[Column91]])</f>
        <v>0</v>
      </c>
      <c r="CO143" s="217"/>
      <c r="CP143" s="91" t="str">
        <f>IF(Table645[[#This Row],[Column10]]+Table645[[#This Row],[Column87]]=0, "--", IF($D143="", 1, $D143) * IF($J143="", 1, $J143) * $CO$3 * $CO$4 * IF(Table645[[#This Row],[Column95]]="", 1, Table645[[#This Row],[Column95]]) / (24 * 60))</f>
        <v>--</v>
      </c>
      <c r="CQ143" s="164"/>
      <c r="CR143" s="92">
        <f>IF(Table645[[#This Row],[Column94]]="--",0,Table645[[#This Row],[Column4]]*Table645[[#This Row],[Column94]])</f>
        <v>0</v>
      </c>
      <c r="CS143" s="218" t="str">
        <f>IF(Table645[[#This Row],[Column87]]="","",Table645[[#This Row],[Column87]])</f>
        <v/>
      </c>
      <c r="CT143" s="91" t="str">
        <f>IF(Table645[[#This Row],[Column97]]="","--",Table645[[#This Row],[Column97]]/$CS$3/60/24)</f>
        <v>--</v>
      </c>
      <c r="CU143" s="92">
        <f>IF(Table645[[#This Row],[Column98]]="--",0,Table645[[#This Row],[Column4]]*Table645[[#This Row],[Column98]])</f>
        <v>0</v>
      </c>
      <c r="CV143" s="93"/>
      <c r="CW143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43" s="91" t="str">
        <f>IF(OR(Table645[[#This Row],[Column74]]&gt;0,Table645[[#This Row],[Column87]]&gt;0),(Table645[[#This Row],[Column73]]+Table645[[#This Row],[Column86]]+1)*$CW$3/60/24,"--")</f>
        <v>--</v>
      </c>
      <c r="CY143" s="92">
        <f>IF(Table645[[#This Row],[Column102]]="--",0,Table645[[#This Row],[Column4]]*Table645[[#This Row],[Column102]])</f>
        <v>0</v>
      </c>
      <c r="CZ143" s="158" t="str">
        <f t="shared" si="112"/>
        <v>--</v>
      </c>
      <c r="DA143" s="153"/>
      <c r="DB143" s="160">
        <f>IF(Table645[[#This Row],[Column104]]="--",0,Table645[[#This Row],[Column4]]*Table645[[#This Row],[Column104]])</f>
        <v>0</v>
      </c>
      <c r="DC143" s="219"/>
      <c r="DD143" s="220" t="str">
        <f>IF(DC143=0,"--",1/$DC$3*1000/(60*60*24)*Table645[[#This Row],[Column107]])</f>
        <v>--</v>
      </c>
      <c r="DE143" s="160">
        <f>IF(Table645[[#This Row],[Column108]]="--",0,Table645[[#This Row],[Column4]]*Table645[[#This Row],[Column108]])</f>
        <v>0</v>
      </c>
      <c r="DF143" s="101" t="s">
        <v>70</v>
      </c>
      <c r="DG143" s="91" t="str">
        <f t="shared" si="113"/>
        <v>--</v>
      </c>
      <c r="DH143" s="89">
        <f>IF(Table645[[#This Row],[Column111]]="--",0,Table645[[#This Row],[Column4]]*Table645[[#This Row],[Column111]])</f>
        <v>0</v>
      </c>
      <c r="DI143" s="96"/>
      <c r="DJ143" s="96"/>
      <c r="DK143" s="96"/>
      <c r="DL143" s="96"/>
      <c r="DM143" s="96"/>
      <c r="DN143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43" s="89">
        <f>IF(Table645[[#This Row],[Column118]]="--",0,Table645[[#This Row],[Column4]]*Table645[[#This Row],[Column118]])</f>
        <v>0</v>
      </c>
      <c r="DP143" s="96"/>
      <c r="DQ143" s="96"/>
      <c r="DR143" s="91" t="str">
        <f t="shared" si="114"/>
        <v>--</v>
      </c>
      <c r="DS143" s="89">
        <f>IF(Table645[[#This Row],[Column122]]="--",0,Table645[[#This Row],[Column4]]*Table645[[#This Row],[Column122]])</f>
        <v>0</v>
      </c>
      <c r="DT143" t="str">
        <f>IF(Table645[[#This Row],[Column125]]=0,"--",Table645[[#This Row],[Column125]]*Table645[[#This Row],[Column126]]*Table645[[#This Row],[Column127]]/1000000000)</f>
        <v>--</v>
      </c>
      <c r="DU143" s="53"/>
      <c r="DV143" s="53"/>
      <c r="DW143" s="53"/>
      <c r="DX143" s="91" t="str">
        <f t="shared" si="115"/>
        <v>--</v>
      </c>
      <c r="DY143" s="89">
        <f>IF(Table645[[#This Row],[Column128]]="--",0,Table645[[#This Row],[Column4]]*Table645[[#This Row],[Column128]])</f>
        <v>0</v>
      </c>
      <c r="EA143" s="89">
        <f>IF(Table645[[#This Row],[Column128]]="--",0,Table645[[#This Row],[Column4]]*Table645[[#This Row],[Column128]])</f>
        <v>0</v>
      </c>
      <c r="EC143" s="89">
        <f>IF(Table645[[#This Row],[Column128]]="--",0,Table645[[#This Row],[Column4]]*Table645[[#This Row],[Column128]])</f>
        <v>0</v>
      </c>
      <c r="EE143" s="89">
        <f>IF(Table645[[#This Row],[Column128]]="--",0,Table645[[#This Row],[Column4]]*Table645[[#This Row],[Column128]])</f>
        <v>0</v>
      </c>
      <c r="EG143" s="89">
        <f>IF(Table645[[#This Row],[Column128]]="--",0,Table645[[#This Row],[Column4]]*Table645[[#This Row],[Column128]])</f>
        <v>0</v>
      </c>
      <c r="EI143" s="89">
        <f>IF(Table645[[#This Row],[Column128]]="--",0,Table645[[#This Row],[Column4]]*Table645[[#This Row],[Column128]])</f>
        <v>0</v>
      </c>
    </row>
    <row r="144" spans="1:139" x14ac:dyDescent="0.25">
      <c r="A144" s="140"/>
      <c r="B144" s="79"/>
      <c r="C144" s="140"/>
      <c r="D144" s="167"/>
      <c r="E144" s="52"/>
      <c r="F144" s="81"/>
      <c r="G144" s="81"/>
      <c r="H144" s="102" t="str">
        <f t="shared" si="106"/>
        <v>--</v>
      </c>
      <c r="I144" s="100">
        <f>IF(Table645[[#This Row],[Column8]]="--",0,Table645[[#This Row],[Column4]]*Table645[[#This Row],[Column8]])</f>
        <v>0</v>
      </c>
      <c r="J144" s="169"/>
      <c r="K144" s="85">
        <f>Table645[[#This Row],[Column4]]*Table645[[#This Row],[Column10]]</f>
        <v>0</v>
      </c>
      <c r="L144" s="170" t="str">
        <f t="shared" si="107"/>
        <v>--</v>
      </c>
      <c r="M144" s="214">
        <f>IF(Table645[[#This Row],[Column10]]=0,0,Table645[[#This Row],[Column4]]*Table645[[#This Row],[Column12]])</f>
        <v>0</v>
      </c>
      <c r="N144" s="87" t="str">
        <f t="shared" si="108"/>
        <v>--</v>
      </c>
      <c r="O144" s="138"/>
      <c r="AZ144" s="89">
        <f>IF(Table645[[#This Row],[Column14]]="--",0,Table645[[#This Row],[Column4]]*Table645[[#This Row],[Column14]])</f>
        <v>0</v>
      </c>
      <c r="BA144" s="90"/>
      <c r="BB144" s="91" t="str">
        <f>IF(BA144=0,"--",BA144*$BA$3*IF(Table645[[#This Row],[Column5]]&lt;4.1,1,2)/60/24)</f>
        <v>--</v>
      </c>
      <c r="BC144" s="92">
        <f>IF(Table645[[#This Row],[Column54]]="--",0,Table645[[#This Row],[Column4]]*Table645[[#This Row],[Column54]])</f>
        <v>0</v>
      </c>
      <c r="BD144" s="119"/>
      <c r="BE144" s="119"/>
      <c r="BF144" s="119"/>
      <c r="BG144" s="91" t="str">
        <f>IF(BD144+Table645[[#This Row],[Column58]]=0,"--",(BD144*$BF$3*Table645[[#This Row],[Column57]]+Table645[[#This Row],[Column58]]*$BF$4)/60/24)</f>
        <v>--</v>
      </c>
      <c r="BH144" s="92">
        <f>IF(Table645[[#This Row],[Column59]]="--",0,Table645[[#This Row],[Column4]]*Table645[[#This Row],[Column59]])</f>
        <v>0</v>
      </c>
      <c r="BI144" s="119"/>
      <c r="BJ144" s="91" t="str">
        <f t="shared" si="84"/>
        <v>--</v>
      </c>
      <c r="BK144" s="92">
        <f>IF(Table645[[#This Row],[Column62]]="--",0,Table645[[#This Row],[Column4]]*Table645[[#This Row],[Column62]])</f>
        <v>0</v>
      </c>
      <c r="BL144" s="93"/>
      <c r="BM144" s="91" t="str">
        <f t="shared" si="109"/>
        <v>--</v>
      </c>
      <c r="BN144" s="89">
        <f>IF(Table645[[#This Row],[Column65]]="--",0,Table645[[#This Row],[Column4]]*Table645[[#This Row],[Column65]])</f>
        <v>0</v>
      </c>
      <c r="BO144" s="163"/>
      <c r="BP144" s="164" t="str">
        <f t="shared" si="110"/>
        <v>--</v>
      </c>
      <c r="BQ144" s="160">
        <f>IF(Table645[[#This Row],[Column68]]="--",0,Table645[[#This Row],[Column4]]*Table645[[#This Row],[Column68]])</f>
        <v>0</v>
      </c>
      <c r="BR144" s="94"/>
      <c r="BS144" s="91" t="str">
        <f t="shared" si="111"/>
        <v>--</v>
      </c>
      <c r="BT144" s="92">
        <f>IF(Table645[[#This Row],[Column71]]="--",0,Table645[[#This Row],[Column4]]*Table645[[#This Row],[Column71]])</f>
        <v>0</v>
      </c>
      <c r="BU144" s="44"/>
      <c r="BV144" s="90"/>
      <c r="BW144" s="91" t="str">
        <f>IF(BV144=0,"--",(Table645[[#This Row],[Column73]]*$BV$4*(IF(J144&lt;0.5001,1,IF(J144&lt;2.0001,2,3)))+BV144/$BV$3)/60/24)</f>
        <v>--</v>
      </c>
      <c r="BX144" s="92">
        <f>IF(Table645[[#This Row],[Column75]]="--",0,Table645[[#This Row],[Column4]]*Table645[[#This Row],[Column75]])</f>
        <v>0</v>
      </c>
      <c r="BY144" s="95" t="s">
        <v>70</v>
      </c>
      <c r="BZ144" s="91" t="str">
        <f>IF(Table645[[#This Row],[Column74]]=0,"--",BW144*$BY$3)</f>
        <v>--</v>
      </c>
      <c r="CA144" s="89">
        <f>IF(Table645[[#This Row],[Column78]]="--",0,Table645[[#This Row],[Column4]]*Table645[[#This Row],[Column78]])</f>
        <v>0</v>
      </c>
      <c r="CB144" s="95" t="s">
        <v>70</v>
      </c>
      <c r="CC144" s="91" t="str">
        <f>IF(Table645[[#This Row],[Column10]]+Table645[[#This Row],[Column74]]=0,"--",J144*$CB$4*$CB$5/(24*60)+IF(Table645[[#This Row],[Column74]]=0,0,$CB$3*Table645[[#This Row],[Column75]]))</f>
        <v>--</v>
      </c>
      <c r="CD144" s="92">
        <f>IF(Table645[[#This Row],[Column81]]="--",0,Table645[[#This Row],[Column4]]*Table645[[#This Row],[Column81]])</f>
        <v>0</v>
      </c>
      <c r="CE144" s="215"/>
      <c r="CF144" s="91" t="str">
        <f t="shared" si="85"/>
        <v>--</v>
      </c>
      <c r="CG144" s="92">
        <f>IF(Table645[[#This Row],[Column84]]="--",0,Table645[[#This Row],[Column4]]*Table645[[#This Row],[Column84]])</f>
        <v>0</v>
      </c>
      <c r="CH144" s="226"/>
      <c r="CI144" s="216"/>
      <c r="CJ144" s="91" t="str">
        <f>IF(CI144=0,"--",(Table645[[#This Row],[Column86]]*$CI$4*(IF(W144&lt;0.5001,1,IF(W144&lt;2.0001,2,3)))+CI144/$CI$3)/60/24)</f>
        <v>--</v>
      </c>
      <c r="CK144" s="92">
        <f>IF(Table645[[#This Row],[Column88]]="--",0,Table645[[#This Row],[Column4]]*Table645[[#This Row],[Column88]])</f>
        <v>0</v>
      </c>
      <c r="CL144" s="217"/>
      <c r="CM144" s="91" t="str">
        <f>IF(Table645[[#This Row],[Column87]]=0,"--",CJ144*$CL$3)</f>
        <v>--</v>
      </c>
      <c r="CN144" s="92">
        <f>IF(Table645[[#This Row],[Column91]]="--",0,Table645[[#This Row],[Column4]]*Table645[[#This Row],[Column91]])</f>
        <v>0</v>
      </c>
      <c r="CO144" s="217"/>
      <c r="CP144" s="91" t="str">
        <f>IF(Table645[[#This Row],[Column10]]+Table645[[#This Row],[Column87]]=0, "--", IF($D144="", 1, $D144) * IF($J144="", 1, $J144) * $CO$3 * $CO$4 * IF(Table645[[#This Row],[Column95]]="", 1, Table645[[#This Row],[Column95]]) / (24 * 60))</f>
        <v>--</v>
      </c>
      <c r="CQ144" s="164"/>
      <c r="CR144" s="92">
        <f>IF(Table645[[#This Row],[Column94]]="--",0,Table645[[#This Row],[Column4]]*Table645[[#This Row],[Column94]])</f>
        <v>0</v>
      </c>
      <c r="CS144" s="218" t="str">
        <f>IF(Table645[[#This Row],[Column87]]="","",Table645[[#This Row],[Column87]])</f>
        <v/>
      </c>
      <c r="CT144" s="91" t="str">
        <f>IF(Table645[[#This Row],[Column97]]="","--",Table645[[#This Row],[Column97]]/$CS$3/60/24)</f>
        <v>--</v>
      </c>
      <c r="CU144" s="92">
        <f>IF(Table645[[#This Row],[Column98]]="--",0,Table645[[#This Row],[Column4]]*Table645[[#This Row],[Column98]])</f>
        <v>0</v>
      </c>
      <c r="CV144" s="93"/>
      <c r="CW144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44" s="91" t="str">
        <f>IF(OR(Table645[[#This Row],[Column74]]&gt;0,Table645[[#This Row],[Column87]]&gt;0),(Table645[[#This Row],[Column73]]+Table645[[#This Row],[Column86]]+1)*$CW$3/60/24,"--")</f>
        <v>--</v>
      </c>
      <c r="CY144" s="92">
        <f>IF(Table645[[#This Row],[Column102]]="--",0,Table645[[#This Row],[Column4]]*Table645[[#This Row],[Column102]])</f>
        <v>0</v>
      </c>
      <c r="CZ144" s="158" t="str">
        <f t="shared" si="112"/>
        <v>--</v>
      </c>
      <c r="DA144" s="153"/>
      <c r="DB144" s="160">
        <f>IF(Table645[[#This Row],[Column104]]="--",0,Table645[[#This Row],[Column4]]*Table645[[#This Row],[Column104]])</f>
        <v>0</v>
      </c>
      <c r="DC144" s="219"/>
      <c r="DD144" s="220" t="str">
        <f>IF(DC144=0,"--",1/$DC$3*1000/(60*60*24)*Table645[[#This Row],[Column107]])</f>
        <v>--</v>
      </c>
      <c r="DE144" s="160">
        <f>IF(Table645[[#This Row],[Column108]]="--",0,Table645[[#This Row],[Column4]]*Table645[[#This Row],[Column108]])</f>
        <v>0</v>
      </c>
      <c r="DF144" s="101" t="s">
        <v>70</v>
      </c>
      <c r="DG144" s="91" t="str">
        <f t="shared" si="113"/>
        <v>--</v>
      </c>
      <c r="DH144" s="89">
        <f>IF(Table645[[#This Row],[Column111]]="--",0,Table645[[#This Row],[Column4]]*Table645[[#This Row],[Column111]])</f>
        <v>0</v>
      </c>
      <c r="DI144" s="96"/>
      <c r="DJ144" s="96"/>
      <c r="DK144" s="96"/>
      <c r="DL144" s="96"/>
      <c r="DM144" s="96"/>
      <c r="DN144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44" s="89">
        <f>IF(Table645[[#This Row],[Column118]]="--",0,Table645[[#This Row],[Column4]]*Table645[[#This Row],[Column118]])</f>
        <v>0</v>
      </c>
      <c r="DP144" s="96"/>
      <c r="DQ144" s="96"/>
      <c r="DR144" s="91" t="str">
        <f t="shared" si="114"/>
        <v>--</v>
      </c>
      <c r="DS144" s="89">
        <f>IF(Table645[[#This Row],[Column122]]="--",0,Table645[[#This Row],[Column4]]*Table645[[#This Row],[Column122]])</f>
        <v>0</v>
      </c>
      <c r="DT144" t="str">
        <f>IF(Table645[[#This Row],[Column125]]=0,"--",Table645[[#This Row],[Column125]]*Table645[[#This Row],[Column126]]*Table645[[#This Row],[Column127]]/1000000000)</f>
        <v>--</v>
      </c>
      <c r="DU144" s="53"/>
      <c r="DV144" s="53"/>
      <c r="DW144" s="53"/>
      <c r="DX144" s="91" t="str">
        <f t="shared" si="115"/>
        <v>--</v>
      </c>
      <c r="DY144" s="89">
        <f>IF(Table645[[#This Row],[Column128]]="--",0,Table645[[#This Row],[Column4]]*Table645[[#This Row],[Column128]])</f>
        <v>0</v>
      </c>
      <c r="EA144" s="89">
        <f>IF(Table645[[#This Row],[Column128]]="--",0,Table645[[#This Row],[Column4]]*Table645[[#This Row],[Column128]])</f>
        <v>0</v>
      </c>
      <c r="EC144" s="89">
        <f>IF(Table645[[#This Row],[Column128]]="--",0,Table645[[#This Row],[Column4]]*Table645[[#This Row],[Column128]])</f>
        <v>0</v>
      </c>
      <c r="EE144" s="89">
        <f>IF(Table645[[#This Row],[Column128]]="--",0,Table645[[#This Row],[Column4]]*Table645[[#This Row],[Column128]])</f>
        <v>0</v>
      </c>
      <c r="EG144" s="89">
        <f>IF(Table645[[#This Row],[Column128]]="--",0,Table645[[#This Row],[Column4]]*Table645[[#This Row],[Column128]])</f>
        <v>0</v>
      </c>
      <c r="EI144" s="89">
        <f>IF(Table645[[#This Row],[Column128]]="--",0,Table645[[#This Row],[Column4]]*Table645[[#This Row],[Column128]])</f>
        <v>0</v>
      </c>
    </row>
    <row r="145" spans="1:139" x14ac:dyDescent="0.25">
      <c r="A145" s="140"/>
      <c r="B145" s="79"/>
      <c r="C145" s="140"/>
      <c r="D145" s="167"/>
      <c r="E145" s="52"/>
      <c r="F145" s="81"/>
      <c r="G145" s="81"/>
      <c r="H145" s="102" t="str">
        <f t="shared" si="106"/>
        <v>--</v>
      </c>
      <c r="I145" s="100">
        <f>IF(Table645[[#This Row],[Column8]]="--",0,Table645[[#This Row],[Column4]]*Table645[[#This Row],[Column8]])</f>
        <v>0</v>
      </c>
      <c r="J145" s="169"/>
      <c r="K145" s="85">
        <f>Table645[[#This Row],[Column4]]*Table645[[#This Row],[Column10]]</f>
        <v>0</v>
      </c>
      <c r="L145" s="170" t="str">
        <f t="shared" si="107"/>
        <v>--</v>
      </c>
      <c r="M145" s="214">
        <f>IF(Table645[[#This Row],[Column10]]=0,0,Table645[[#This Row],[Column4]]*Table645[[#This Row],[Column12]])</f>
        <v>0</v>
      </c>
      <c r="N145" s="87" t="str">
        <f t="shared" si="108"/>
        <v>--</v>
      </c>
      <c r="O145" s="138"/>
      <c r="AZ145" s="89">
        <f>IF(Table645[[#This Row],[Column14]]="--",0,Table645[[#This Row],[Column4]]*Table645[[#This Row],[Column14]])</f>
        <v>0</v>
      </c>
      <c r="BA145" s="90"/>
      <c r="BB145" s="91" t="str">
        <f>IF(BA145=0,"--",BA145*$BA$3*IF(Table645[[#This Row],[Column5]]&lt;4.1,1,2)/60/24)</f>
        <v>--</v>
      </c>
      <c r="BC145" s="92">
        <f>IF(Table645[[#This Row],[Column54]]="--",0,Table645[[#This Row],[Column4]]*Table645[[#This Row],[Column54]])</f>
        <v>0</v>
      </c>
      <c r="BD145" s="119"/>
      <c r="BE145" s="119"/>
      <c r="BF145" s="119"/>
      <c r="BG145" s="91" t="str">
        <f>IF(BD145+Table645[[#This Row],[Column58]]=0,"--",(BD145*$BF$3*Table645[[#This Row],[Column57]]+Table645[[#This Row],[Column58]]*$BF$4)/60/24)</f>
        <v>--</v>
      </c>
      <c r="BH145" s="92">
        <f>IF(Table645[[#This Row],[Column59]]="--",0,Table645[[#This Row],[Column4]]*Table645[[#This Row],[Column59]])</f>
        <v>0</v>
      </c>
      <c r="BI145" s="119"/>
      <c r="BJ145" s="91" t="str">
        <f t="shared" si="84"/>
        <v>--</v>
      </c>
      <c r="BK145" s="92">
        <f>IF(Table645[[#This Row],[Column62]]="--",0,Table645[[#This Row],[Column4]]*Table645[[#This Row],[Column62]])</f>
        <v>0</v>
      </c>
      <c r="BL145" s="93"/>
      <c r="BM145" s="91" t="str">
        <f t="shared" si="109"/>
        <v>--</v>
      </c>
      <c r="BN145" s="89">
        <f>IF(Table645[[#This Row],[Column65]]="--",0,Table645[[#This Row],[Column4]]*Table645[[#This Row],[Column65]])</f>
        <v>0</v>
      </c>
      <c r="BO145" s="163"/>
      <c r="BP145" s="164" t="str">
        <f t="shared" si="110"/>
        <v>--</v>
      </c>
      <c r="BQ145" s="160">
        <f>IF(Table645[[#This Row],[Column68]]="--",0,Table645[[#This Row],[Column4]]*Table645[[#This Row],[Column68]])</f>
        <v>0</v>
      </c>
      <c r="BR145" s="94"/>
      <c r="BS145" s="91" t="str">
        <f t="shared" si="111"/>
        <v>--</v>
      </c>
      <c r="BT145" s="92">
        <f>IF(Table645[[#This Row],[Column71]]="--",0,Table645[[#This Row],[Column4]]*Table645[[#This Row],[Column71]])</f>
        <v>0</v>
      </c>
      <c r="BU145" s="44"/>
      <c r="BV145" s="90"/>
      <c r="BW145" s="91" t="str">
        <f>IF(BV145=0,"--",(Table645[[#This Row],[Column73]]*$BV$4*(IF(J145&lt;0.5001,1,IF(J145&lt;2.0001,2,3)))+BV145/$BV$3)/60/24)</f>
        <v>--</v>
      </c>
      <c r="BX145" s="92">
        <f>IF(Table645[[#This Row],[Column75]]="--",0,Table645[[#This Row],[Column4]]*Table645[[#This Row],[Column75]])</f>
        <v>0</v>
      </c>
      <c r="BY145" s="95" t="s">
        <v>70</v>
      </c>
      <c r="BZ145" s="91" t="str">
        <f>IF(Table645[[#This Row],[Column74]]=0,"--",BW145*$BY$3)</f>
        <v>--</v>
      </c>
      <c r="CA145" s="89">
        <f>IF(Table645[[#This Row],[Column78]]="--",0,Table645[[#This Row],[Column4]]*Table645[[#This Row],[Column78]])</f>
        <v>0</v>
      </c>
      <c r="CB145" s="95" t="s">
        <v>70</v>
      </c>
      <c r="CC145" s="91" t="str">
        <f>IF(Table645[[#This Row],[Column10]]+Table645[[#This Row],[Column74]]=0,"--",J145*$CB$4*$CB$5/(24*60)+IF(Table645[[#This Row],[Column74]]=0,0,$CB$3*Table645[[#This Row],[Column75]]))</f>
        <v>--</v>
      </c>
      <c r="CD145" s="92">
        <f>IF(Table645[[#This Row],[Column81]]="--",0,Table645[[#This Row],[Column4]]*Table645[[#This Row],[Column81]])</f>
        <v>0</v>
      </c>
      <c r="CE145" s="215"/>
      <c r="CF145" s="91" t="str">
        <f t="shared" si="85"/>
        <v>--</v>
      </c>
      <c r="CG145" s="92">
        <f>IF(Table645[[#This Row],[Column84]]="--",0,Table645[[#This Row],[Column4]]*Table645[[#This Row],[Column84]])</f>
        <v>0</v>
      </c>
      <c r="CH145" s="226"/>
      <c r="CI145" s="216"/>
      <c r="CJ145" s="91" t="str">
        <f>IF(CI145=0,"--",(Table645[[#This Row],[Column86]]*$CI$4*(IF(W145&lt;0.5001,1,IF(W145&lt;2.0001,2,3)))+CI145/$CI$3)/60/24)</f>
        <v>--</v>
      </c>
      <c r="CK145" s="92">
        <f>IF(Table645[[#This Row],[Column88]]="--",0,Table645[[#This Row],[Column4]]*Table645[[#This Row],[Column88]])</f>
        <v>0</v>
      </c>
      <c r="CL145" s="217"/>
      <c r="CM145" s="91" t="str">
        <f>IF(Table645[[#This Row],[Column87]]=0,"--",CJ145*$CL$3)</f>
        <v>--</v>
      </c>
      <c r="CN145" s="92">
        <f>IF(Table645[[#This Row],[Column91]]="--",0,Table645[[#This Row],[Column4]]*Table645[[#This Row],[Column91]])</f>
        <v>0</v>
      </c>
      <c r="CO145" s="217"/>
      <c r="CP145" s="91" t="str">
        <f>IF(Table645[[#This Row],[Column10]]+Table645[[#This Row],[Column87]]=0, "--", IF($D145="", 1, $D145) * IF($J145="", 1, $J145) * $CO$3 * $CO$4 * IF(Table645[[#This Row],[Column95]]="", 1, Table645[[#This Row],[Column95]]) / (24 * 60))</f>
        <v>--</v>
      </c>
      <c r="CQ145" s="164"/>
      <c r="CR145" s="92">
        <f>IF(Table645[[#This Row],[Column94]]="--",0,Table645[[#This Row],[Column4]]*Table645[[#This Row],[Column94]])</f>
        <v>0</v>
      </c>
      <c r="CS145" s="218" t="str">
        <f>IF(Table645[[#This Row],[Column87]]="","",Table645[[#This Row],[Column87]])</f>
        <v/>
      </c>
      <c r="CT145" s="91" t="str">
        <f>IF(Table645[[#This Row],[Column97]]="","--",Table645[[#This Row],[Column97]]/$CS$3/60/24)</f>
        <v>--</v>
      </c>
      <c r="CU145" s="92">
        <f>IF(Table645[[#This Row],[Column98]]="--",0,Table645[[#This Row],[Column4]]*Table645[[#This Row],[Column98]])</f>
        <v>0</v>
      </c>
      <c r="CV145" s="93"/>
      <c r="CW145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45" s="91" t="str">
        <f>IF(OR(Table645[[#This Row],[Column74]]&gt;0,Table645[[#This Row],[Column87]]&gt;0),(Table645[[#This Row],[Column73]]+Table645[[#This Row],[Column86]]+1)*$CW$3/60/24,"--")</f>
        <v>--</v>
      </c>
      <c r="CY145" s="92">
        <f>IF(Table645[[#This Row],[Column102]]="--",0,Table645[[#This Row],[Column4]]*Table645[[#This Row],[Column102]])</f>
        <v>0</v>
      </c>
      <c r="CZ145" s="158" t="str">
        <f t="shared" si="112"/>
        <v>--</v>
      </c>
      <c r="DA145" s="153"/>
      <c r="DB145" s="160">
        <f>IF(Table645[[#This Row],[Column104]]="--",0,Table645[[#This Row],[Column4]]*Table645[[#This Row],[Column104]])</f>
        <v>0</v>
      </c>
      <c r="DC145" s="219"/>
      <c r="DD145" s="220" t="str">
        <f>IF(DC145=0,"--",1/$DC$3*1000/(60*60*24)*Table645[[#This Row],[Column107]])</f>
        <v>--</v>
      </c>
      <c r="DE145" s="160">
        <f>IF(Table645[[#This Row],[Column108]]="--",0,Table645[[#This Row],[Column4]]*Table645[[#This Row],[Column108]])</f>
        <v>0</v>
      </c>
      <c r="DF145" s="101" t="s">
        <v>70</v>
      </c>
      <c r="DG145" s="91" t="str">
        <f t="shared" si="113"/>
        <v>--</v>
      </c>
      <c r="DH145" s="89">
        <f>IF(Table645[[#This Row],[Column111]]="--",0,Table645[[#This Row],[Column4]]*Table645[[#This Row],[Column111]])</f>
        <v>0</v>
      </c>
      <c r="DI145" s="96"/>
      <c r="DJ145" s="96"/>
      <c r="DK145" s="96"/>
      <c r="DL145" s="96"/>
      <c r="DM145" s="96"/>
      <c r="DN145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45" s="89">
        <f>IF(Table645[[#This Row],[Column118]]="--",0,Table645[[#This Row],[Column4]]*Table645[[#This Row],[Column118]])</f>
        <v>0</v>
      </c>
      <c r="DP145" s="96"/>
      <c r="DQ145" s="96"/>
      <c r="DR145" s="91" t="str">
        <f t="shared" si="114"/>
        <v>--</v>
      </c>
      <c r="DS145" s="89">
        <f>IF(Table645[[#This Row],[Column122]]="--",0,Table645[[#This Row],[Column4]]*Table645[[#This Row],[Column122]])</f>
        <v>0</v>
      </c>
      <c r="DT145" t="str">
        <f>IF(Table645[[#This Row],[Column125]]=0,"--",Table645[[#This Row],[Column125]]*Table645[[#This Row],[Column126]]*Table645[[#This Row],[Column127]]/1000000000)</f>
        <v>--</v>
      </c>
      <c r="DU145" s="53"/>
      <c r="DV145" s="53"/>
      <c r="DW145" s="53"/>
      <c r="DX145" s="91" t="str">
        <f t="shared" si="115"/>
        <v>--</v>
      </c>
      <c r="DY145" s="89">
        <f>IF(Table645[[#This Row],[Column128]]="--",0,Table645[[#This Row],[Column4]]*Table645[[#This Row],[Column128]])</f>
        <v>0</v>
      </c>
      <c r="EA145" s="89">
        <f>IF(Table645[[#This Row],[Column128]]="--",0,Table645[[#This Row],[Column4]]*Table645[[#This Row],[Column128]])</f>
        <v>0</v>
      </c>
      <c r="EC145" s="89">
        <f>IF(Table645[[#This Row],[Column128]]="--",0,Table645[[#This Row],[Column4]]*Table645[[#This Row],[Column128]])</f>
        <v>0</v>
      </c>
      <c r="EE145" s="89">
        <f>IF(Table645[[#This Row],[Column128]]="--",0,Table645[[#This Row],[Column4]]*Table645[[#This Row],[Column128]])</f>
        <v>0</v>
      </c>
      <c r="EG145" s="89">
        <f>IF(Table645[[#This Row],[Column128]]="--",0,Table645[[#This Row],[Column4]]*Table645[[#This Row],[Column128]])</f>
        <v>0</v>
      </c>
      <c r="EI145" s="89">
        <f>IF(Table645[[#This Row],[Column128]]="--",0,Table645[[#This Row],[Column4]]*Table645[[#This Row],[Column128]])</f>
        <v>0</v>
      </c>
    </row>
    <row r="146" spans="1:139" x14ac:dyDescent="0.25">
      <c r="A146" s="140"/>
      <c r="B146" s="79"/>
      <c r="C146" s="140"/>
      <c r="D146" s="167"/>
      <c r="E146" s="52"/>
      <c r="F146" s="81"/>
      <c r="G146" s="81"/>
      <c r="H146" s="102" t="str">
        <f t="shared" si="106"/>
        <v>--</v>
      </c>
      <c r="I146" s="100">
        <f>IF(Table645[[#This Row],[Column8]]="--",0,Table645[[#This Row],[Column4]]*Table645[[#This Row],[Column8]])</f>
        <v>0</v>
      </c>
      <c r="J146" s="169"/>
      <c r="K146" s="85">
        <f>Table645[[#This Row],[Column4]]*Table645[[#This Row],[Column10]]</f>
        <v>0</v>
      </c>
      <c r="L146" s="170" t="str">
        <f t="shared" si="107"/>
        <v>--</v>
      </c>
      <c r="M146" s="214">
        <f>IF(Table645[[#This Row],[Column10]]=0,0,Table645[[#This Row],[Column4]]*Table645[[#This Row],[Column12]])</f>
        <v>0</v>
      </c>
      <c r="N146" s="87" t="str">
        <f t="shared" si="108"/>
        <v>--</v>
      </c>
      <c r="O146" s="138"/>
      <c r="AZ146" s="89">
        <f>IF(Table645[[#This Row],[Column14]]="--",0,Table645[[#This Row],[Column4]]*Table645[[#This Row],[Column14]])</f>
        <v>0</v>
      </c>
      <c r="BA146" s="90"/>
      <c r="BB146" s="91" t="str">
        <f>IF(BA146=0,"--",BA146*$BA$3*IF(Table645[[#This Row],[Column5]]&lt;4.1,1,2)/60/24)</f>
        <v>--</v>
      </c>
      <c r="BC146" s="92">
        <f>IF(Table645[[#This Row],[Column54]]="--",0,Table645[[#This Row],[Column4]]*Table645[[#This Row],[Column54]])</f>
        <v>0</v>
      </c>
      <c r="BD146" s="119"/>
      <c r="BE146" s="119"/>
      <c r="BF146" s="119"/>
      <c r="BG146" s="91" t="str">
        <f>IF(BD146+Table645[[#This Row],[Column58]]=0,"--",(BD146*$BF$3*Table645[[#This Row],[Column57]]+Table645[[#This Row],[Column58]]*$BF$4)/60/24)</f>
        <v>--</v>
      </c>
      <c r="BH146" s="92">
        <f>IF(Table645[[#This Row],[Column59]]="--",0,Table645[[#This Row],[Column4]]*Table645[[#This Row],[Column59]])</f>
        <v>0</v>
      </c>
      <c r="BI146" s="119"/>
      <c r="BJ146" s="91" t="str">
        <f t="shared" si="84"/>
        <v>--</v>
      </c>
      <c r="BK146" s="92">
        <f>IF(Table645[[#This Row],[Column62]]="--",0,Table645[[#This Row],[Column4]]*Table645[[#This Row],[Column62]])</f>
        <v>0</v>
      </c>
      <c r="BL146" s="93"/>
      <c r="BM146" s="91" t="str">
        <f t="shared" si="109"/>
        <v>--</v>
      </c>
      <c r="BN146" s="89">
        <f>IF(Table645[[#This Row],[Column65]]="--",0,Table645[[#This Row],[Column4]]*Table645[[#This Row],[Column65]])</f>
        <v>0</v>
      </c>
      <c r="BO146" s="163"/>
      <c r="BP146" s="164" t="str">
        <f t="shared" si="110"/>
        <v>--</v>
      </c>
      <c r="BQ146" s="160">
        <f>IF(Table645[[#This Row],[Column68]]="--",0,Table645[[#This Row],[Column4]]*Table645[[#This Row],[Column68]])</f>
        <v>0</v>
      </c>
      <c r="BR146" s="94"/>
      <c r="BS146" s="91" t="str">
        <f t="shared" si="111"/>
        <v>--</v>
      </c>
      <c r="BT146" s="92">
        <f>IF(Table645[[#This Row],[Column71]]="--",0,Table645[[#This Row],[Column4]]*Table645[[#This Row],[Column71]])</f>
        <v>0</v>
      </c>
      <c r="BU146" s="44"/>
      <c r="BV146" s="90"/>
      <c r="BW146" s="91" t="str">
        <f>IF(BV146=0,"--",(Table645[[#This Row],[Column73]]*$BV$4*(IF(J146&lt;0.5001,1,IF(J146&lt;2.0001,2,3)))+BV146/$BV$3)/60/24)</f>
        <v>--</v>
      </c>
      <c r="BX146" s="92">
        <f>IF(Table645[[#This Row],[Column75]]="--",0,Table645[[#This Row],[Column4]]*Table645[[#This Row],[Column75]])</f>
        <v>0</v>
      </c>
      <c r="BY146" s="95" t="s">
        <v>70</v>
      </c>
      <c r="BZ146" s="91" t="str">
        <f>IF(Table645[[#This Row],[Column74]]=0,"--",BW146*$BY$3)</f>
        <v>--</v>
      </c>
      <c r="CA146" s="89">
        <f>IF(Table645[[#This Row],[Column78]]="--",0,Table645[[#This Row],[Column4]]*Table645[[#This Row],[Column78]])</f>
        <v>0</v>
      </c>
      <c r="CB146" s="95" t="s">
        <v>70</v>
      </c>
      <c r="CC146" s="91" t="str">
        <f>IF(Table645[[#This Row],[Column10]]+Table645[[#This Row],[Column74]]=0,"--",J146*$CB$4*$CB$5/(24*60)+IF(Table645[[#This Row],[Column74]]=0,0,$CB$3*Table645[[#This Row],[Column75]]))</f>
        <v>--</v>
      </c>
      <c r="CD146" s="92">
        <f>IF(Table645[[#This Row],[Column81]]="--",0,Table645[[#This Row],[Column4]]*Table645[[#This Row],[Column81]])</f>
        <v>0</v>
      </c>
      <c r="CE146" s="215"/>
      <c r="CF146" s="91" t="str">
        <f t="shared" si="85"/>
        <v>--</v>
      </c>
      <c r="CG146" s="92">
        <f>IF(Table645[[#This Row],[Column84]]="--",0,Table645[[#This Row],[Column4]]*Table645[[#This Row],[Column84]])</f>
        <v>0</v>
      </c>
      <c r="CH146" s="226"/>
      <c r="CI146" s="216"/>
      <c r="CJ146" s="91" t="str">
        <f>IF(CI146=0,"--",(Table645[[#This Row],[Column86]]*$CI$4*(IF(W146&lt;0.5001,1,IF(W146&lt;2.0001,2,3)))+CI146/$CI$3)/60/24)</f>
        <v>--</v>
      </c>
      <c r="CK146" s="92">
        <f>IF(Table645[[#This Row],[Column88]]="--",0,Table645[[#This Row],[Column4]]*Table645[[#This Row],[Column88]])</f>
        <v>0</v>
      </c>
      <c r="CL146" s="217"/>
      <c r="CM146" s="91" t="str">
        <f>IF(Table645[[#This Row],[Column87]]=0,"--",CJ146*$CL$3)</f>
        <v>--</v>
      </c>
      <c r="CN146" s="92">
        <f>IF(Table645[[#This Row],[Column91]]="--",0,Table645[[#This Row],[Column4]]*Table645[[#This Row],[Column91]])</f>
        <v>0</v>
      </c>
      <c r="CO146" s="217"/>
      <c r="CP146" s="91" t="str">
        <f>IF(Table645[[#This Row],[Column10]]+Table645[[#This Row],[Column87]]=0, "--", IF($D146="", 1, $D146) * IF($J146="", 1, $J146) * $CO$3 * $CO$4 * IF(Table645[[#This Row],[Column95]]="", 1, Table645[[#This Row],[Column95]]) / (24 * 60))</f>
        <v>--</v>
      </c>
      <c r="CQ146" s="164"/>
      <c r="CR146" s="92">
        <f>IF(Table645[[#This Row],[Column94]]="--",0,Table645[[#This Row],[Column4]]*Table645[[#This Row],[Column94]])</f>
        <v>0</v>
      </c>
      <c r="CS146" s="218" t="str">
        <f>IF(Table645[[#This Row],[Column87]]="","",Table645[[#This Row],[Column87]])</f>
        <v/>
      </c>
      <c r="CT146" s="91" t="str">
        <f>IF(Table645[[#This Row],[Column97]]="","--",Table645[[#This Row],[Column97]]/$CS$3/60/24)</f>
        <v>--</v>
      </c>
      <c r="CU146" s="92">
        <f>IF(Table645[[#This Row],[Column98]]="--",0,Table645[[#This Row],[Column4]]*Table645[[#This Row],[Column98]])</f>
        <v>0</v>
      </c>
      <c r="CV146" s="93"/>
      <c r="CW146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46" s="91" t="str">
        <f>IF(OR(Table645[[#This Row],[Column74]]&gt;0,Table645[[#This Row],[Column87]]&gt;0),(Table645[[#This Row],[Column73]]+Table645[[#This Row],[Column86]]+1)*$CW$3/60/24,"--")</f>
        <v>--</v>
      </c>
      <c r="CY146" s="92">
        <f>IF(Table645[[#This Row],[Column102]]="--",0,Table645[[#This Row],[Column4]]*Table645[[#This Row],[Column102]])</f>
        <v>0</v>
      </c>
      <c r="CZ146" s="158" t="str">
        <f t="shared" si="112"/>
        <v>--</v>
      </c>
      <c r="DA146" s="153"/>
      <c r="DB146" s="160">
        <f>IF(Table645[[#This Row],[Column104]]="--",0,Table645[[#This Row],[Column4]]*Table645[[#This Row],[Column104]])</f>
        <v>0</v>
      </c>
      <c r="DC146" s="219"/>
      <c r="DD146" s="220" t="str">
        <f>IF(DC146=0,"--",1/$DC$3*1000/(60*60*24)*Table645[[#This Row],[Column107]])</f>
        <v>--</v>
      </c>
      <c r="DE146" s="160">
        <f>IF(Table645[[#This Row],[Column108]]="--",0,Table645[[#This Row],[Column4]]*Table645[[#This Row],[Column108]])</f>
        <v>0</v>
      </c>
      <c r="DF146" s="101" t="s">
        <v>70</v>
      </c>
      <c r="DG146" s="91" t="str">
        <f t="shared" si="113"/>
        <v>--</v>
      </c>
      <c r="DH146" s="89">
        <f>IF(Table645[[#This Row],[Column111]]="--",0,Table645[[#This Row],[Column4]]*Table645[[#This Row],[Column111]])</f>
        <v>0</v>
      </c>
      <c r="DI146" s="96"/>
      <c r="DJ146" s="96"/>
      <c r="DK146" s="96"/>
      <c r="DL146" s="96"/>
      <c r="DM146" s="96"/>
      <c r="DN146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46" s="89">
        <f>IF(Table645[[#This Row],[Column118]]="--",0,Table645[[#This Row],[Column4]]*Table645[[#This Row],[Column118]])</f>
        <v>0</v>
      </c>
      <c r="DP146" s="96"/>
      <c r="DQ146" s="96"/>
      <c r="DR146" s="91" t="str">
        <f t="shared" si="114"/>
        <v>--</v>
      </c>
      <c r="DS146" s="89">
        <f>IF(Table645[[#This Row],[Column122]]="--",0,Table645[[#This Row],[Column4]]*Table645[[#This Row],[Column122]])</f>
        <v>0</v>
      </c>
      <c r="DT146" t="str">
        <f>IF(Table645[[#This Row],[Column125]]=0,"--",Table645[[#This Row],[Column125]]*Table645[[#This Row],[Column126]]*Table645[[#This Row],[Column127]]/1000000000)</f>
        <v>--</v>
      </c>
      <c r="DU146" s="53"/>
      <c r="DV146" s="53"/>
      <c r="DW146" s="53"/>
      <c r="DX146" s="91" t="str">
        <f t="shared" si="115"/>
        <v>--</v>
      </c>
      <c r="DY146" s="89">
        <f>IF(Table645[[#This Row],[Column128]]="--",0,Table645[[#This Row],[Column4]]*Table645[[#This Row],[Column128]])</f>
        <v>0</v>
      </c>
      <c r="EA146" s="89">
        <f>IF(Table645[[#This Row],[Column128]]="--",0,Table645[[#This Row],[Column4]]*Table645[[#This Row],[Column128]])</f>
        <v>0</v>
      </c>
      <c r="EC146" s="89">
        <f>IF(Table645[[#This Row],[Column128]]="--",0,Table645[[#This Row],[Column4]]*Table645[[#This Row],[Column128]])</f>
        <v>0</v>
      </c>
      <c r="EE146" s="89">
        <f>IF(Table645[[#This Row],[Column128]]="--",0,Table645[[#This Row],[Column4]]*Table645[[#This Row],[Column128]])</f>
        <v>0</v>
      </c>
      <c r="EG146" s="89">
        <f>IF(Table645[[#This Row],[Column128]]="--",0,Table645[[#This Row],[Column4]]*Table645[[#This Row],[Column128]])</f>
        <v>0</v>
      </c>
      <c r="EI146" s="89">
        <f>IF(Table645[[#This Row],[Column128]]="--",0,Table645[[#This Row],[Column4]]*Table645[[#This Row],[Column128]])</f>
        <v>0</v>
      </c>
    </row>
    <row r="147" spans="1:139" x14ac:dyDescent="0.25">
      <c r="A147" s="140"/>
      <c r="B147" s="79"/>
      <c r="C147" s="140"/>
      <c r="D147" s="167"/>
      <c r="E147" s="52"/>
      <c r="F147" s="81"/>
      <c r="G147" s="81"/>
      <c r="H147" s="102" t="str">
        <f t="shared" si="106"/>
        <v>--</v>
      </c>
      <c r="I147" s="100">
        <f>IF(Table645[[#This Row],[Column8]]="--",0,Table645[[#This Row],[Column4]]*Table645[[#This Row],[Column8]])</f>
        <v>0</v>
      </c>
      <c r="J147" s="169"/>
      <c r="K147" s="85">
        <f>Table645[[#This Row],[Column4]]*Table645[[#This Row],[Column10]]</f>
        <v>0</v>
      </c>
      <c r="L147" s="170" t="str">
        <f t="shared" si="107"/>
        <v>--</v>
      </c>
      <c r="M147" s="214">
        <f>IF(Table645[[#This Row],[Column10]]=0,0,Table645[[#This Row],[Column4]]*Table645[[#This Row],[Column12]])</f>
        <v>0</v>
      </c>
      <c r="N147" s="87" t="str">
        <f t="shared" si="108"/>
        <v>--</v>
      </c>
      <c r="O147" s="138"/>
      <c r="AZ147" s="89">
        <f>IF(Table645[[#This Row],[Column14]]="--",0,Table645[[#This Row],[Column4]]*Table645[[#This Row],[Column14]])</f>
        <v>0</v>
      </c>
      <c r="BA147" s="90"/>
      <c r="BB147" s="91" t="str">
        <f>IF(BA147=0,"--",BA147*$BA$3*IF(Table645[[#This Row],[Column5]]&lt;4.1,1,2)/60/24)</f>
        <v>--</v>
      </c>
      <c r="BC147" s="92">
        <f>IF(Table645[[#This Row],[Column54]]="--",0,Table645[[#This Row],[Column4]]*Table645[[#This Row],[Column54]])</f>
        <v>0</v>
      </c>
      <c r="BD147" s="119"/>
      <c r="BE147" s="119"/>
      <c r="BF147" s="119"/>
      <c r="BG147" s="91" t="str">
        <f>IF(BD147+Table645[[#This Row],[Column58]]=0,"--",(BD147*$BF$3*Table645[[#This Row],[Column57]]+Table645[[#This Row],[Column58]]*$BF$4)/60/24)</f>
        <v>--</v>
      </c>
      <c r="BH147" s="92">
        <f>IF(Table645[[#This Row],[Column59]]="--",0,Table645[[#This Row],[Column4]]*Table645[[#This Row],[Column59]])</f>
        <v>0</v>
      </c>
      <c r="BI147" s="119"/>
      <c r="BJ147" s="91" t="str">
        <f t="shared" si="84"/>
        <v>--</v>
      </c>
      <c r="BK147" s="92">
        <f>IF(Table645[[#This Row],[Column62]]="--",0,Table645[[#This Row],[Column4]]*Table645[[#This Row],[Column62]])</f>
        <v>0</v>
      </c>
      <c r="BL147" s="93"/>
      <c r="BM147" s="91" t="str">
        <f t="shared" si="109"/>
        <v>--</v>
      </c>
      <c r="BN147" s="89">
        <f>IF(Table645[[#This Row],[Column65]]="--",0,Table645[[#This Row],[Column4]]*Table645[[#This Row],[Column65]])</f>
        <v>0</v>
      </c>
      <c r="BO147" s="163"/>
      <c r="BP147" s="164" t="str">
        <f t="shared" si="110"/>
        <v>--</v>
      </c>
      <c r="BQ147" s="160">
        <f>IF(Table645[[#This Row],[Column68]]="--",0,Table645[[#This Row],[Column4]]*Table645[[#This Row],[Column68]])</f>
        <v>0</v>
      </c>
      <c r="BR147" s="94"/>
      <c r="BS147" s="91" t="str">
        <f t="shared" si="111"/>
        <v>--</v>
      </c>
      <c r="BT147" s="92">
        <f>IF(Table645[[#This Row],[Column71]]="--",0,Table645[[#This Row],[Column4]]*Table645[[#This Row],[Column71]])</f>
        <v>0</v>
      </c>
      <c r="BU147" s="44"/>
      <c r="BV147" s="90"/>
      <c r="BW147" s="91" t="str">
        <f>IF(BV147=0,"--",(Table645[[#This Row],[Column73]]*$BV$4*(IF(J147&lt;0.5001,1,IF(J147&lt;2.0001,2,3)))+BV147/$BV$3)/60/24)</f>
        <v>--</v>
      </c>
      <c r="BX147" s="92">
        <f>IF(Table645[[#This Row],[Column75]]="--",0,Table645[[#This Row],[Column4]]*Table645[[#This Row],[Column75]])</f>
        <v>0</v>
      </c>
      <c r="BY147" s="95" t="s">
        <v>70</v>
      </c>
      <c r="BZ147" s="91" t="str">
        <f>IF(Table645[[#This Row],[Column74]]=0,"--",BW147*$BY$3)</f>
        <v>--</v>
      </c>
      <c r="CA147" s="89">
        <f>IF(Table645[[#This Row],[Column78]]="--",0,Table645[[#This Row],[Column4]]*Table645[[#This Row],[Column78]])</f>
        <v>0</v>
      </c>
      <c r="CB147" s="95" t="s">
        <v>70</v>
      </c>
      <c r="CC147" s="91" t="str">
        <f>IF(Table645[[#This Row],[Column10]]+Table645[[#This Row],[Column74]]=0,"--",J147*$CB$4*$CB$5/(24*60)+IF(Table645[[#This Row],[Column74]]=0,0,$CB$3*Table645[[#This Row],[Column75]]))</f>
        <v>--</v>
      </c>
      <c r="CD147" s="92">
        <f>IF(Table645[[#This Row],[Column81]]="--",0,Table645[[#This Row],[Column4]]*Table645[[#This Row],[Column81]])</f>
        <v>0</v>
      </c>
      <c r="CE147" s="215"/>
      <c r="CF147" s="91" t="str">
        <f t="shared" si="85"/>
        <v>--</v>
      </c>
      <c r="CG147" s="92">
        <f>IF(Table645[[#This Row],[Column84]]="--",0,Table645[[#This Row],[Column4]]*Table645[[#This Row],[Column84]])</f>
        <v>0</v>
      </c>
      <c r="CH147" s="226"/>
      <c r="CI147" s="216"/>
      <c r="CJ147" s="91" t="str">
        <f>IF(CI147=0,"--",(Table645[[#This Row],[Column86]]*$CI$4*(IF(W147&lt;0.5001,1,IF(W147&lt;2.0001,2,3)))+CI147/$CI$3)/60/24)</f>
        <v>--</v>
      </c>
      <c r="CK147" s="92">
        <f>IF(Table645[[#This Row],[Column88]]="--",0,Table645[[#This Row],[Column4]]*Table645[[#This Row],[Column88]])</f>
        <v>0</v>
      </c>
      <c r="CL147" s="217"/>
      <c r="CM147" s="91" t="str">
        <f>IF(Table645[[#This Row],[Column87]]=0,"--",CJ147*$CL$3)</f>
        <v>--</v>
      </c>
      <c r="CN147" s="92">
        <f>IF(Table645[[#This Row],[Column91]]="--",0,Table645[[#This Row],[Column4]]*Table645[[#This Row],[Column91]])</f>
        <v>0</v>
      </c>
      <c r="CO147" s="217"/>
      <c r="CP147" s="91" t="str">
        <f>IF(Table645[[#This Row],[Column10]]+Table645[[#This Row],[Column87]]=0, "--", IF($D147="", 1, $D147) * IF($J147="", 1, $J147) * $CO$3 * $CO$4 * IF(Table645[[#This Row],[Column95]]="", 1, Table645[[#This Row],[Column95]]) / (24 * 60))</f>
        <v>--</v>
      </c>
      <c r="CQ147" s="164"/>
      <c r="CR147" s="92">
        <f>IF(Table645[[#This Row],[Column94]]="--",0,Table645[[#This Row],[Column4]]*Table645[[#This Row],[Column94]])</f>
        <v>0</v>
      </c>
      <c r="CS147" s="218" t="str">
        <f>IF(Table645[[#This Row],[Column87]]="","",Table645[[#This Row],[Column87]])</f>
        <v/>
      </c>
      <c r="CT147" s="91" t="str">
        <f>IF(Table645[[#This Row],[Column97]]="","--",Table645[[#This Row],[Column97]]/$CS$3/60/24)</f>
        <v>--</v>
      </c>
      <c r="CU147" s="92">
        <f>IF(Table645[[#This Row],[Column98]]="--",0,Table645[[#This Row],[Column4]]*Table645[[#This Row],[Column98]])</f>
        <v>0</v>
      </c>
      <c r="CV147" s="93"/>
      <c r="CW147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47" s="91" t="str">
        <f>IF(OR(Table645[[#This Row],[Column74]]&gt;0,Table645[[#This Row],[Column87]]&gt;0),(Table645[[#This Row],[Column73]]+Table645[[#This Row],[Column86]]+1)*$CW$3/60/24,"--")</f>
        <v>--</v>
      </c>
      <c r="CY147" s="92">
        <f>IF(Table645[[#This Row],[Column102]]="--",0,Table645[[#This Row],[Column4]]*Table645[[#This Row],[Column102]])</f>
        <v>0</v>
      </c>
      <c r="CZ147" s="158" t="str">
        <f t="shared" si="112"/>
        <v>--</v>
      </c>
      <c r="DA147" s="153"/>
      <c r="DB147" s="160">
        <f>IF(Table645[[#This Row],[Column104]]="--",0,Table645[[#This Row],[Column4]]*Table645[[#This Row],[Column104]])</f>
        <v>0</v>
      </c>
      <c r="DC147" s="219"/>
      <c r="DD147" s="220" t="str">
        <f>IF(DC147=0,"--",1/$DC$3*1000/(60*60*24)*Table645[[#This Row],[Column107]])</f>
        <v>--</v>
      </c>
      <c r="DE147" s="160">
        <f>IF(Table645[[#This Row],[Column108]]="--",0,Table645[[#This Row],[Column4]]*Table645[[#This Row],[Column108]])</f>
        <v>0</v>
      </c>
      <c r="DF147" s="101" t="s">
        <v>70</v>
      </c>
      <c r="DG147" s="91" t="str">
        <f t="shared" si="113"/>
        <v>--</v>
      </c>
      <c r="DH147" s="89">
        <f>IF(Table645[[#This Row],[Column111]]="--",0,Table645[[#This Row],[Column4]]*Table645[[#This Row],[Column111]])</f>
        <v>0</v>
      </c>
      <c r="DI147" s="96"/>
      <c r="DJ147" s="96"/>
      <c r="DK147" s="96"/>
      <c r="DL147" s="96"/>
      <c r="DM147" s="96"/>
      <c r="DN147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47" s="89">
        <f>IF(Table645[[#This Row],[Column118]]="--",0,Table645[[#This Row],[Column4]]*Table645[[#This Row],[Column118]])</f>
        <v>0</v>
      </c>
      <c r="DP147" s="96"/>
      <c r="DQ147" s="96"/>
      <c r="DR147" s="91" t="str">
        <f t="shared" si="114"/>
        <v>--</v>
      </c>
      <c r="DS147" s="89">
        <f>IF(Table645[[#This Row],[Column122]]="--",0,Table645[[#This Row],[Column4]]*Table645[[#This Row],[Column122]])</f>
        <v>0</v>
      </c>
      <c r="DT147" t="str">
        <f>IF(Table645[[#This Row],[Column125]]=0,"--",Table645[[#This Row],[Column125]]*Table645[[#This Row],[Column126]]*Table645[[#This Row],[Column127]]/1000000000)</f>
        <v>--</v>
      </c>
      <c r="DU147" s="53"/>
      <c r="DV147" s="53"/>
      <c r="DW147" s="53"/>
      <c r="DX147" s="91" t="str">
        <f t="shared" si="115"/>
        <v>--</v>
      </c>
      <c r="DY147" s="89">
        <f>IF(Table645[[#This Row],[Column128]]="--",0,Table645[[#This Row],[Column4]]*Table645[[#This Row],[Column128]])</f>
        <v>0</v>
      </c>
      <c r="EA147" s="89">
        <f>IF(Table645[[#This Row],[Column128]]="--",0,Table645[[#This Row],[Column4]]*Table645[[#This Row],[Column128]])</f>
        <v>0</v>
      </c>
      <c r="EC147" s="89">
        <f>IF(Table645[[#This Row],[Column128]]="--",0,Table645[[#This Row],[Column4]]*Table645[[#This Row],[Column128]])</f>
        <v>0</v>
      </c>
      <c r="EE147" s="89">
        <f>IF(Table645[[#This Row],[Column128]]="--",0,Table645[[#This Row],[Column4]]*Table645[[#This Row],[Column128]])</f>
        <v>0</v>
      </c>
      <c r="EG147" s="89">
        <f>IF(Table645[[#This Row],[Column128]]="--",0,Table645[[#This Row],[Column4]]*Table645[[#This Row],[Column128]])</f>
        <v>0</v>
      </c>
      <c r="EI147" s="89">
        <f>IF(Table645[[#This Row],[Column128]]="--",0,Table645[[#This Row],[Column4]]*Table645[[#This Row],[Column128]])</f>
        <v>0</v>
      </c>
    </row>
    <row r="148" spans="1:139" x14ac:dyDescent="0.25">
      <c r="A148" s="140"/>
      <c r="B148" s="79"/>
      <c r="C148" s="140"/>
      <c r="D148" s="167"/>
      <c r="E148" s="52"/>
      <c r="F148" s="81"/>
      <c r="G148" s="81"/>
      <c r="H148" s="102" t="str">
        <f t="shared" si="106"/>
        <v>--</v>
      </c>
      <c r="I148" s="100">
        <f>IF(Table645[[#This Row],[Column8]]="--",0,Table645[[#This Row],[Column4]]*Table645[[#This Row],[Column8]])</f>
        <v>0</v>
      </c>
      <c r="J148" s="169"/>
      <c r="K148" s="85">
        <f>Table645[[#This Row],[Column4]]*Table645[[#This Row],[Column10]]</f>
        <v>0</v>
      </c>
      <c r="L148" s="170" t="str">
        <f t="shared" si="107"/>
        <v>--</v>
      </c>
      <c r="M148" s="214">
        <f>IF(Table645[[#This Row],[Column10]]=0,0,Table645[[#This Row],[Column4]]*Table645[[#This Row],[Column12]])</f>
        <v>0</v>
      </c>
      <c r="N148" s="87" t="str">
        <f t="shared" si="108"/>
        <v>--</v>
      </c>
      <c r="O148" s="138"/>
      <c r="AZ148" s="89">
        <f>IF(Table645[[#This Row],[Column14]]="--",0,Table645[[#This Row],[Column4]]*Table645[[#This Row],[Column14]])</f>
        <v>0</v>
      </c>
      <c r="BA148" s="90"/>
      <c r="BB148" s="91" t="str">
        <f>IF(BA148=0,"--",BA148*$BA$3*IF(Table645[[#This Row],[Column5]]&lt;4.1,1,2)/60/24)</f>
        <v>--</v>
      </c>
      <c r="BC148" s="92">
        <f>IF(Table645[[#This Row],[Column54]]="--",0,Table645[[#This Row],[Column4]]*Table645[[#This Row],[Column54]])</f>
        <v>0</v>
      </c>
      <c r="BD148" s="119"/>
      <c r="BE148" s="119"/>
      <c r="BF148" s="119"/>
      <c r="BG148" s="91" t="str">
        <f>IF(BD148+Table645[[#This Row],[Column58]]=0,"--",(BD148*$BF$3*Table645[[#This Row],[Column57]]+Table645[[#This Row],[Column58]]*$BF$4)/60/24)</f>
        <v>--</v>
      </c>
      <c r="BH148" s="92">
        <f>IF(Table645[[#This Row],[Column59]]="--",0,Table645[[#This Row],[Column4]]*Table645[[#This Row],[Column59]])</f>
        <v>0</v>
      </c>
      <c r="BI148" s="119"/>
      <c r="BJ148" s="91" t="str">
        <f t="shared" si="84"/>
        <v>--</v>
      </c>
      <c r="BK148" s="92">
        <f>IF(Table645[[#This Row],[Column62]]="--",0,Table645[[#This Row],[Column4]]*Table645[[#This Row],[Column62]])</f>
        <v>0</v>
      </c>
      <c r="BL148" s="93"/>
      <c r="BM148" s="91" t="str">
        <f t="shared" si="109"/>
        <v>--</v>
      </c>
      <c r="BN148" s="89">
        <f>IF(Table645[[#This Row],[Column65]]="--",0,Table645[[#This Row],[Column4]]*Table645[[#This Row],[Column65]])</f>
        <v>0</v>
      </c>
      <c r="BO148" s="163"/>
      <c r="BP148" s="164" t="str">
        <f t="shared" si="110"/>
        <v>--</v>
      </c>
      <c r="BQ148" s="160">
        <f>IF(Table645[[#This Row],[Column68]]="--",0,Table645[[#This Row],[Column4]]*Table645[[#This Row],[Column68]])</f>
        <v>0</v>
      </c>
      <c r="BR148" s="94"/>
      <c r="BS148" s="91" t="str">
        <f t="shared" si="111"/>
        <v>--</v>
      </c>
      <c r="BT148" s="92">
        <f>IF(Table645[[#This Row],[Column71]]="--",0,Table645[[#This Row],[Column4]]*Table645[[#This Row],[Column71]])</f>
        <v>0</v>
      </c>
      <c r="BU148" s="44"/>
      <c r="BV148" s="90"/>
      <c r="BW148" s="91" t="str">
        <f>IF(BV148=0,"--",(Table645[[#This Row],[Column73]]*$BV$4*(IF(J148&lt;0.5001,1,IF(J148&lt;2.0001,2,3)))+BV148/$BV$3)/60/24)</f>
        <v>--</v>
      </c>
      <c r="BX148" s="92">
        <f>IF(Table645[[#This Row],[Column75]]="--",0,Table645[[#This Row],[Column4]]*Table645[[#This Row],[Column75]])</f>
        <v>0</v>
      </c>
      <c r="BY148" s="95" t="s">
        <v>70</v>
      </c>
      <c r="BZ148" s="91" t="str">
        <f>IF(Table645[[#This Row],[Column74]]=0,"--",BW148*$BY$3)</f>
        <v>--</v>
      </c>
      <c r="CA148" s="89">
        <f>IF(Table645[[#This Row],[Column78]]="--",0,Table645[[#This Row],[Column4]]*Table645[[#This Row],[Column78]])</f>
        <v>0</v>
      </c>
      <c r="CB148" s="95" t="s">
        <v>70</v>
      </c>
      <c r="CC148" s="91" t="str">
        <f>IF(Table645[[#This Row],[Column10]]+Table645[[#This Row],[Column74]]=0,"--",J148*$CB$4*$CB$5/(24*60)+IF(Table645[[#This Row],[Column74]]=0,0,$CB$3*Table645[[#This Row],[Column75]]))</f>
        <v>--</v>
      </c>
      <c r="CD148" s="92">
        <f>IF(Table645[[#This Row],[Column81]]="--",0,Table645[[#This Row],[Column4]]*Table645[[#This Row],[Column81]])</f>
        <v>0</v>
      </c>
      <c r="CE148" s="215"/>
      <c r="CF148" s="91" t="str">
        <f t="shared" si="85"/>
        <v>--</v>
      </c>
      <c r="CG148" s="92">
        <f>IF(Table645[[#This Row],[Column84]]="--",0,Table645[[#This Row],[Column4]]*Table645[[#This Row],[Column84]])</f>
        <v>0</v>
      </c>
      <c r="CH148" s="226"/>
      <c r="CI148" s="216"/>
      <c r="CJ148" s="91" t="str">
        <f>IF(CI148=0,"--",(Table645[[#This Row],[Column86]]*$CI$4*(IF(W148&lt;0.5001,1,IF(W148&lt;2.0001,2,3)))+CI148/$CI$3)/60/24)</f>
        <v>--</v>
      </c>
      <c r="CK148" s="92">
        <f>IF(Table645[[#This Row],[Column88]]="--",0,Table645[[#This Row],[Column4]]*Table645[[#This Row],[Column88]])</f>
        <v>0</v>
      </c>
      <c r="CL148" s="217"/>
      <c r="CM148" s="91" t="str">
        <f>IF(Table645[[#This Row],[Column87]]=0,"--",CJ148*$CL$3)</f>
        <v>--</v>
      </c>
      <c r="CN148" s="92">
        <f>IF(Table645[[#This Row],[Column91]]="--",0,Table645[[#This Row],[Column4]]*Table645[[#This Row],[Column91]])</f>
        <v>0</v>
      </c>
      <c r="CO148" s="217"/>
      <c r="CP148" s="91" t="str">
        <f>IF(Table645[[#This Row],[Column10]]+Table645[[#This Row],[Column87]]=0, "--", IF($D148="", 1, $D148) * IF($J148="", 1, $J148) * $CO$3 * $CO$4 * IF(Table645[[#This Row],[Column95]]="", 1, Table645[[#This Row],[Column95]]) / (24 * 60))</f>
        <v>--</v>
      </c>
      <c r="CQ148" s="164"/>
      <c r="CR148" s="92">
        <f>IF(Table645[[#This Row],[Column94]]="--",0,Table645[[#This Row],[Column4]]*Table645[[#This Row],[Column94]])</f>
        <v>0</v>
      </c>
      <c r="CS148" s="218" t="str">
        <f>IF(Table645[[#This Row],[Column87]]="","",Table645[[#This Row],[Column87]])</f>
        <v/>
      </c>
      <c r="CT148" s="91" t="str">
        <f>IF(Table645[[#This Row],[Column97]]="","--",Table645[[#This Row],[Column97]]/$CS$3/60/24)</f>
        <v>--</v>
      </c>
      <c r="CU148" s="92">
        <f>IF(Table645[[#This Row],[Column98]]="--",0,Table645[[#This Row],[Column4]]*Table645[[#This Row],[Column98]])</f>
        <v>0</v>
      </c>
      <c r="CV148" s="93"/>
      <c r="CW148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48" s="91" t="str">
        <f>IF(OR(Table645[[#This Row],[Column74]]&gt;0,Table645[[#This Row],[Column87]]&gt;0),(Table645[[#This Row],[Column73]]+Table645[[#This Row],[Column86]]+1)*$CW$3/60/24,"--")</f>
        <v>--</v>
      </c>
      <c r="CY148" s="92">
        <f>IF(Table645[[#This Row],[Column102]]="--",0,Table645[[#This Row],[Column4]]*Table645[[#This Row],[Column102]])</f>
        <v>0</v>
      </c>
      <c r="CZ148" s="158" t="str">
        <f t="shared" si="112"/>
        <v>--</v>
      </c>
      <c r="DA148" s="153"/>
      <c r="DB148" s="160">
        <f>IF(Table645[[#This Row],[Column104]]="--",0,Table645[[#This Row],[Column4]]*Table645[[#This Row],[Column104]])</f>
        <v>0</v>
      </c>
      <c r="DC148" s="219"/>
      <c r="DD148" s="220" t="str">
        <f>IF(DC148=0,"--",1/$DC$3*1000/(60*60*24)*Table645[[#This Row],[Column107]])</f>
        <v>--</v>
      </c>
      <c r="DE148" s="160">
        <f>IF(Table645[[#This Row],[Column108]]="--",0,Table645[[#This Row],[Column4]]*Table645[[#This Row],[Column108]])</f>
        <v>0</v>
      </c>
      <c r="DF148" s="101" t="s">
        <v>70</v>
      </c>
      <c r="DG148" s="91" t="str">
        <f t="shared" si="113"/>
        <v>--</v>
      </c>
      <c r="DH148" s="89">
        <f>IF(Table645[[#This Row],[Column111]]="--",0,Table645[[#This Row],[Column4]]*Table645[[#This Row],[Column111]])</f>
        <v>0</v>
      </c>
      <c r="DI148" s="96"/>
      <c r="DJ148" s="96"/>
      <c r="DK148" s="96"/>
      <c r="DL148" s="96"/>
      <c r="DM148" s="96"/>
      <c r="DN148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48" s="89">
        <f>IF(Table645[[#This Row],[Column118]]="--",0,Table645[[#This Row],[Column4]]*Table645[[#This Row],[Column118]])</f>
        <v>0</v>
      </c>
      <c r="DP148" s="96"/>
      <c r="DQ148" s="96"/>
      <c r="DR148" s="91" t="str">
        <f t="shared" si="114"/>
        <v>--</v>
      </c>
      <c r="DS148" s="89">
        <f>IF(Table645[[#This Row],[Column122]]="--",0,Table645[[#This Row],[Column4]]*Table645[[#This Row],[Column122]])</f>
        <v>0</v>
      </c>
      <c r="DT148" t="str">
        <f>IF(Table645[[#This Row],[Column125]]=0,"--",Table645[[#This Row],[Column125]]*Table645[[#This Row],[Column126]]*Table645[[#This Row],[Column127]]/1000000000)</f>
        <v>--</v>
      </c>
      <c r="DU148" s="53"/>
      <c r="DV148" s="53"/>
      <c r="DW148" s="53"/>
      <c r="DX148" s="91" t="str">
        <f t="shared" si="115"/>
        <v>--</v>
      </c>
      <c r="DY148" s="89">
        <f>IF(Table645[[#This Row],[Column128]]="--",0,Table645[[#This Row],[Column4]]*Table645[[#This Row],[Column128]])</f>
        <v>0</v>
      </c>
      <c r="EA148" s="89">
        <f>IF(Table645[[#This Row],[Column128]]="--",0,Table645[[#This Row],[Column4]]*Table645[[#This Row],[Column128]])</f>
        <v>0</v>
      </c>
      <c r="EC148" s="89">
        <f>IF(Table645[[#This Row],[Column128]]="--",0,Table645[[#This Row],[Column4]]*Table645[[#This Row],[Column128]])</f>
        <v>0</v>
      </c>
      <c r="EE148" s="89">
        <f>IF(Table645[[#This Row],[Column128]]="--",0,Table645[[#This Row],[Column4]]*Table645[[#This Row],[Column128]])</f>
        <v>0</v>
      </c>
      <c r="EG148" s="89">
        <f>IF(Table645[[#This Row],[Column128]]="--",0,Table645[[#This Row],[Column4]]*Table645[[#This Row],[Column128]])</f>
        <v>0</v>
      </c>
      <c r="EI148" s="89">
        <f>IF(Table645[[#This Row],[Column128]]="--",0,Table645[[#This Row],[Column4]]*Table645[[#This Row],[Column128]])</f>
        <v>0</v>
      </c>
    </row>
    <row r="149" spans="1:139" x14ac:dyDescent="0.25">
      <c r="A149" s="140"/>
      <c r="B149" s="79"/>
      <c r="C149" s="140"/>
      <c r="D149" s="167"/>
      <c r="E149" s="52"/>
      <c r="F149" s="81"/>
      <c r="G149" s="81"/>
      <c r="H149" s="102" t="str">
        <f t="shared" ref="H149:H171" si="116">IF(E149&gt;0,E149*F149*G149/1000000*8*(1+$H$4),"--")</f>
        <v>--</v>
      </c>
      <c r="I149" s="100">
        <f>IF(Table645[[#This Row],[Column8]]="--",0,Table645[[#This Row],[Column4]]*Table645[[#This Row],[Column8]])</f>
        <v>0</v>
      </c>
      <c r="J149" s="169"/>
      <c r="K149" s="85">
        <f>Table645[[#This Row],[Column4]]*Table645[[#This Row],[Column10]]</f>
        <v>0</v>
      </c>
      <c r="L149" s="170" t="str">
        <f t="shared" ref="L149:L171" si="117">IF(J149=0,"--",J149/$J$3)</f>
        <v>--</v>
      </c>
      <c r="M149" s="214">
        <f>IF(Table645[[#This Row],[Column10]]=0,0,Table645[[#This Row],[Column4]]*Table645[[#This Row],[Column12]])</f>
        <v>0</v>
      </c>
      <c r="N149" s="87" t="str">
        <f t="shared" ref="N149:N171" si="118">IF(SUM(Q149:AX149)=0,"--",(Q149/$Q$4+T149/$T$4+W149/$W$4+Z149/$Z$4+AC149/$AC$4+AF149/$AF$4+AI149/$AI$4+AL149/$AL$4+AO149/$AO$4+AR149/$AR$4+AU149/$AU$4+AX149/$AX$4)/60/24)</f>
        <v>--</v>
      </c>
      <c r="O149" s="138"/>
      <c r="AZ149" s="89">
        <f>IF(Table645[[#This Row],[Column14]]="--",0,Table645[[#This Row],[Column4]]*Table645[[#This Row],[Column14]])</f>
        <v>0</v>
      </c>
      <c r="BA149" s="90"/>
      <c r="BB149" s="91" t="str">
        <f>IF(BA149=0,"--",BA149*$BA$3*IF(Table645[[#This Row],[Column5]]&lt;4.1,1,2)/60/24)</f>
        <v>--</v>
      </c>
      <c r="BC149" s="92">
        <f>IF(Table645[[#This Row],[Column54]]="--",0,Table645[[#This Row],[Column4]]*Table645[[#This Row],[Column54]])</f>
        <v>0</v>
      </c>
      <c r="BD149" s="119"/>
      <c r="BE149" s="119"/>
      <c r="BF149" s="119"/>
      <c r="BG149" s="91" t="str">
        <f>IF(BD149+Table645[[#This Row],[Column58]]=0,"--",(BD149*$BF$3*Table645[[#This Row],[Column57]]+Table645[[#This Row],[Column58]]*$BF$4)/60/24)</f>
        <v>--</v>
      </c>
      <c r="BH149" s="92">
        <f>IF(Table645[[#This Row],[Column59]]="--",0,Table645[[#This Row],[Column4]]*Table645[[#This Row],[Column59]])</f>
        <v>0</v>
      </c>
      <c r="BI149" s="119"/>
      <c r="BJ149" s="91" t="str">
        <f t="shared" si="84"/>
        <v>--</v>
      </c>
      <c r="BK149" s="92">
        <f>IF(Table645[[#This Row],[Column62]]="--",0,Table645[[#This Row],[Column4]]*Table645[[#This Row],[Column62]])</f>
        <v>0</v>
      </c>
      <c r="BL149" s="93"/>
      <c r="BM149" s="91" t="str">
        <f t="shared" ref="BM149:BM171" si="119">IF(BL149=0,"--",BL149*$BL$3/60/60/24)</f>
        <v>--</v>
      </c>
      <c r="BN149" s="89">
        <f>IF(Table645[[#This Row],[Column65]]="--",0,Table645[[#This Row],[Column4]]*Table645[[#This Row],[Column65]])</f>
        <v>0</v>
      </c>
      <c r="BO149" s="163"/>
      <c r="BP149" s="164" t="str">
        <f t="shared" ref="BP149:BP171" si="120">IF(BO149=0,"--",BO149*$BO$3/60/60/24)</f>
        <v>--</v>
      </c>
      <c r="BQ149" s="160">
        <f>IF(Table645[[#This Row],[Column68]]="--",0,Table645[[#This Row],[Column4]]*Table645[[#This Row],[Column68]])</f>
        <v>0</v>
      </c>
      <c r="BR149" s="94"/>
      <c r="BS149" s="91" t="str">
        <f t="shared" ref="BS149:BS171" si="121">IF(BR149=0,"--",BR149*$BR$3/60/60/24)</f>
        <v>--</v>
      </c>
      <c r="BT149" s="92">
        <f>IF(Table645[[#This Row],[Column71]]="--",0,Table645[[#This Row],[Column4]]*Table645[[#This Row],[Column71]])</f>
        <v>0</v>
      </c>
      <c r="BU149" s="44"/>
      <c r="BV149" s="90"/>
      <c r="BW149" s="91" t="str">
        <f>IF(BV149=0,"--",(Table645[[#This Row],[Column73]]*$BV$4*(IF(J149&lt;0.5001,1,IF(J149&lt;2.0001,2,3)))+BV149/$BV$3)/60/24)</f>
        <v>--</v>
      </c>
      <c r="BX149" s="92">
        <f>IF(Table645[[#This Row],[Column75]]="--",0,Table645[[#This Row],[Column4]]*Table645[[#This Row],[Column75]])</f>
        <v>0</v>
      </c>
      <c r="BY149" s="95" t="s">
        <v>70</v>
      </c>
      <c r="BZ149" s="91" t="str">
        <f>IF(Table645[[#This Row],[Column74]]=0,"--",BW149*$BY$3)</f>
        <v>--</v>
      </c>
      <c r="CA149" s="89">
        <f>IF(Table645[[#This Row],[Column78]]="--",0,Table645[[#This Row],[Column4]]*Table645[[#This Row],[Column78]])</f>
        <v>0</v>
      </c>
      <c r="CB149" s="95" t="s">
        <v>70</v>
      </c>
      <c r="CC149" s="91" t="str">
        <f>IF(Table645[[#This Row],[Column10]]+Table645[[#This Row],[Column74]]=0,"--",J149*$CB$4*$CB$5/(24*60)+IF(Table645[[#This Row],[Column74]]=0,0,$CB$3*Table645[[#This Row],[Column75]]))</f>
        <v>--</v>
      </c>
      <c r="CD149" s="92">
        <f>IF(Table645[[#This Row],[Column81]]="--",0,Table645[[#This Row],[Column4]]*Table645[[#This Row],[Column81]])</f>
        <v>0</v>
      </c>
      <c r="CE149" s="215"/>
      <c r="CF149" s="91" t="str">
        <f t="shared" si="85"/>
        <v>--</v>
      </c>
      <c r="CG149" s="92">
        <f>IF(Table645[[#This Row],[Column84]]="--",0,Table645[[#This Row],[Column4]]*Table645[[#This Row],[Column84]])</f>
        <v>0</v>
      </c>
      <c r="CH149" s="226"/>
      <c r="CI149" s="216"/>
      <c r="CJ149" s="91" t="str">
        <f>IF(CI149=0,"--",(Table645[[#This Row],[Column86]]*$CI$4*(IF(W149&lt;0.5001,1,IF(W149&lt;2.0001,2,3)))+CI149/$CI$3)/60/24)</f>
        <v>--</v>
      </c>
      <c r="CK149" s="92">
        <f>IF(Table645[[#This Row],[Column88]]="--",0,Table645[[#This Row],[Column4]]*Table645[[#This Row],[Column88]])</f>
        <v>0</v>
      </c>
      <c r="CL149" s="217"/>
      <c r="CM149" s="91" t="str">
        <f>IF(Table645[[#This Row],[Column87]]=0,"--",CJ149*$CL$3)</f>
        <v>--</v>
      </c>
      <c r="CN149" s="92">
        <f>IF(Table645[[#This Row],[Column91]]="--",0,Table645[[#This Row],[Column4]]*Table645[[#This Row],[Column91]])</f>
        <v>0</v>
      </c>
      <c r="CO149" s="217"/>
      <c r="CP149" s="91" t="str">
        <f>IF(Table645[[#This Row],[Column10]]+Table645[[#This Row],[Column87]]=0, "--", IF($D149="", 1, $D149) * IF($J149="", 1, $J149) * $CO$3 * $CO$4 * IF(Table645[[#This Row],[Column95]]="", 1, Table645[[#This Row],[Column95]]) / (24 * 60))</f>
        <v>--</v>
      </c>
      <c r="CQ149" s="164"/>
      <c r="CR149" s="92">
        <f>IF(Table645[[#This Row],[Column94]]="--",0,Table645[[#This Row],[Column4]]*Table645[[#This Row],[Column94]])</f>
        <v>0</v>
      </c>
      <c r="CS149" s="218" t="str">
        <f>IF(Table645[[#This Row],[Column87]]="","",Table645[[#This Row],[Column87]])</f>
        <v/>
      </c>
      <c r="CT149" s="91" t="str">
        <f>IF(Table645[[#This Row],[Column97]]="","--",Table645[[#This Row],[Column97]]/$CS$3/60/24)</f>
        <v>--</v>
      </c>
      <c r="CU149" s="92">
        <f>IF(Table645[[#This Row],[Column98]]="--",0,Table645[[#This Row],[Column4]]*Table645[[#This Row],[Column98]])</f>
        <v>0</v>
      </c>
      <c r="CV149" s="93"/>
      <c r="CW149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49" s="91" t="str">
        <f>IF(OR(Table645[[#This Row],[Column74]]&gt;0,Table645[[#This Row],[Column87]]&gt;0),(Table645[[#This Row],[Column73]]+Table645[[#This Row],[Column86]]+1)*$CW$3/60/24,"--")</f>
        <v>--</v>
      </c>
      <c r="CY149" s="92">
        <f>IF(Table645[[#This Row],[Column102]]="--",0,Table645[[#This Row],[Column4]]*Table645[[#This Row],[Column102]])</f>
        <v>0</v>
      </c>
      <c r="CZ149" s="158" t="str">
        <f t="shared" ref="CZ149:CZ171" si="122">IF(J149=0,"--",J149/$CZ$3/(24)*DA149)</f>
        <v>--</v>
      </c>
      <c r="DA149" s="153"/>
      <c r="DB149" s="160">
        <f>IF(Table645[[#This Row],[Column104]]="--",0,Table645[[#This Row],[Column4]]*Table645[[#This Row],[Column104]])</f>
        <v>0</v>
      </c>
      <c r="DC149" s="219"/>
      <c r="DD149" s="220" t="str">
        <f>IF(DC149=0,"--",1/$DC$3*1000/(60*60*24)*Table645[[#This Row],[Column107]])</f>
        <v>--</v>
      </c>
      <c r="DE149" s="160">
        <f>IF(Table645[[#This Row],[Column108]]="--",0,Table645[[#This Row],[Column4]]*Table645[[#This Row],[Column108]])</f>
        <v>0</v>
      </c>
      <c r="DF149" s="101" t="s">
        <v>70</v>
      </c>
      <c r="DG149" s="91" t="str">
        <f t="shared" ref="DG149:DG171" si="123">IF(DA149=0,"--",(J149*$DF$3)/60/24)</f>
        <v>--</v>
      </c>
      <c r="DH149" s="89">
        <f>IF(Table645[[#This Row],[Column111]]="--",0,Table645[[#This Row],[Column4]]*Table645[[#This Row],[Column111]])</f>
        <v>0</v>
      </c>
      <c r="DI149" s="96"/>
      <c r="DJ149" s="96"/>
      <c r="DK149" s="96"/>
      <c r="DL149" s="96"/>
      <c r="DM149" s="96"/>
      <c r="DN149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49" s="89">
        <f>IF(Table645[[#This Row],[Column118]]="--",0,Table645[[#This Row],[Column4]]*Table645[[#This Row],[Column118]])</f>
        <v>0</v>
      </c>
      <c r="DP149" s="96"/>
      <c r="DQ149" s="96"/>
      <c r="DR149" s="91" t="str">
        <f t="shared" ref="DR149:DR171" si="124">IF(DP149+DQ149&gt;0,(DP149*$DQ$3+DQ149*$DQ$4)/60/24,IF(DN149="--","--",(DP149*$DQ$3+DQ149*$DQ$4)/60/24))</f>
        <v>--</v>
      </c>
      <c r="DS149" s="89">
        <f>IF(Table645[[#This Row],[Column122]]="--",0,Table645[[#This Row],[Column4]]*Table645[[#This Row],[Column122]])</f>
        <v>0</v>
      </c>
      <c r="DT149" t="str">
        <f>IF(Table645[[#This Row],[Column125]]=0,"--",Table645[[#This Row],[Column125]]*Table645[[#This Row],[Column126]]*Table645[[#This Row],[Column127]]/1000000000)</f>
        <v>--</v>
      </c>
      <c r="DU149" s="53"/>
      <c r="DV149" s="53"/>
      <c r="DW149" s="53"/>
      <c r="DX149" s="91" t="str">
        <f t="shared" ref="DX149:DX171" si="125">IF(DT149="--","--",(1+DT149*$DT$3)/60/24)</f>
        <v>--</v>
      </c>
      <c r="DY149" s="89">
        <f>IF(Table645[[#This Row],[Column128]]="--",0,Table645[[#This Row],[Column4]]*Table645[[#This Row],[Column128]])</f>
        <v>0</v>
      </c>
      <c r="EA149" s="89">
        <f>IF(Table645[[#This Row],[Column128]]="--",0,Table645[[#This Row],[Column4]]*Table645[[#This Row],[Column128]])</f>
        <v>0</v>
      </c>
      <c r="EC149" s="89">
        <f>IF(Table645[[#This Row],[Column128]]="--",0,Table645[[#This Row],[Column4]]*Table645[[#This Row],[Column128]])</f>
        <v>0</v>
      </c>
      <c r="EE149" s="89">
        <f>IF(Table645[[#This Row],[Column128]]="--",0,Table645[[#This Row],[Column4]]*Table645[[#This Row],[Column128]])</f>
        <v>0</v>
      </c>
      <c r="EG149" s="89">
        <f>IF(Table645[[#This Row],[Column128]]="--",0,Table645[[#This Row],[Column4]]*Table645[[#This Row],[Column128]])</f>
        <v>0</v>
      </c>
      <c r="EI149" s="89">
        <f>IF(Table645[[#This Row],[Column128]]="--",0,Table645[[#This Row],[Column4]]*Table645[[#This Row],[Column128]])</f>
        <v>0</v>
      </c>
    </row>
    <row r="150" spans="1:139" x14ac:dyDescent="0.25">
      <c r="A150" s="140"/>
      <c r="B150" s="79"/>
      <c r="C150" s="140"/>
      <c r="D150" s="167"/>
      <c r="E150" s="52"/>
      <c r="F150" s="81"/>
      <c r="G150" s="81"/>
      <c r="H150" s="102" t="str">
        <f t="shared" si="116"/>
        <v>--</v>
      </c>
      <c r="I150" s="100">
        <f>IF(Table645[[#This Row],[Column8]]="--",0,Table645[[#This Row],[Column4]]*Table645[[#This Row],[Column8]])</f>
        <v>0</v>
      </c>
      <c r="J150" s="169"/>
      <c r="K150" s="85">
        <f>Table645[[#This Row],[Column4]]*Table645[[#This Row],[Column10]]</f>
        <v>0</v>
      </c>
      <c r="L150" s="170" t="str">
        <f t="shared" si="117"/>
        <v>--</v>
      </c>
      <c r="M150" s="214">
        <f>IF(Table645[[#This Row],[Column10]]=0,0,Table645[[#This Row],[Column4]]*Table645[[#This Row],[Column12]])</f>
        <v>0</v>
      </c>
      <c r="N150" s="87" t="str">
        <f t="shared" si="118"/>
        <v>--</v>
      </c>
      <c r="O150" s="138"/>
      <c r="AZ150" s="89">
        <f>IF(Table645[[#This Row],[Column14]]="--",0,Table645[[#This Row],[Column4]]*Table645[[#This Row],[Column14]])</f>
        <v>0</v>
      </c>
      <c r="BA150" s="90"/>
      <c r="BB150" s="91" t="str">
        <f>IF(BA150=0,"--",BA150*$BA$3*IF(Table645[[#This Row],[Column5]]&lt;4.1,1,2)/60/24)</f>
        <v>--</v>
      </c>
      <c r="BC150" s="92">
        <f>IF(Table645[[#This Row],[Column54]]="--",0,Table645[[#This Row],[Column4]]*Table645[[#This Row],[Column54]])</f>
        <v>0</v>
      </c>
      <c r="BD150" s="119"/>
      <c r="BE150" s="119"/>
      <c r="BF150" s="119"/>
      <c r="BG150" s="91" t="str">
        <f>IF(BD150+Table645[[#This Row],[Column58]]=0,"--",(BD150*$BF$3*Table645[[#This Row],[Column57]]+Table645[[#This Row],[Column58]]*$BF$4)/60/24)</f>
        <v>--</v>
      </c>
      <c r="BH150" s="92">
        <f>IF(Table645[[#This Row],[Column59]]="--",0,Table645[[#This Row],[Column4]]*Table645[[#This Row],[Column59]])</f>
        <v>0</v>
      </c>
      <c r="BI150" s="119"/>
      <c r="BJ150" s="91" t="str">
        <f t="shared" si="84"/>
        <v>--</v>
      </c>
      <c r="BK150" s="92">
        <f>IF(Table645[[#This Row],[Column62]]="--",0,Table645[[#This Row],[Column4]]*Table645[[#This Row],[Column62]])</f>
        <v>0</v>
      </c>
      <c r="BL150" s="93"/>
      <c r="BM150" s="91" t="str">
        <f t="shared" si="119"/>
        <v>--</v>
      </c>
      <c r="BN150" s="89">
        <f>IF(Table645[[#This Row],[Column65]]="--",0,Table645[[#This Row],[Column4]]*Table645[[#This Row],[Column65]])</f>
        <v>0</v>
      </c>
      <c r="BO150" s="163"/>
      <c r="BP150" s="164" t="str">
        <f t="shared" si="120"/>
        <v>--</v>
      </c>
      <c r="BQ150" s="160">
        <f>IF(Table645[[#This Row],[Column68]]="--",0,Table645[[#This Row],[Column4]]*Table645[[#This Row],[Column68]])</f>
        <v>0</v>
      </c>
      <c r="BR150" s="94"/>
      <c r="BS150" s="91" t="str">
        <f t="shared" si="121"/>
        <v>--</v>
      </c>
      <c r="BT150" s="92">
        <f>IF(Table645[[#This Row],[Column71]]="--",0,Table645[[#This Row],[Column4]]*Table645[[#This Row],[Column71]])</f>
        <v>0</v>
      </c>
      <c r="BU150" s="44"/>
      <c r="BV150" s="90"/>
      <c r="BW150" s="91" t="str">
        <f>IF(BV150=0,"--",(Table645[[#This Row],[Column73]]*$BV$4*(IF(J150&lt;0.5001,1,IF(J150&lt;2.0001,2,3)))+BV150/$BV$3)/60/24)</f>
        <v>--</v>
      </c>
      <c r="BX150" s="92">
        <f>IF(Table645[[#This Row],[Column75]]="--",0,Table645[[#This Row],[Column4]]*Table645[[#This Row],[Column75]])</f>
        <v>0</v>
      </c>
      <c r="BY150" s="95" t="s">
        <v>70</v>
      </c>
      <c r="BZ150" s="91" t="str">
        <f>IF(Table645[[#This Row],[Column74]]=0,"--",BW150*$BY$3)</f>
        <v>--</v>
      </c>
      <c r="CA150" s="89">
        <f>IF(Table645[[#This Row],[Column78]]="--",0,Table645[[#This Row],[Column4]]*Table645[[#This Row],[Column78]])</f>
        <v>0</v>
      </c>
      <c r="CB150" s="95" t="s">
        <v>70</v>
      </c>
      <c r="CC150" s="91" t="str">
        <f>IF(Table645[[#This Row],[Column10]]+Table645[[#This Row],[Column74]]=0,"--",J150*$CB$4*$CB$5/(24*60)+IF(Table645[[#This Row],[Column74]]=0,0,$CB$3*Table645[[#This Row],[Column75]]))</f>
        <v>--</v>
      </c>
      <c r="CD150" s="92">
        <f>IF(Table645[[#This Row],[Column81]]="--",0,Table645[[#This Row],[Column4]]*Table645[[#This Row],[Column81]])</f>
        <v>0</v>
      </c>
      <c r="CE150" s="215"/>
      <c r="CF150" s="91" t="str">
        <f t="shared" si="85"/>
        <v>--</v>
      </c>
      <c r="CG150" s="92">
        <f>IF(Table645[[#This Row],[Column84]]="--",0,Table645[[#This Row],[Column4]]*Table645[[#This Row],[Column84]])</f>
        <v>0</v>
      </c>
      <c r="CH150" s="226"/>
      <c r="CI150" s="216"/>
      <c r="CJ150" s="91" t="str">
        <f>IF(CI150=0,"--",(Table645[[#This Row],[Column86]]*$CI$4*(IF(W150&lt;0.5001,1,IF(W150&lt;2.0001,2,3)))+CI150/$CI$3)/60/24)</f>
        <v>--</v>
      </c>
      <c r="CK150" s="92">
        <f>IF(Table645[[#This Row],[Column88]]="--",0,Table645[[#This Row],[Column4]]*Table645[[#This Row],[Column88]])</f>
        <v>0</v>
      </c>
      <c r="CL150" s="217"/>
      <c r="CM150" s="91" t="str">
        <f>IF(Table645[[#This Row],[Column87]]=0,"--",CJ150*$CL$3)</f>
        <v>--</v>
      </c>
      <c r="CN150" s="92">
        <f>IF(Table645[[#This Row],[Column91]]="--",0,Table645[[#This Row],[Column4]]*Table645[[#This Row],[Column91]])</f>
        <v>0</v>
      </c>
      <c r="CO150" s="217"/>
      <c r="CP150" s="91" t="str">
        <f>IF(Table645[[#This Row],[Column10]]+Table645[[#This Row],[Column87]]=0, "--", IF($D150="", 1, $D150) * IF($J150="", 1, $J150) * $CO$3 * $CO$4 * IF(Table645[[#This Row],[Column95]]="", 1, Table645[[#This Row],[Column95]]) / (24 * 60))</f>
        <v>--</v>
      </c>
      <c r="CQ150" s="164"/>
      <c r="CR150" s="92">
        <f>IF(Table645[[#This Row],[Column94]]="--",0,Table645[[#This Row],[Column4]]*Table645[[#This Row],[Column94]])</f>
        <v>0</v>
      </c>
      <c r="CS150" s="218" t="str">
        <f>IF(Table645[[#This Row],[Column87]]="","",Table645[[#This Row],[Column87]])</f>
        <v/>
      </c>
      <c r="CT150" s="91" t="str">
        <f>IF(Table645[[#This Row],[Column97]]="","--",Table645[[#This Row],[Column97]]/$CS$3/60/24)</f>
        <v>--</v>
      </c>
      <c r="CU150" s="92">
        <f>IF(Table645[[#This Row],[Column98]]="--",0,Table645[[#This Row],[Column4]]*Table645[[#This Row],[Column98]])</f>
        <v>0</v>
      </c>
      <c r="CV150" s="93"/>
      <c r="CW150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50" s="91" t="str">
        <f>IF(OR(Table645[[#This Row],[Column74]]&gt;0,Table645[[#This Row],[Column87]]&gt;0),(Table645[[#This Row],[Column73]]+Table645[[#This Row],[Column86]]+1)*$CW$3/60/24,"--")</f>
        <v>--</v>
      </c>
      <c r="CY150" s="92">
        <f>IF(Table645[[#This Row],[Column102]]="--",0,Table645[[#This Row],[Column4]]*Table645[[#This Row],[Column102]])</f>
        <v>0</v>
      </c>
      <c r="CZ150" s="158" t="str">
        <f t="shared" si="122"/>
        <v>--</v>
      </c>
      <c r="DA150" s="153"/>
      <c r="DB150" s="160">
        <f>IF(Table645[[#This Row],[Column104]]="--",0,Table645[[#This Row],[Column4]]*Table645[[#This Row],[Column104]])</f>
        <v>0</v>
      </c>
      <c r="DC150" s="219"/>
      <c r="DD150" s="220" t="str">
        <f>IF(DC150=0,"--",1/$DC$3*1000/(60*60*24)*Table645[[#This Row],[Column107]])</f>
        <v>--</v>
      </c>
      <c r="DE150" s="160">
        <f>IF(Table645[[#This Row],[Column108]]="--",0,Table645[[#This Row],[Column4]]*Table645[[#This Row],[Column108]])</f>
        <v>0</v>
      </c>
      <c r="DF150" s="101" t="s">
        <v>70</v>
      </c>
      <c r="DG150" s="91" t="str">
        <f t="shared" si="123"/>
        <v>--</v>
      </c>
      <c r="DH150" s="89">
        <f>IF(Table645[[#This Row],[Column111]]="--",0,Table645[[#This Row],[Column4]]*Table645[[#This Row],[Column111]])</f>
        <v>0</v>
      </c>
      <c r="DI150" s="96"/>
      <c r="DJ150" s="96"/>
      <c r="DK150" s="96"/>
      <c r="DL150" s="96"/>
      <c r="DM150" s="96"/>
      <c r="DN150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50" s="89">
        <f>IF(Table645[[#This Row],[Column118]]="--",0,Table645[[#This Row],[Column4]]*Table645[[#This Row],[Column118]])</f>
        <v>0</v>
      </c>
      <c r="DP150" s="96"/>
      <c r="DQ150" s="96"/>
      <c r="DR150" s="91" t="str">
        <f t="shared" si="124"/>
        <v>--</v>
      </c>
      <c r="DS150" s="89">
        <f>IF(Table645[[#This Row],[Column122]]="--",0,Table645[[#This Row],[Column4]]*Table645[[#This Row],[Column122]])</f>
        <v>0</v>
      </c>
      <c r="DT150" t="str">
        <f>IF(Table645[[#This Row],[Column125]]=0,"--",Table645[[#This Row],[Column125]]*Table645[[#This Row],[Column126]]*Table645[[#This Row],[Column127]]/1000000000)</f>
        <v>--</v>
      </c>
      <c r="DU150" s="53"/>
      <c r="DV150" s="53"/>
      <c r="DW150" s="53"/>
      <c r="DX150" s="91" t="str">
        <f t="shared" si="125"/>
        <v>--</v>
      </c>
      <c r="DY150" s="89">
        <f>IF(Table645[[#This Row],[Column128]]="--",0,Table645[[#This Row],[Column4]]*Table645[[#This Row],[Column128]])</f>
        <v>0</v>
      </c>
      <c r="EA150" s="89">
        <f>IF(Table645[[#This Row],[Column128]]="--",0,Table645[[#This Row],[Column4]]*Table645[[#This Row],[Column128]])</f>
        <v>0</v>
      </c>
      <c r="EC150" s="89">
        <f>IF(Table645[[#This Row],[Column128]]="--",0,Table645[[#This Row],[Column4]]*Table645[[#This Row],[Column128]])</f>
        <v>0</v>
      </c>
      <c r="EE150" s="89">
        <f>IF(Table645[[#This Row],[Column128]]="--",0,Table645[[#This Row],[Column4]]*Table645[[#This Row],[Column128]])</f>
        <v>0</v>
      </c>
      <c r="EG150" s="89">
        <f>IF(Table645[[#This Row],[Column128]]="--",0,Table645[[#This Row],[Column4]]*Table645[[#This Row],[Column128]])</f>
        <v>0</v>
      </c>
      <c r="EI150" s="89">
        <f>IF(Table645[[#This Row],[Column128]]="--",0,Table645[[#This Row],[Column4]]*Table645[[#This Row],[Column128]])</f>
        <v>0</v>
      </c>
    </row>
    <row r="151" spans="1:139" x14ac:dyDescent="0.25">
      <c r="A151" s="140"/>
      <c r="B151" s="79"/>
      <c r="C151" s="140"/>
      <c r="D151" s="167"/>
      <c r="E151" s="52"/>
      <c r="F151" s="81"/>
      <c r="G151" s="81"/>
      <c r="H151" s="102" t="str">
        <f t="shared" si="116"/>
        <v>--</v>
      </c>
      <c r="I151" s="100">
        <f>IF(Table645[[#This Row],[Column8]]="--",0,Table645[[#This Row],[Column4]]*Table645[[#This Row],[Column8]])</f>
        <v>0</v>
      </c>
      <c r="J151" s="169"/>
      <c r="K151" s="85">
        <f>Table645[[#This Row],[Column4]]*Table645[[#This Row],[Column10]]</f>
        <v>0</v>
      </c>
      <c r="L151" s="170" t="str">
        <f t="shared" si="117"/>
        <v>--</v>
      </c>
      <c r="M151" s="214">
        <f>IF(Table645[[#This Row],[Column10]]=0,0,Table645[[#This Row],[Column4]]*Table645[[#This Row],[Column12]])</f>
        <v>0</v>
      </c>
      <c r="N151" s="87" t="str">
        <f t="shared" si="118"/>
        <v>--</v>
      </c>
      <c r="O151" s="138"/>
      <c r="AZ151" s="89">
        <f>IF(Table645[[#This Row],[Column14]]="--",0,Table645[[#This Row],[Column4]]*Table645[[#This Row],[Column14]])</f>
        <v>0</v>
      </c>
      <c r="BA151" s="90"/>
      <c r="BB151" s="91" t="str">
        <f>IF(BA151=0,"--",BA151*$BA$3*IF(Table645[[#This Row],[Column5]]&lt;4.1,1,2)/60/24)</f>
        <v>--</v>
      </c>
      <c r="BC151" s="92">
        <f>IF(Table645[[#This Row],[Column54]]="--",0,Table645[[#This Row],[Column4]]*Table645[[#This Row],[Column54]])</f>
        <v>0</v>
      </c>
      <c r="BD151" s="119"/>
      <c r="BE151" s="119"/>
      <c r="BF151" s="119"/>
      <c r="BG151" s="91" t="str">
        <f>IF(BD151+Table645[[#This Row],[Column58]]=0,"--",(BD151*$BF$3*Table645[[#This Row],[Column57]]+Table645[[#This Row],[Column58]]*$BF$4)/60/24)</f>
        <v>--</v>
      </c>
      <c r="BH151" s="92">
        <f>IF(Table645[[#This Row],[Column59]]="--",0,Table645[[#This Row],[Column4]]*Table645[[#This Row],[Column59]])</f>
        <v>0</v>
      </c>
      <c r="BI151" s="119"/>
      <c r="BJ151" s="91" t="str">
        <f t="shared" si="84"/>
        <v>--</v>
      </c>
      <c r="BK151" s="92">
        <f>IF(Table645[[#This Row],[Column62]]="--",0,Table645[[#This Row],[Column4]]*Table645[[#This Row],[Column62]])</f>
        <v>0</v>
      </c>
      <c r="BL151" s="93"/>
      <c r="BM151" s="91" t="str">
        <f t="shared" si="119"/>
        <v>--</v>
      </c>
      <c r="BN151" s="89">
        <f>IF(Table645[[#This Row],[Column65]]="--",0,Table645[[#This Row],[Column4]]*Table645[[#This Row],[Column65]])</f>
        <v>0</v>
      </c>
      <c r="BO151" s="163"/>
      <c r="BP151" s="164" t="str">
        <f t="shared" si="120"/>
        <v>--</v>
      </c>
      <c r="BQ151" s="160">
        <f>IF(Table645[[#This Row],[Column68]]="--",0,Table645[[#This Row],[Column4]]*Table645[[#This Row],[Column68]])</f>
        <v>0</v>
      </c>
      <c r="BR151" s="94"/>
      <c r="BS151" s="91" t="str">
        <f t="shared" si="121"/>
        <v>--</v>
      </c>
      <c r="BT151" s="92">
        <f>IF(Table645[[#This Row],[Column71]]="--",0,Table645[[#This Row],[Column4]]*Table645[[#This Row],[Column71]])</f>
        <v>0</v>
      </c>
      <c r="BU151" s="44"/>
      <c r="BV151" s="90"/>
      <c r="BW151" s="91" t="str">
        <f>IF(BV151=0,"--",(Table645[[#This Row],[Column73]]*$BV$4*(IF(J151&lt;0.5001,1,IF(J151&lt;2.0001,2,3)))+BV151/$BV$3)/60/24)</f>
        <v>--</v>
      </c>
      <c r="BX151" s="92">
        <f>IF(Table645[[#This Row],[Column75]]="--",0,Table645[[#This Row],[Column4]]*Table645[[#This Row],[Column75]])</f>
        <v>0</v>
      </c>
      <c r="BY151" s="95" t="s">
        <v>70</v>
      </c>
      <c r="BZ151" s="91" t="str">
        <f>IF(Table645[[#This Row],[Column74]]=0,"--",BW151*$BY$3)</f>
        <v>--</v>
      </c>
      <c r="CA151" s="89">
        <f>IF(Table645[[#This Row],[Column78]]="--",0,Table645[[#This Row],[Column4]]*Table645[[#This Row],[Column78]])</f>
        <v>0</v>
      </c>
      <c r="CB151" s="95" t="s">
        <v>70</v>
      </c>
      <c r="CC151" s="91" t="str">
        <f>IF(Table645[[#This Row],[Column10]]+Table645[[#This Row],[Column74]]=0,"--",J151*$CB$4*$CB$5/(24*60)+IF(Table645[[#This Row],[Column74]]=0,0,$CB$3*Table645[[#This Row],[Column75]]))</f>
        <v>--</v>
      </c>
      <c r="CD151" s="92">
        <f>IF(Table645[[#This Row],[Column81]]="--",0,Table645[[#This Row],[Column4]]*Table645[[#This Row],[Column81]])</f>
        <v>0</v>
      </c>
      <c r="CE151" s="215"/>
      <c r="CF151" s="91" t="str">
        <f t="shared" si="85"/>
        <v>--</v>
      </c>
      <c r="CG151" s="92">
        <f>IF(Table645[[#This Row],[Column84]]="--",0,Table645[[#This Row],[Column4]]*Table645[[#This Row],[Column84]])</f>
        <v>0</v>
      </c>
      <c r="CH151" s="226"/>
      <c r="CI151" s="216"/>
      <c r="CJ151" s="91" t="str">
        <f>IF(CI151=0,"--",(Table645[[#This Row],[Column86]]*$CI$4*(IF(W151&lt;0.5001,1,IF(W151&lt;2.0001,2,3)))+CI151/$CI$3)/60/24)</f>
        <v>--</v>
      </c>
      <c r="CK151" s="92">
        <f>IF(Table645[[#This Row],[Column88]]="--",0,Table645[[#This Row],[Column4]]*Table645[[#This Row],[Column88]])</f>
        <v>0</v>
      </c>
      <c r="CL151" s="217"/>
      <c r="CM151" s="91" t="str">
        <f>IF(Table645[[#This Row],[Column87]]=0,"--",CJ151*$CL$3)</f>
        <v>--</v>
      </c>
      <c r="CN151" s="92">
        <f>IF(Table645[[#This Row],[Column91]]="--",0,Table645[[#This Row],[Column4]]*Table645[[#This Row],[Column91]])</f>
        <v>0</v>
      </c>
      <c r="CO151" s="217"/>
      <c r="CP151" s="91" t="str">
        <f>IF(Table645[[#This Row],[Column10]]+Table645[[#This Row],[Column87]]=0, "--", IF($D151="", 1, $D151) * IF($J151="", 1, $J151) * $CO$3 * $CO$4 * IF(Table645[[#This Row],[Column95]]="", 1, Table645[[#This Row],[Column95]]) / (24 * 60))</f>
        <v>--</v>
      </c>
      <c r="CQ151" s="164"/>
      <c r="CR151" s="92">
        <f>IF(Table645[[#This Row],[Column94]]="--",0,Table645[[#This Row],[Column4]]*Table645[[#This Row],[Column94]])</f>
        <v>0</v>
      </c>
      <c r="CS151" s="218" t="str">
        <f>IF(Table645[[#This Row],[Column87]]="","",Table645[[#This Row],[Column87]])</f>
        <v/>
      </c>
      <c r="CT151" s="91" t="str">
        <f>IF(Table645[[#This Row],[Column97]]="","--",Table645[[#This Row],[Column97]]/$CS$3/60/24)</f>
        <v>--</v>
      </c>
      <c r="CU151" s="92">
        <f>IF(Table645[[#This Row],[Column98]]="--",0,Table645[[#This Row],[Column4]]*Table645[[#This Row],[Column98]])</f>
        <v>0</v>
      </c>
      <c r="CV151" s="93"/>
      <c r="CW151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51" s="91" t="str">
        <f>IF(OR(Table645[[#This Row],[Column74]]&gt;0,Table645[[#This Row],[Column87]]&gt;0),(Table645[[#This Row],[Column73]]+Table645[[#This Row],[Column86]]+1)*$CW$3/60/24,"--")</f>
        <v>--</v>
      </c>
      <c r="CY151" s="92">
        <f>IF(Table645[[#This Row],[Column102]]="--",0,Table645[[#This Row],[Column4]]*Table645[[#This Row],[Column102]])</f>
        <v>0</v>
      </c>
      <c r="CZ151" s="158" t="str">
        <f t="shared" si="122"/>
        <v>--</v>
      </c>
      <c r="DA151" s="153"/>
      <c r="DB151" s="160">
        <f>IF(Table645[[#This Row],[Column104]]="--",0,Table645[[#This Row],[Column4]]*Table645[[#This Row],[Column104]])</f>
        <v>0</v>
      </c>
      <c r="DC151" s="219"/>
      <c r="DD151" s="220" t="str">
        <f>IF(DC151=0,"--",1/$DC$3*1000/(60*60*24)*Table645[[#This Row],[Column107]])</f>
        <v>--</v>
      </c>
      <c r="DE151" s="160">
        <f>IF(Table645[[#This Row],[Column108]]="--",0,Table645[[#This Row],[Column4]]*Table645[[#This Row],[Column108]])</f>
        <v>0</v>
      </c>
      <c r="DF151" s="101" t="s">
        <v>70</v>
      </c>
      <c r="DG151" s="91" t="str">
        <f t="shared" si="123"/>
        <v>--</v>
      </c>
      <c r="DH151" s="89">
        <f>IF(Table645[[#This Row],[Column111]]="--",0,Table645[[#This Row],[Column4]]*Table645[[#This Row],[Column111]])</f>
        <v>0</v>
      </c>
      <c r="DI151" s="96"/>
      <c r="DJ151" s="96"/>
      <c r="DK151" s="96"/>
      <c r="DL151" s="96"/>
      <c r="DM151" s="96"/>
      <c r="DN151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51" s="89">
        <f>IF(Table645[[#This Row],[Column118]]="--",0,Table645[[#This Row],[Column4]]*Table645[[#This Row],[Column118]])</f>
        <v>0</v>
      </c>
      <c r="DP151" s="96"/>
      <c r="DQ151" s="96"/>
      <c r="DR151" s="91" t="str">
        <f t="shared" si="124"/>
        <v>--</v>
      </c>
      <c r="DS151" s="89">
        <f>IF(Table645[[#This Row],[Column122]]="--",0,Table645[[#This Row],[Column4]]*Table645[[#This Row],[Column122]])</f>
        <v>0</v>
      </c>
      <c r="DT151" t="str">
        <f>IF(Table645[[#This Row],[Column125]]=0,"--",Table645[[#This Row],[Column125]]*Table645[[#This Row],[Column126]]*Table645[[#This Row],[Column127]]/1000000000)</f>
        <v>--</v>
      </c>
      <c r="DU151" s="53"/>
      <c r="DV151" s="53"/>
      <c r="DW151" s="53"/>
      <c r="DX151" s="91" t="str">
        <f t="shared" si="125"/>
        <v>--</v>
      </c>
      <c r="DY151" s="89">
        <f>IF(Table645[[#This Row],[Column128]]="--",0,Table645[[#This Row],[Column4]]*Table645[[#This Row],[Column128]])</f>
        <v>0</v>
      </c>
      <c r="EA151" s="89">
        <f>IF(Table645[[#This Row],[Column128]]="--",0,Table645[[#This Row],[Column4]]*Table645[[#This Row],[Column128]])</f>
        <v>0</v>
      </c>
      <c r="EC151" s="89">
        <f>IF(Table645[[#This Row],[Column128]]="--",0,Table645[[#This Row],[Column4]]*Table645[[#This Row],[Column128]])</f>
        <v>0</v>
      </c>
      <c r="EE151" s="89">
        <f>IF(Table645[[#This Row],[Column128]]="--",0,Table645[[#This Row],[Column4]]*Table645[[#This Row],[Column128]])</f>
        <v>0</v>
      </c>
      <c r="EG151" s="89">
        <f>IF(Table645[[#This Row],[Column128]]="--",0,Table645[[#This Row],[Column4]]*Table645[[#This Row],[Column128]])</f>
        <v>0</v>
      </c>
      <c r="EI151" s="89">
        <f>IF(Table645[[#This Row],[Column128]]="--",0,Table645[[#This Row],[Column4]]*Table645[[#This Row],[Column128]])</f>
        <v>0</v>
      </c>
    </row>
    <row r="152" spans="1:139" x14ac:dyDescent="0.25">
      <c r="A152" s="140"/>
      <c r="B152" s="79"/>
      <c r="C152" s="140"/>
      <c r="D152" s="167"/>
      <c r="E152" s="52"/>
      <c r="F152" s="81"/>
      <c r="G152" s="81"/>
      <c r="H152" s="102" t="str">
        <f t="shared" si="116"/>
        <v>--</v>
      </c>
      <c r="I152" s="100">
        <f>IF(Table645[[#This Row],[Column8]]="--",0,Table645[[#This Row],[Column4]]*Table645[[#This Row],[Column8]])</f>
        <v>0</v>
      </c>
      <c r="J152" s="169"/>
      <c r="K152" s="85">
        <f>Table645[[#This Row],[Column4]]*Table645[[#This Row],[Column10]]</f>
        <v>0</v>
      </c>
      <c r="L152" s="170" t="str">
        <f t="shared" si="117"/>
        <v>--</v>
      </c>
      <c r="M152" s="214">
        <f>IF(Table645[[#This Row],[Column10]]=0,0,Table645[[#This Row],[Column4]]*Table645[[#This Row],[Column12]])</f>
        <v>0</v>
      </c>
      <c r="N152" s="87" t="str">
        <f t="shared" si="118"/>
        <v>--</v>
      </c>
      <c r="O152" s="138"/>
      <c r="AZ152" s="89">
        <f>IF(Table645[[#This Row],[Column14]]="--",0,Table645[[#This Row],[Column4]]*Table645[[#This Row],[Column14]])</f>
        <v>0</v>
      </c>
      <c r="BA152" s="90"/>
      <c r="BB152" s="91" t="str">
        <f>IF(BA152=0,"--",BA152*$BA$3*IF(Table645[[#This Row],[Column5]]&lt;4.1,1,2)/60/24)</f>
        <v>--</v>
      </c>
      <c r="BC152" s="92">
        <f>IF(Table645[[#This Row],[Column54]]="--",0,Table645[[#This Row],[Column4]]*Table645[[#This Row],[Column54]])</f>
        <v>0</v>
      </c>
      <c r="BD152" s="119"/>
      <c r="BE152" s="119"/>
      <c r="BF152" s="119"/>
      <c r="BG152" s="91" t="str">
        <f>IF(BD152+Table645[[#This Row],[Column58]]=0,"--",(BD152*$BF$3*Table645[[#This Row],[Column57]]+Table645[[#This Row],[Column58]]*$BF$4)/60/24)</f>
        <v>--</v>
      </c>
      <c r="BH152" s="92">
        <f>IF(Table645[[#This Row],[Column59]]="--",0,Table645[[#This Row],[Column4]]*Table645[[#This Row],[Column59]])</f>
        <v>0</v>
      </c>
      <c r="BI152" s="119"/>
      <c r="BJ152" s="91" t="str">
        <f t="shared" si="84"/>
        <v>--</v>
      </c>
      <c r="BK152" s="92">
        <f>IF(Table645[[#This Row],[Column62]]="--",0,Table645[[#This Row],[Column4]]*Table645[[#This Row],[Column62]])</f>
        <v>0</v>
      </c>
      <c r="BL152" s="93"/>
      <c r="BM152" s="91" t="str">
        <f t="shared" si="119"/>
        <v>--</v>
      </c>
      <c r="BN152" s="89">
        <f>IF(Table645[[#This Row],[Column65]]="--",0,Table645[[#This Row],[Column4]]*Table645[[#This Row],[Column65]])</f>
        <v>0</v>
      </c>
      <c r="BO152" s="163"/>
      <c r="BP152" s="164" t="str">
        <f t="shared" si="120"/>
        <v>--</v>
      </c>
      <c r="BQ152" s="160">
        <f>IF(Table645[[#This Row],[Column68]]="--",0,Table645[[#This Row],[Column4]]*Table645[[#This Row],[Column68]])</f>
        <v>0</v>
      </c>
      <c r="BR152" s="94"/>
      <c r="BS152" s="91" t="str">
        <f t="shared" si="121"/>
        <v>--</v>
      </c>
      <c r="BT152" s="92">
        <f>IF(Table645[[#This Row],[Column71]]="--",0,Table645[[#This Row],[Column4]]*Table645[[#This Row],[Column71]])</f>
        <v>0</v>
      </c>
      <c r="BU152" s="44"/>
      <c r="BV152" s="90"/>
      <c r="BW152" s="91" t="str">
        <f>IF(BV152=0,"--",(Table645[[#This Row],[Column73]]*$BV$4*(IF(J152&lt;0.5001,1,IF(J152&lt;2.0001,2,3)))+BV152/$BV$3)/60/24)</f>
        <v>--</v>
      </c>
      <c r="BX152" s="92">
        <f>IF(Table645[[#This Row],[Column75]]="--",0,Table645[[#This Row],[Column4]]*Table645[[#This Row],[Column75]])</f>
        <v>0</v>
      </c>
      <c r="BY152" s="95" t="s">
        <v>70</v>
      </c>
      <c r="BZ152" s="91" t="str">
        <f>IF(Table645[[#This Row],[Column74]]=0,"--",BW152*$BY$3)</f>
        <v>--</v>
      </c>
      <c r="CA152" s="89">
        <f>IF(Table645[[#This Row],[Column78]]="--",0,Table645[[#This Row],[Column4]]*Table645[[#This Row],[Column78]])</f>
        <v>0</v>
      </c>
      <c r="CB152" s="95" t="s">
        <v>70</v>
      </c>
      <c r="CC152" s="91" t="str">
        <f>IF(Table645[[#This Row],[Column10]]+Table645[[#This Row],[Column74]]=0,"--",J152*$CB$4*$CB$5/(24*60)+IF(Table645[[#This Row],[Column74]]=0,0,$CB$3*Table645[[#This Row],[Column75]]))</f>
        <v>--</v>
      </c>
      <c r="CD152" s="92">
        <f>IF(Table645[[#This Row],[Column81]]="--",0,Table645[[#This Row],[Column4]]*Table645[[#This Row],[Column81]])</f>
        <v>0</v>
      </c>
      <c r="CE152" s="215"/>
      <c r="CF152" s="91" t="str">
        <f t="shared" si="85"/>
        <v>--</v>
      </c>
      <c r="CG152" s="92">
        <f>IF(Table645[[#This Row],[Column84]]="--",0,Table645[[#This Row],[Column4]]*Table645[[#This Row],[Column84]])</f>
        <v>0</v>
      </c>
      <c r="CH152" s="226"/>
      <c r="CI152" s="216"/>
      <c r="CJ152" s="91" t="str">
        <f>IF(CI152=0,"--",(Table645[[#This Row],[Column86]]*$CI$4*(IF(W152&lt;0.5001,1,IF(W152&lt;2.0001,2,3)))+CI152/$CI$3)/60/24)</f>
        <v>--</v>
      </c>
      <c r="CK152" s="92">
        <f>IF(Table645[[#This Row],[Column88]]="--",0,Table645[[#This Row],[Column4]]*Table645[[#This Row],[Column88]])</f>
        <v>0</v>
      </c>
      <c r="CL152" s="217"/>
      <c r="CM152" s="91" t="str">
        <f>IF(Table645[[#This Row],[Column87]]=0,"--",CJ152*$CL$3)</f>
        <v>--</v>
      </c>
      <c r="CN152" s="92">
        <f>IF(Table645[[#This Row],[Column91]]="--",0,Table645[[#This Row],[Column4]]*Table645[[#This Row],[Column91]])</f>
        <v>0</v>
      </c>
      <c r="CO152" s="217"/>
      <c r="CP152" s="91" t="str">
        <f>IF(Table645[[#This Row],[Column10]]+Table645[[#This Row],[Column87]]=0, "--", IF($D152="", 1, $D152) * IF($J152="", 1, $J152) * $CO$3 * $CO$4 * IF(Table645[[#This Row],[Column95]]="", 1, Table645[[#This Row],[Column95]]) / (24 * 60))</f>
        <v>--</v>
      </c>
      <c r="CQ152" s="164"/>
      <c r="CR152" s="92">
        <f>IF(Table645[[#This Row],[Column94]]="--",0,Table645[[#This Row],[Column4]]*Table645[[#This Row],[Column94]])</f>
        <v>0</v>
      </c>
      <c r="CS152" s="218" t="str">
        <f>IF(Table645[[#This Row],[Column87]]="","",Table645[[#This Row],[Column87]])</f>
        <v/>
      </c>
      <c r="CT152" s="91" t="str">
        <f>IF(Table645[[#This Row],[Column97]]="","--",Table645[[#This Row],[Column97]]/$CS$3/60/24)</f>
        <v>--</v>
      </c>
      <c r="CU152" s="92">
        <f>IF(Table645[[#This Row],[Column98]]="--",0,Table645[[#This Row],[Column4]]*Table645[[#This Row],[Column98]])</f>
        <v>0</v>
      </c>
      <c r="CV152" s="93"/>
      <c r="CW152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52" s="91" t="str">
        <f>IF(OR(Table645[[#This Row],[Column74]]&gt;0,Table645[[#This Row],[Column87]]&gt;0),(Table645[[#This Row],[Column73]]+Table645[[#This Row],[Column86]]+1)*$CW$3/60/24,"--")</f>
        <v>--</v>
      </c>
      <c r="CY152" s="92">
        <f>IF(Table645[[#This Row],[Column102]]="--",0,Table645[[#This Row],[Column4]]*Table645[[#This Row],[Column102]])</f>
        <v>0</v>
      </c>
      <c r="CZ152" s="158" t="str">
        <f t="shared" si="122"/>
        <v>--</v>
      </c>
      <c r="DA152" s="153"/>
      <c r="DB152" s="160">
        <f>IF(Table645[[#This Row],[Column104]]="--",0,Table645[[#This Row],[Column4]]*Table645[[#This Row],[Column104]])</f>
        <v>0</v>
      </c>
      <c r="DC152" s="219"/>
      <c r="DD152" s="220" t="str">
        <f>IF(DC152=0,"--",1/$DC$3*1000/(60*60*24)*Table645[[#This Row],[Column107]])</f>
        <v>--</v>
      </c>
      <c r="DE152" s="160">
        <f>IF(Table645[[#This Row],[Column108]]="--",0,Table645[[#This Row],[Column4]]*Table645[[#This Row],[Column108]])</f>
        <v>0</v>
      </c>
      <c r="DF152" s="101" t="s">
        <v>70</v>
      </c>
      <c r="DG152" s="91" t="str">
        <f t="shared" si="123"/>
        <v>--</v>
      </c>
      <c r="DH152" s="89">
        <f>IF(Table645[[#This Row],[Column111]]="--",0,Table645[[#This Row],[Column4]]*Table645[[#This Row],[Column111]])</f>
        <v>0</v>
      </c>
      <c r="DI152" s="96"/>
      <c r="DJ152" s="96"/>
      <c r="DK152" s="96"/>
      <c r="DL152" s="96"/>
      <c r="DM152" s="96"/>
      <c r="DN152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52" s="89">
        <f>IF(Table645[[#This Row],[Column118]]="--",0,Table645[[#This Row],[Column4]]*Table645[[#This Row],[Column118]])</f>
        <v>0</v>
      </c>
      <c r="DP152" s="96"/>
      <c r="DQ152" s="96"/>
      <c r="DR152" s="91" t="str">
        <f t="shared" si="124"/>
        <v>--</v>
      </c>
      <c r="DS152" s="89">
        <f>IF(Table645[[#This Row],[Column122]]="--",0,Table645[[#This Row],[Column4]]*Table645[[#This Row],[Column122]])</f>
        <v>0</v>
      </c>
      <c r="DT152" t="str">
        <f>IF(Table645[[#This Row],[Column125]]=0,"--",Table645[[#This Row],[Column125]]*Table645[[#This Row],[Column126]]*Table645[[#This Row],[Column127]]/1000000000)</f>
        <v>--</v>
      </c>
      <c r="DU152" s="53"/>
      <c r="DV152" s="53"/>
      <c r="DW152" s="53"/>
      <c r="DX152" s="91" t="str">
        <f t="shared" si="125"/>
        <v>--</v>
      </c>
      <c r="DY152" s="89">
        <f>IF(Table645[[#This Row],[Column128]]="--",0,Table645[[#This Row],[Column4]]*Table645[[#This Row],[Column128]])</f>
        <v>0</v>
      </c>
      <c r="EA152" s="89">
        <f>IF(Table645[[#This Row],[Column128]]="--",0,Table645[[#This Row],[Column4]]*Table645[[#This Row],[Column128]])</f>
        <v>0</v>
      </c>
      <c r="EC152" s="89">
        <f>IF(Table645[[#This Row],[Column128]]="--",0,Table645[[#This Row],[Column4]]*Table645[[#This Row],[Column128]])</f>
        <v>0</v>
      </c>
      <c r="EE152" s="89">
        <f>IF(Table645[[#This Row],[Column128]]="--",0,Table645[[#This Row],[Column4]]*Table645[[#This Row],[Column128]])</f>
        <v>0</v>
      </c>
      <c r="EG152" s="89">
        <f>IF(Table645[[#This Row],[Column128]]="--",0,Table645[[#This Row],[Column4]]*Table645[[#This Row],[Column128]])</f>
        <v>0</v>
      </c>
      <c r="EI152" s="89">
        <f>IF(Table645[[#This Row],[Column128]]="--",0,Table645[[#This Row],[Column4]]*Table645[[#This Row],[Column128]])</f>
        <v>0</v>
      </c>
    </row>
    <row r="153" spans="1:139" x14ac:dyDescent="0.25">
      <c r="A153" s="140"/>
      <c r="B153" s="79"/>
      <c r="C153" s="140"/>
      <c r="D153" s="167"/>
      <c r="E153" s="52"/>
      <c r="F153" s="81"/>
      <c r="G153" s="81"/>
      <c r="H153" s="102" t="str">
        <f t="shared" si="116"/>
        <v>--</v>
      </c>
      <c r="I153" s="100">
        <f>IF(Table645[[#This Row],[Column8]]="--",0,Table645[[#This Row],[Column4]]*Table645[[#This Row],[Column8]])</f>
        <v>0</v>
      </c>
      <c r="J153" s="169"/>
      <c r="K153" s="85">
        <f>Table645[[#This Row],[Column4]]*Table645[[#This Row],[Column10]]</f>
        <v>0</v>
      </c>
      <c r="L153" s="170" t="str">
        <f t="shared" si="117"/>
        <v>--</v>
      </c>
      <c r="M153" s="214">
        <f>IF(Table645[[#This Row],[Column10]]=0,0,Table645[[#This Row],[Column4]]*Table645[[#This Row],[Column12]])</f>
        <v>0</v>
      </c>
      <c r="N153" s="87" t="str">
        <f t="shared" si="118"/>
        <v>--</v>
      </c>
      <c r="O153" s="138"/>
      <c r="AZ153" s="89">
        <f>IF(Table645[[#This Row],[Column14]]="--",0,Table645[[#This Row],[Column4]]*Table645[[#This Row],[Column14]])</f>
        <v>0</v>
      </c>
      <c r="BA153" s="90"/>
      <c r="BB153" s="91" t="str">
        <f>IF(BA153=0,"--",BA153*$BA$3*IF(Table645[[#This Row],[Column5]]&lt;4.1,1,2)/60/24)</f>
        <v>--</v>
      </c>
      <c r="BC153" s="92">
        <f>IF(Table645[[#This Row],[Column54]]="--",0,Table645[[#This Row],[Column4]]*Table645[[#This Row],[Column54]])</f>
        <v>0</v>
      </c>
      <c r="BD153" s="119"/>
      <c r="BE153" s="119"/>
      <c r="BF153" s="119"/>
      <c r="BG153" s="91" t="str">
        <f>IF(BD153+Table645[[#This Row],[Column58]]=0,"--",(BD153*$BF$3*Table645[[#This Row],[Column57]]+Table645[[#This Row],[Column58]]*$BF$4)/60/24)</f>
        <v>--</v>
      </c>
      <c r="BH153" s="92">
        <f>IF(Table645[[#This Row],[Column59]]="--",0,Table645[[#This Row],[Column4]]*Table645[[#This Row],[Column59]])</f>
        <v>0</v>
      </c>
      <c r="BI153" s="119"/>
      <c r="BJ153" s="91" t="str">
        <f t="shared" si="84"/>
        <v>--</v>
      </c>
      <c r="BK153" s="92">
        <f>IF(Table645[[#This Row],[Column62]]="--",0,Table645[[#This Row],[Column4]]*Table645[[#This Row],[Column62]])</f>
        <v>0</v>
      </c>
      <c r="BL153" s="93"/>
      <c r="BM153" s="91" t="str">
        <f t="shared" si="119"/>
        <v>--</v>
      </c>
      <c r="BN153" s="89">
        <f>IF(Table645[[#This Row],[Column65]]="--",0,Table645[[#This Row],[Column4]]*Table645[[#This Row],[Column65]])</f>
        <v>0</v>
      </c>
      <c r="BO153" s="163"/>
      <c r="BP153" s="164" t="str">
        <f t="shared" si="120"/>
        <v>--</v>
      </c>
      <c r="BQ153" s="160">
        <f>IF(Table645[[#This Row],[Column68]]="--",0,Table645[[#This Row],[Column4]]*Table645[[#This Row],[Column68]])</f>
        <v>0</v>
      </c>
      <c r="BR153" s="94"/>
      <c r="BS153" s="91" t="str">
        <f t="shared" si="121"/>
        <v>--</v>
      </c>
      <c r="BT153" s="92">
        <f>IF(Table645[[#This Row],[Column71]]="--",0,Table645[[#This Row],[Column4]]*Table645[[#This Row],[Column71]])</f>
        <v>0</v>
      </c>
      <c r="BU153" s="44"/>
      <c r="BV153" s="90"/>
      <c r="BW153" s="91" t="str">
        <f>IF(BV153=0,"--",(Table645[[#This Row],[Column73]]*$BV$4*(IF(J153&lt;0.5001,1,IF(J153&lt;2.0001,2,3)))+BV153/$BV$3)/60/24)</f>
        <v>--</v>
      </c>
      <c r="BX153" s="92">
        <f>IF(Table645[[#This Row],[Column75]]="--",0,Table645[[#This Row],[Column4]]*Table645[[#This Row],[Column75]])</f>
        <v>0</v>
      </c>
      <c r="BY153" s="95" t="s">
        <v>70</v>
      </c>
      <c r="BZ153" s="91" t="str">
        <f>IF(Table645[[#This Row],[Column74]]=0,"--",BW153*$BY$3)</f>
        <v>--</v>
      </c>
      <c r="CA153" s="89">
        <f>IF(Table645[[#This Row],[Column78]]="--",0,Table645[[#This Row],[Column4]]*Table645[[#This Row],[Column78]])</f>
        <v>0</v>
      </c>
      <c r="CB153" s="95" t="s">
        <v>70</v>
      </c>
      <c r="CC153" s="91" t="str">
        <f>IF(Table645[[#This Row],[Column10]]+Table645[[#This Row],[Column74]]=0,"--",J153*$CB$4*$CB$5/(24*60)+IF(Table645[[#This Row],[Column74]]=0,0,$CB$3*Table645[[#This Row],[Column75]]))</f>
        <v>--</v>
      </c>
      <c r="CD153" s="92">
        <f>IF(Table645[[#This Row],[Column81]]="--",0,Table645[[#This Row],[Column4]]*Table645[[#This Row],[Column81]])</f>
        <v>0</v>
      </c>
      <c r="CE153" s="215"/>
      <c r="CF153" s="91" t="str">
        <f t="shared" si="85"/>
        <v>--</v>
      </c>
      <c r="CG153" s="92">
        <f>IF(Table645[[#This Row],[Column84]]="--",0,Table645[[#This Row],[Column4]]*Table645[[#This Row],[Column84]])</f>
        <v>0</v>
      </c>
      <c r="CH153" s="226"/>
      <c r="CI153" s="216"/>
      <c r="CJ153" s="91" t="str">
        <f>IF(CI153=0,"--",(Table645[[#This Row],[Column86]]*$CI$4*(IF(W153&lt;0.5001,1,IF(W153&lt;2.0001,2,3)))+CI153/$CI$3)/60/24)</f>
        <v>--</v>
      </c>
      <c r="CK153" s="92">
        <f>IF(Table645[[#This Row],[Column88]]="--",0,Table645[[#This Row],[Column4]]*Table645[[#This Row],[Column88]])</f>
        <v>0</v>
      </c>
      <c r="CL153" s="217"/>
      <c r="CM153" s="91" t="str">
        <f>IF(Table645[[#This Row],[Column87]]=0,"--",CJ153*$CL$3)</f>
        <v>--</v>
      </c>
      <c r="CN153" s="92">
        <f>IF(Table645[[#This Row],[Column91]]="--",0,Table645[[#This Row],[Column4]]*Table645[[#This Row],[Column91]])</f>
        <v>0</v>
      </c>
      <c r="CO153" s="217"/>
      <c r="CP153" s="91" t="str">
        <f>IF(Table645[[#This Row],[Column10]]+Table645[[#This Row],[Column87]]=0, "--", IF($D153="", 1, $D153) * IF($J153="", 1, $J153) * $CO$3 * $CO$4 * IF(Table645[[#This Row],[Column95]]="", 1, Table645[[#This Row],[Column95]]) / (24 * 60))</f>
        <v>--</v>
      </c>
      <c r="CQ153" s="164"/>
      <c r="CR153" s="92">
        <f>IF(Table645[[#This Row],[Column94]]="--",0,Table645[[#This Row],[Column4]]*Table645[[#This Row],[Column94]])</f>
        <v>0</v>
      </c>
      <c r="CS153" s="218" t="str">
        <f>IF(Table645[[#This Row],[Column87]]="","",Table645[[#This Row],[Column87]])</f>
        <v/>
      </c>
      <c r="CT153" s="91" t="str">
        <f>IF(Table645[[#This Row],[Column97]]="","--",Table645[[#This Row],[Column97]]/$CS$3/60/24)</f>
        <v>--</v>
      </c>
      <c r="CU153" s="92">
        <f>IF(Table645[[#This Row],[Column98]]="--",0,Table645[[#This Row],[Column4]]*Table645[[#This Row],[Column98]])</f>
        <v>0</v>
      </c>
      <c r="CV153" s="93"/>
      <c r="CW153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53" s="91" t="str">
        <f>IF(OR(Table645[[#This Row],[Column74]]&gt;0,Table645[[#This Row],[Column87]]&gt;0),(Table645[[#This Row],[Column73]]+Table645[[#This Row],[Column86]]+1)*$CW$3/60/24,"--")</f>
        <v>--</v>
      </c>
      <c r="CY153" s="92">
        <f>IF(Table645[[#This Row],[Column102]]="--",0,Table645[[#This Row],[Column4]]*Table645[[#This Row],[Column102]])</f>
        <v>0</v>
      </c>
      <c r="CZ153" s="158" t="str">
        <f t="shared" si="122"/>
        <v>--</v>
      </c>
      <c r="DA153" s="153"/>
      <c r="DB153" s="160">
        <f>IF(Table645[[#This Row],[Column104]]="--",0,Table645[[#This Row],[Column4]]*Table645[[#This Row],[Column104]])</f>
        <v>0</v>
      </c>
      <c r="DC153" s="219"/>
      <c r="DD153" s="220" t="str">
        <f>IF(DC153=0,"--",1/$DC$3*1000/(60*60*24)*Table645[[#This Row],[Column107]])</f>
        <v>--</v>
      </c>
      <c r="DE153" s="160">
        <f>IF(Table645[[#This Row],[Column108]]="--",0,Table645[[#This Row],[Column4]]*Table645[[#This Row],[Column108]])</f>
        <v>0</v>
      </c>
      <c r="DF153" s="101" t="s">
        <v>70</v>
      </c>
      <c r="DG153" s="91" t="str">
        <f t="shared" si="123"/>
        <v>--</v>
      </c>
      <c r="DH153" s="89">
        <f>IF(Table645[[#This Row],[Column111]]="--",0,Table645[[#This Row],[Column4]]*Table645[[#This Row],[Column111]])</f>
        <v>0</v>
      </c>
      <c r="DI153" s="96"/>
      <c r="DJ153" s="96"/>
      <c r="DK153" s="96"/>
      <c r="DL153" s="96"/>
      <c r="DM153" s="96"/>
      <c r="DN153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53" s="89">
        <f>IF(Table645[[#This Row],[Column118]]="--",0,Table645[[#This Row],[Column4]]*Table645[[#This Row],[Column118]])</f>
        <v>0</v>
      </c>
      <c r="DP153" s="96"/>
      <c r="DQ153" s="96"/>
      <c r="DR153" s="91" t="str">
        <f t="shared" si="124"/>
        <v>--</v>
      </c>
      <c r="DS153" s="89">
        <f>IF(Table645[[#This Row],[Column122]]="--",0,Table645[[#This Row],[Column4]]*Table645[[#This Row],[Column122]])</f>
        <v>0</v>
      </c>
      <c r="DT153" t="str">
        <f>IF(Table645[[#This Row],[Column125]]=0,"--",Table645[[#This Row],[Column125]]*Table645[[#This Row],[Column126]]*Table645[[#This Row],[Column127]]/1000000000)</f>
        <v>--</v>
      </c>
      <c r="DU153" s="53"/>
      <c r="DV153" s="53"/>
      <c r="DW153" s="53"/>
      <c r="DX153" s="91" t="str">
        <f t="shared" si="125"/>
        <v>--</v>
      </c>
      <c r="DY153" s="89">
        <f>IF(Table645[[#This Row],[Column128]]="--",0,Table645[[#This Row],[Column4]]*Table645[[#This Row],[Column128]])</f>
        <v>0</v>
      </c>
      <c r="EA153" s="89">
        <f>IF(Table645[[#This Row],[Column128]]="--",0,Table645[[#This Row],[Column4]]*Table645[[#This Row],[Column128]])</f>
        <v>0</v>
      </c>
      <c r="EC153" s="89">
        <f>IF(Table645[[#This Row],[Column128]]="--",0,Table645[[#This Row],[Column4]]*Table645[[#This Row],[Column128]])</f>
        <v>0</v>
      </c>
      <c r="EE153" s="89">
        <f>IF(Table645[[#This Row],[Column128]]="--",0,Table645[[#This Row],[Column4]]*Table645[[#This Row],[Column128]])</f>
        <v>0</v>
      </c>
      <c r="EG153" s="89">
        <f>IF(Table645[[#This Row],[Column128]]="--",0,Table645[[#This Row],[Column4]]*Table645[[#This Row],[Column128]])</f>
        <v>0</v>
      </c>
      <c r="EI153" s="89">
        <f>IF(Table645[[#This Row],[Column128]]="--",0,Table645[[#This Row],[Column4]]*Table645[[#This Row],[Column128]])</f>
        <v>0</v>
      </c>
    </row>
    <row r="154" spans="1:139" x14ac:dyDescent="0.25">
      <c r="A154" s="140"/>
      <c r="B154" s="79"/>
      <c r="C154" s="140"/>
      <c r="D154" s="167"/>
      <c r="E154" s="52"/>
      <c r="F154" s="81"/>
      <c r="G154" s="81"/>
      <c r="H154" s="102" t="str">
        <f t="shared" si="116"/>
        <v>--</v>
      </c>
      <c r="I154" s="100">
        <f>IF(Table645[[#This Row],[Column8]]="--",0,Table645[[#This Row],[Column4]]*Table645[[#This Row],[Column8]])</f>
        <v>0</v>
      </c>
      <c r="J154" s="169"/>
      <c r="K154" s="85">
        <f>Table645[[#This Row],[Column4]]*Table645[[#This Row],[Column10]]</f>
        <v>0</v>
      </c>
      <c r="L154" s="170" t="str">
        <f t="shared" si="117"/>
        <v>--</v>
      </c>
      <c r="M154" s="214">
        <f>IF(Table645[[#This Row],[Column10]]=0,0,Table645[[#This Row],[Column4]]*Table645[[#This Row],[Column12]])</f>
        <v>0</v>
      </c>
      <c r="N154" s="87" t="str">
        <f t="shared" si="118"/>
        <v>--</v>
      </c>
      <c r="O154" s="138"/>
      <c r="AZ154" s="89">
        <f>IF(Table645[[#This Row],[Column14]]="--",0,Table645[[#This Row],[Column4]]*Table645[[#This Row],[Column14]])</f>
        <v>0</v>
      </c>
      <c r="BA154" s="90"/>
      <c r="BB154" s="91" t="str">
        <f>IF(BA154=0,"--",BA154*$BA$3*IF(Table645[[#This Row],[Column5]]&lt;4.1,1,2)/60/24)</f>
        <v>--</v>
      </c>
      <c r="BC154" s="92">
        <f>IF(Table645[[#This Row],[Column54]]="--",0,Table645[[#This Row],[Column4]]*Table645[[#This Row],[Column54]])</f>
        <v>0</v>
      </c>
      <c r="BD154" s="119"/>
      <c r="BE154" s="119"/>
      <c r="BF154" s="119"/>
      <c r="BG154" s="91" t="str">
        <f>IF(BD154+Table645[[#This Row],[Column58]]=0,"--",(BD154*$BF$3*Table645[[#This Row],[Column57]]+Table645[[#This Row],[Column58]]*$BF$4)/60/24)</f>
        <v>--</v>
      </c>
      <c r="BH154" s="92">
        <f>IF(Table645[[#This Row],[Column59]]="--",0,Table645[[#This Row],[Column4]]*Table645[[#This Row],[Column59]])</f>
        <v>0</v>
      </c>
      <c r="BI154" s="119"/>
      <c r="BJ154" s="91" t="str">
        <f t="shared" si="84"/>
        <v>--</v>
      </c>
      <c r="BK154" s="92">
        <f>IF(Table645[[#This Row],[Column62]]="--",0,Table645[[#This Row],[Column4]]*Table645[[#This Row],[Column62]])</f>
        <v>0</v>
      </c>
      <c r="BL154" s="93"/>
      <c r="BM154" s="91" t="str">
        <f t="shared" si="119"/>
        <v>--</v>
      </c>
      <c r="BN154" s="89">
        <f>IF(Table645[[#This Row],[Column65]]="--",0,Table645[[#This Row],[Column4]]*Table645[[#This Row],[Column65]])</f>
        <v>0</v>
      </c>
      <c r="BO154" s="163"/>
      <c r="BP154" s="164" t="str">
        <f t="shared" si="120"/>
        <v>--</v>
      </c>
      <c r="BQ154" s="160">
        <f>IF(Table645[[#This Row],[Column68]]="--",0,Table645[[#This Row],[Column4]]*Table645[[#This Row],[Column68]])</f>
        <v>0</v>
      </c>
      <c r="BR154" s="94"/>
      <c r="BS154" s="91" t="str">
        <f t="shared" si="121"/>
        <v>--</v>
      </c>
      <c r="BT154" s="92">
        <f>IF(Table645[[#This Row],[Column71]]="--",0,Table645[[#This Row],[Column4]]*Table645[[#This Row],[Column71]])</f>
        <v>0</v>
      </c>
      <c r="BU154" s="44"/>
      <c r="BV154" s="90"/>
      <c r="BW154" s="91" t="str">
        <f>IF(BV154=0,"--",(Table645[[#This Row],[Column73]]*$BV$4*(IF(J154&lt;0.5001,1,IF(J154&lt;2.0001,2,3)))+BV154/$BV$3)/60/24)</f>
        <v>--</v>
      </c>
      <c r="BX154" s="92">
        <f>IF(Table645[[#This Row],[Column75]]="--",0,Table645[[#This Row],[Column4]]*Table645[[#This Row],[Column75]])</f>
        <v>0</v>
      </c>
      <c r="BY154" s="95" t="s">
        <v>70</v>
      </c>
      <c r="BZ154" s="91" t="str">
        <f>IF(Table645[[#This Row],[Column74]]=0,"--",BW154*$BY$3)</f>
        <v>--</v>
      </c>
      <c r="CA154" s="89">
        <f>IF(Table645[[#This Row],[Column78]]="--",0,Table645[[#This Row],[Column4]]*Table645[[#This Row],[Column78]])</f>
        <v>0</v>
      </c>
      <c r="CB154" s="95" t="s">
        <v>70</v>
      </c>
      <c r="CC154" s="91" t="str">
        <f>IF(Table645[[#This Row],[Column10]]+Table645[[#This Row],[Column74]]=0,"--",J154*$CB$4*$CB$5/(24*60)+IF(Table645[[#This Row],[Column74]]=0,0,$CB$3*Table645[[#This Row],[Column75]]))</f>
        <v>--</v>
      </c>
      <c r="CD154" s="92">
        <f>IF(Table645[[#This Row],[Column81]]="--",0,Table645[[#This Row],[Column4]]*Table645[[#This Row],[Column81]])</f>
        <v>0</v>
      </c>
      <c r="CE154" s="215"/>
      <c r="CF154" s="91" t="str">
        <f t="shared" si="85"/>
        <v>--</v>
      </c>
      <c r="CG154" s="92">
        <f>IF(Table645[[#This Row],[Column84]]="--",0,Table645[[#This Row],[Column4]]*Table645[[#This Row],[Column84]])</f>
        <v>0</v>
      </c>
      <c r="CH154" s="226"/>
      <c r="CI154" s="216"/>
      <c r="CJ154" s="91" t="str">
        <f>IF(CI154=0,"--",(Table645[[#This Row],[Column86]]*$CI$4*(IF(W154&lt;0.5001,1,IF(W154&lt;2.0001,2,3)))+CI154/$CI$3)/60/24)</f>
        <v>--</v>
      </c>
      <c r="CK154" s="92">
        <f>IF(Table645[[#This Row],[Column88]]="--",0,Table645[[#This Row],[Column4]]*Table645[[#This Row],[Column88]])</f>
        <v>0</v>
      </c>
      <c r="CL154" s="217"/>
      <c r="CM154" s="91" t="str">
        <f>IF(Table645[[#This Row],[Column87]]=0,"--",CJ154*$CL$3)</f>
        <v>--</v>
      </c>
      <c r="CN154" s="92">
        <f>IF(Table645[[#This Row],[Column91]]="--",0,Table645[[#This Row],[Column4]]*Table645[[#This Row],[Column91]])</f>
        <v>0</v>
      </c>
      <c r="CO154" s="217"/>
      <c r="CP154" s="91" t="str">
        <f>IF(Table645[[#This Row],[Column10]]+Table645[[#This Row],[Column87]]=0, "--", IF($D154="", 1, $D154) * IF($J154="", 1, $J154) * $CO$3 * $CO$4 * IF(Table645[[#This Row],[Column95]]="", 1, Table645[[#This Row],[Column95]]) / (24 * 60))</f>
        <v>--</v>
      </c>
      <c r="CQ154" s="164"/>
      <c r="CR154" s="92">
        <f>IF(Table645[[#This Row],[Column94]]="--",0,Table645[[#This Row],[Column4]]*Table645[[#This Row],[Column94]])</f>
        <v>0</v>
      </c>
      <c r="CS154" s="218" t="str">
        <f>IF(Table645[[#This Row],[Column87]]="","",Table645[[#This Row],[Column87]])</f>
        <v/>
      </c>
      <c r="CT154" s="91" t="str">
        <f>IF(Table645[[#This Row],[Column97]]="","--",Table645[[#This Row],[Column97]]/$CS$3/60/24)</f>
        <v>--</v>
      </c>
      <c r="CU154" s="92">
        <f>IF(Table645[[#This Row],[Column98]]="--",0,Table645[[#This Row],[Column4]]*Table645[[#This Row],[Column98]])</f>
        <v>0</v>
      </c>
      <c r="CV154" s="93"/>
      <c r="CW154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54" s="91" t="str">
        <f>IF(OR(Table645[[#This Row],[Column74]]&gt;0,Table645[[#This Row],[Column87]]&gt;0),(Table645[[#This Row],[Column73]]+Table645[[#This Row],[Column86]]+1)*$CW$3/60/24,"--")</f>
        <v>--</v>
      </c>
      <c r="CY154" s="92">
        <f>IF(Table645[[#This Row],[Column102]]="--",0,Table645[[#This Row],[Column4]]*Table645[[#This Row],[Column102]])</f>
        <v>0</v>
      </c>
      <c r="CZ154" s="158" t="str">
        <f t="shared" si="122"/>
        <v>--</v>
      </c>
      <c r="DA154" s="153"/>
      <c r="DB154" s="160">
        <f>IF(Table645[[#This Row],[Column104]]="--",0,Table645[[#This Row],[Column4]]*Table645[[#This Row],[Column104]])</f>
        <v>0</v>
      </c>
      <c r="DC154" s="219"/>
      <c r="DD154" s="220" t="str">
        <f>IF(DC154=0,"--",1/$DC$3*1000/(60*60*24)*Table645[[#This Row],[Column107]])</f>
        <v>--</v>
      </c>
      <c r="DE154" s="160">
        <f>IF(Table645[[#This Row],[Column108]]="--",0,Table645[[#This Row],[Column4]]*Table645[[#This Row],[Column108]])</f>
        <v>0</v>
      </c>
      <c r="DF154" s="101" t="s">
        <v>70</v>
      </c>
      <c r="DG154" s="91" t="str">
        <f t="shared" si="123"/>
        <v>--</v>
      </c>
      <c r="DH154" s="89">
        <f>IF(Table645[[#This Row],[Column111]]="--",0,Table645[[#This Row],[Column4]]*Table645[[#This Row],[Column111]])</f>
        <v>0</v>
      </c>
      <c r="DI154" s="96"/>
      <c r="DJ154" s="96"/>
      <c r="DK154" s="96"/>
      <c r="DL154" s="96"/>
      <c r="DM154" s="96"/>
      <c r="DN154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54" s="89">
        <f>IF(Table645[[#This Row],[Column118]]="--",0,Table645[[#This Row],[Column4]]*Table645[[#This Row],[Column118]])</f>
        <v>0</v>
      </c>
      <c r="DP154" s="96"/>
      <c r="DQ154" s="96"/>
      <c r="DR154" s="91" t="str">
        <f t="shared" si="124"/>
        <v>--</v>
      </c>
      <c r="DS154" s="89">
        <f>IF(Table645[[#This Row],[Column122]]="--",0,Table645[[#This Row],[Column4]]*Table645[[#This Row],[Column122]])</f>
        <v>0</v>
      </c>
      <c r="DT154" t="str">
        <f>IF(Table645[[#This Row],[Column125]]=0,"--",Table645[[#This Row],[Column125]]*Table645[[#This Row],[Column126]]*Table645[[#This Row],[Column127]]/1000000000)</f>
        <v>--</v>
      </c>
      <c r="DU154" s="53"/>
      <c r="DV154" s="53"/>
      <c r="DW154" s="53"/>
      <c r="DX154" s="91" t="str">
        <f t="shared" si="125"/>
        <v>--</v>
      </c>
      <c r="DY154" s="89">
        <f>IF(Table645[[#This Row],[Column128]]="--",0,Table645[[#This Row],[Column4]]*Table645[[#This Row],[Column128]])</f>
        <v>0</v>
      </c>
      <c r="EA154" s="89">
        <f>IF(Table645[[#This Row],[Column128]]="--",0,Table645[[#This Row],[Column4]]*Table645[[#This Row],[Column128]])</f>
        <v>0</v>
      </c>
      <c r="EC154" s="89">
        <f>IF(Table645[[#This Row],[Column128]]="--",0,Table645[[#This Row],[Column4]]*Table645[[#This Row],[Column128]])</f>
        <v>0</v>
      </c>
      <c r="EE154" s="89">
        <f>IF(Table645[[#This Row],[Column128]]="--",0,Table645[[#This Row],[Column4]]*Table645[[#This Row],[Column128]])</f>
        <v>0</v>
      </c>
      <c r="EG154" s="89">
        <f>IF(Table645[[#This Row],[Column128]]="--",0,Table645[[#This Row],[Column4]]*Table645[[#This Row],[Column128]])</f>
        <v>0</v>
      </c>
      <c r="EI154" s="89">
        <f>IF(Table645[[#This Row],[Column128]]="--",0,Table645[[#This Row],[Column4]]*Table645[[#This Row],[Column128]])</f>
        <v>0</v>
      </c>
    </row>
    <row r="155" spans="1:139" x14ac:dyDescent="0.25">
      <c r="A155" s="140"/>
      <c r="B155" s="79"/>
      <c r="C155" s="140"/>
      <c r="D155" s="167"/>
      <c r="E155" s="52"/>
      <c r="F155" s="81"/>
      <c r="G155" s="81"/>
      <c r="H155" s="102" t="str">
        <f t="shared" si="116"/>
        <v>--</v>
      </c>
      <c r="I155" s="100">
        <f>IF(Table645[[#This Row],[Column8]]="--",0,Table645[[#This Row],[Column4]]*Table645[[#This Row],[Column8]])</f>
        <v>0</v>
      </c>
      <c r="J155" s="169"/>
      <c r="K155" s="85">
        <f>Table645[[#This Row],[Column4]]*Table645[[#This Row],[Column10]]</f>
        <v>0</v>
      </c>
      <c r="L155" s="170" t="str">
        <f t="shared" si="117"/>
        <v>--</v>
      </c>
      <c r="M155" s="214">
        <f>IF(Table645[[#This Row],[Column10]]=0,0,Table645[[#This Row],[Column4]]*Table645[[#This Row],[Column12]])</f>
        <v>0</v>
      </c>
      <c r="N155" s="87" t="str">
        <f t="shared" si="118"/>
        <v>--</v>
      </c>
      <c r="O155" s="138"/>
      <c r="AZ155" s="89">
        <f>IF(Table645[[#This Row],[Column14]]="--",0,Table645[[#This Row],[Column4]]*Table645[[#This Row],[Column14]])</f>
        <v>0</v>
      </c>
      <c r="BA155" s="90"/>
      <c r="BB155" s="91" t="str">
        <f>IF(BA155=0,"--",BA155*$BA$3*IF(Table645[[#This Row],[Column5]]&lt;4.1,1,2)/60/24)</f>
        <v>--</v>
      </c>
      <c r="BC155" s="92">
        <f>IF(Table645[[#This Row],[Column54]]="--",0,Table645[[#This Row],[Column4]]*Table645[[#This Row],[Column54]])</f>
        <v>0</v>
      </c>
      <c r="BD155" s="119"/>
      <c r="BE155" s="119"/>
      <c r="BF155" s="119"/>
      <c r="BG155" s="91" t="str">
        <f>IF(BD155+Table645[[#This Row],[Column58]]=0,"--",(BD155*$BF$3*Table645[[#This Row],[Column57]]+Table645[[#This Row],[Column58]]*$BF$4)/60/24)</f>
        <v>--</v>
      </c>
      <c r="BH155" s="92">
        <f>IF(Table645[[#This Row],[Column59]]="--",0,Table645[[#This Row],[Column4]]*Table645[[#This Row],[Column59]])</f>
        <v>0</v>
      </c>
      <c r="BI155" s="119"/>
      <c r="BJ155" s="91" t="str">
        <f t="shared" si="84"/>
        <v>--</v>
      </c>
      <c r="BK155" s="92">
        <f>IF(Table645[[#This Row],[Column62]]="--",0,Table645[[#This Row],[Column4]]*Table645[[#This Row],[Column62]])</f>
        <v>0</v>
      </c>
      <c r="BL155" s="93"/>
      <c r="BM155" s="91" t="str">
        <f t="shared" si="119"/>
        <v>--</v>
      </c>
      <c r="BN155" s="89">
        <f>IF(Table645[[#This Row],[Column65]]="--",0,Table645[[#This Row],[Column4]]*Table645[[#This Row],[Column65]])</f>
        <v>0</v>
      </c>
      <c r="BO155" s="163"/>
      <c r="BP155" s="164" t="str">
        <f t="shared" si="120"/>
        <v>--</v>
      </c>
      <c r="BQ155" s="160">
        <f>IF(Table645[[#This Row],[Column68]]="--",0,Table645[[#This Row],[Column4]]*Table645[[#This Row],[Column68]])</f>
        <v>0</v>
      </c>
      <c r="BR155" s="94"/>
      <c r="BS155" s="91" t="str">
        <f t="shared" si="121"/>
        <v>--</v>
      </c>
      <c r="BT155" s="92">
        <f>IF(Table645[[#This Row],[Column71]]="--",0,Table645[[#This Row],[Column4]]*Table645[[#This Row],[Column71]])</f>
        <v>0</v>
      </c>
      <c r="BU155" s="44"/>
      <c r="BV155" s="90"/>
      <c r="BW155" s="91" t="str">
        <f>IF(BV155=0,"--",(Table645[[#This Row],[Column73]]*$BV$4*(IF(J155&lt;0.5001,1,IF(J155&lt;2.0001,2,3)))+BV155/$BV$3)/60/24)</f>
        <v>--</v>
      </c>
      <c r="BX155" s="92">
        <f>IF(Table645[[#This Row],[Column75]]="--",0,Table645[[#This Row],[Column4]]*Table645[[#This Row],[Column75]])</f>
        <v>0</v>
      </c>
      <c r="BY155" s="95" t="s">
        <v>70</v>
      </c>
      <c r="BZ155" s="91" t="str">
        <f>IF(Table645[[#This Row],[Column74]]=0,"--",BW155*$BY$3)</f>
        <v>--</v>
      </c>
      <c r="CA155" s="89">
        <f>IF(Table645[[#This Row],[Column78]]="--",0,Table645[[#This Row],[Column4]]*Table645[[#This Row],[Column78]])</f>
        <v>0</v>
      </c>
      <c r="CB155" s="95" t="s">
        <v>70</v>
      </c>
      <c r="CC155" s="91" t="str">
        <f>IF(Table645[[#This Row],[Column10]]+Table645[[#This Row],[Column74]]=0,"--",J155*$CB$4*$CB$5/(24*60)+IF(Table645[[#This Row],[Column74]]=0,0,$CB$3*Table645[[#This Row],[Column75]]))</f>
        <v>--</v>
      </c>
      <c r="CD155" s="92">
        <f>IF(Table645[[#This Row],[Column81]]="--",0,Table645[[#This Row],[Column4]]*Table645[[#This Row],[Column81]])</f>
        <v>0</v>
      </c>
      <c r="CE155" s="215"/>
      <c r="CF155" s="91" t="str">
        <f t="shared" si="85"/>
        <v>--</v>
      </c>
      <c r="CG155" s="92">
        <f>IF(Table645[[#This Row],[Column84]]="--",0,Table645[[#This Row],[Column4]]*Table645[[#This Row],[Column84]])</f>
        <v>0</v>
      </c>
      <c r="CH155" s="226"/>
      <c r="CI155" s="216"/>
      <c r="CJ155" s="91" t="str">
        <f>IF(CI155=0,"--",(Table645[[#This Row],[Column86]]*$CI$4*(IF(W155&lt;0.5001,1,IF(W155&lt;2.0001,2,3)))+CI155/$CI$3)/60/24)</f>
        <v>--</v>
      </c>
      <c r="CK155" s="92">
        <f>IF(Table645[[#This Row],[Column88]]="--",0,Table645[[#This Row],[Column4]]*Table645[[#This Row],[Column88]])</f>
        <v>0</v>
      </c>
      <c r="CL155" s="217"/>
      <c r="CM155" s="91" t="str">
        <f>IF(Table645[[#This Row],[Column87]]=0,"--",CJ155*$CL$3)</f>
        <v>--</v>
      </c>
      <c r="CN155" s="92">
        <f>IF(Table645[[#This Row],[Column91]]="--",0,Table645[[#This Row],[Column4]]*Table645[[#This Row],[Column91]])</f>
        <v>0</v>
      </c>
      <c r="CO155" s="217"/>
      <c r="CP155" s="91" t="str">
        <f>IF(Table645[[#This Row],[Column10]]+Table645[[#This Row],[Column87]]=0, "--", IF($D155="", 1, $D155) * IF($J155="", 1, $J155) * $CO$3 * $CO$4 * IF(Table645[[#This Row],[Column95]]="", 1, Table645[[#This Row],[Column95]]) / (24 * 60))</f>
        <v>--</v>
      </c>
      <c r="CQ155" s="164"/>
      <c r="CR155" s="92">
        <f>IF(Table645[[#This Row],[Column94]]="--",0,Table645[[#This Row],[Column4]]*Table645[[#This Row],[Column94]])</f>
        <v>0</v>
      </c>
      <c r="CS155" s="218" t="str">
        <f>IF(Table645[[#This Row],[Column87]]="","",Table645[[#This Row],[Column87]])</f>
        <v/>
      </c>
      <c r="CT155" s="91" t="str">
        <f>IF(Table645[[#This Row],[Column97]]="","--",Table645[[#This Row],[Column97]]/$CS$3/60/24)</f>
        <v>--</v>
      </c>
      <c r="CU155" s="92">
        <f>IF(Table645[[#This Row],[Column98]]="--",0,Table645[[#This Row],[Column4]]*Table645[[#This Row],[Column98]])</f>
        <v>0</v>
      </c>
      <c r="CV155" s="93"/>
      <c r="CW155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55" s="91" t="str">
        <f>IF(OR(Table645[[#This Row],[Column74]]&gt;0,Table645[[#This Row],[Column87]]&gt;0),(Table645[[#This Row],[Column73]]+Table645[[#This Row],[Column86]]+1)*$CW$3/60/24,"--")</f>
        <v>--</v>
      </c>
      <c r="CY155" s="92">
        <f>IF(Table645[[#This Row],[Column102]]="--",0,Table645[[#This Row],[Column4]]*Table645[[#This Row],[Column102]])</f>
        <v>0</v>
      </c>
      <c r="CZ155" s="158" t="str">
        <f t="shared" si="122"/>
        <v>--</v>
      </c>
      <c r="DA155" s="153"/>
      <c r="DB155" s="160">
        <f>IF(Table645[[#This Row],[Column104]]="--",0,Table645[[#This Row],[Column4]]*Table645[[#This Row],[Column104]])</f>
        <v>0</v>
      </c>
      <c r="DC155" s="219"/>
      <c r="DD155" s="220" t="str">
        <f>IF(DC155=0,"--",1/$DC$3*1000/(60*60*24)*Table645[[#This Row],[Column107]])</f>
        <v>--</v>
      </c>
      <c r="DE155" s="160">
        <f>IF(Table645[[#This Row],[Column108]]="--",0,Table645[[#This Row],[Column4]]*Table645[[#This Row],[Column108]])</f>
        <v>0</v>
      </c>
      <c r="DF155" s="101" t="s">
        <v>70</v>
      </c>
      <c r="DG155" s="91" t="str">
        <f t="shared" si="123"/>
        <v>--</v>
      </c>
      <c r="DH155" s="89">
        <f>IF(Table645[[#This Row],[Column111]]="--",0,Table645[[#This Row],[Column4]]*Table645[[#This Row],[Column111]])</f>
        <v>0</v>
      </c>
      <c r="DI155" s="96"/>
      <c r="DJ155" s="96"/>
      <c r="DK155" s="96"/>
      <c r="DL155" s="96"/>
      <c r="DM155" s="96"/>
      <c r="DN155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55" s="89">
        <f>IF(Table645[[#This Row],[Column118]]="--",0,Table645[[#This Row],[Column4]]*Table645[[#This Row],[Column118]])</f>
        <v>0</v>
      </c>
      <c r="DP155" s="96"/>
      <c r="DQ155" s="96"/>
      <c r="DR155" s="91" t="str">
        <f t="shared" si="124"/>
        <v>--</v>
      </c>
      <c r="DS155" s="89">
        <f>IF(Table645[[#This Row],[Column122]]="--",0,Table645[[#This Row],[Column4]]*Table645[[#This Row],[Column122]])</f>
        <v>0</v>
      </c>
      <c r="DT155" t="str">
        <f>IF(Table645[[#This Row],[Column125]]=0,"--",Table645[[#This Row],[Column125]]*Table645[[#This Row],[Column126]]*Table645[[#This Row],[Column127]]/1000000000)</f>
        <v>--</v>
      </c>
      <c r="DU155" s="53"/>
      <c r="DV155" s="53"/>
      <c r="DW155" s="53"/>
      <c r="DX155" s="91" t="str">
        <f t="shared" si="125"/>
        <v>--</v>
      </c>
      <c r="DY155" s="89">
        <f>IF(Table645[[#This Row],[Column128]]="--",0,Table645[[#This Row],[Column4]]*Table645[[#This Row],[Column128]])</f>
        <v>0</v>
      </c>
      <c r="EA155" s="89">
        <f>IF(Table645[[#This Row],[Column128]]="--",0,Table645[[#This Row],[Column4]]*Table645[[#This Row],[Column128]])</f>
        <v>0</v>
      </c>
      <c r="EC155" s="89">
        <f>IF(Table645[[#This Row],[Column128]]="--",0,Table645[[#This Row],[Column4]]*Table645[[#This Row],[Column128]])</f>
        <v>0</v>
      </c>
      <c r="EE155" s="89">
        <f>IF(Table645[[#This Row],[Column128]]="--",0,Table645[[#This Row],[Column4]]*Table645[[#This Row],[Column128]])</f>
        <v>0</v>
      </c>
      <c r="EG155" s="89">
        <f>IF(Table645[[#This Row],[Column128]]="--",0,Table645[[#This Row],[Column4]]*Table645[[#This Row],[Column128]])</f>
        <v>0</v>
      </c>
      <c r="EI155" s="89">
        <f>IF(Table645[[#This Row],[Column128]]="--",0,Table645[[#This Row],[Column4]]*Table645[[#This Row],[Column128]])</f>
        <v>0</v>
      </c>
    </row>
    <row r="156" spans="1:139" x14ac:dyDescent="0.25">
      <c r="A156" s="140"/>
      <c r="B156" s="79"/>
      <c r="C156" s="140"/>
      <c r="D156" s="167"/>
      <c r="E156" s="52"/>
      <c r="F156" s="81"/>
      <c r="G156" s="81"/>
      <c r="H156" s="102" t="str">
        <f t="shared" si="116"/>
        <v>--</v>
      </c>
      <c r="I156" s="100">
        <f>IF(Table645[[#This Row],[Column8]]="--",0,Table645[[#This Row],[Column4]]*Table645[[#This Row],[Column8]])</f>
        <v>0</v>
      </c>
      <c r="J156" s="169"/>
      <c r="K156" s="85">
        <f>Table645[[#This Row],[Column4]]*Table645[[#This Row],[Column10]]</f>
        <v>0</v>
      </c>
      <c r="L156" s="170" t="str">
        <f t="shared" si="117"/>
        <v>--</v>
      </c>
      <c r="M156" s="214">
        <f>IF(Table645[[#This Row],[Column10]]=0,0,Table645[[#This Row],[Column4]]*Table645[[#This Row],[Column12]])</f>
        <v>0</v>
      </c>
      <c r="N156" s="87" t="str">
        <f t="shared" si="118"/>
        <v>--</v>
      </c>
      <c r="O156" s="138"/>
      <c r="AZ156" s="89">
        <f>IF(Table645[[#This Row],[Column14]]="--",0,Table645[[#This Row],[Column4]]*Table645[[#This Row],[Column14]])</f>
        <v>0</v>
      </c>
      <c r="BA156" s="90"/>
      <c r="BB156" s="91" t="str">
        <f>IF(BA156=0,"--",BA156*$BA$3*IF(Table645[[#This Row],[Column5]]&lt;4.1,1,2)/60/24)</f>
        <v>--</v>
      </c>
      <c r="BC156" s="92">
        <f>IF(Table645[[#This Row],[Column54]]="--",0,Table645[[#This Row],[Column4]]*Table645[[#This Row],[Column54]])</f>
        <v>0</v>
      </c>
      <c r="BD156" s="119"/>
      <c r="BE156" s="119"/>
      <c r="BF156" s="119"/>
      <c r="BG156" s="91" t="str">
        <f>IF(BD156+Table645[[#This Row],[Column58]]=0,"--",(BD156*$BF$3*Table645[[#This Row],[Column57]]+Table645[[#This Row],[Column58]]*$BF$4)/60/24)</f>
        <v>--</v>
      </c>
      <c r="BH156" s="92">
        <f>IF(Table645[[#This Row],[Column59]]="--",0,Table645[[#This Row],[Column4]]*Table645[[#This Row],[Column59]])</f>
        <v>0</v>
      </c>
      <c r="BI156" s="119"/>
      <c r="BJ156" s="91" t="str">
        <f t="shared" si="84"/>
        <v>--</v>
      </c>
      <c r="BK156" s="92">
        <f>IF(Table645[[#This Row],[Column62]]="--",0,Table645[[#This Row],[Column4]]*Table645[[#This Row],[Column62]])</f>
        <v>0</v>
      </c>
      <c r="BL156" s="93"/>
      <c r="BM156" s="91" t="str">
        <f t="shared" si="119"/>
        <v>--</v>
      </c>
      <c r="BN156" s="89">
        <f>IF(Table645[[#This Row],[Column65]]="--",0,Table645[[#This Row],[Column4]]*Table645[[#This Row],[Column65]])</f>
        <v>0</v>
      </c>
      <c r="BO156" s="163"/>
      <c r="BP156" s="164" t="str">
        <f t="shared" si="120"/>
        <v>--</v>
      </c>
      <c r="BQ156" s="160">
        <f>IF(Table645[[#This Row],[Column68]]="--",0,Table645[[#This Row],[Column4]]*Table645[[#This Row],[Column68]])</f>
        <v>0</v>
      </c>
      <c r="BR156" s="94"/>
      <c r="BS156" s="91" t="str">
        <f t="shared" si="121"/>
        <v>--</v>
      </c>
      <c r="BT156" s="92">
        <f>IF(Table645[[#This Row],[Column71]]="--",0,Table645[[#This Row],[Column4]]*Table645[[#This Row],[Column71]])</f>
        <v>0</v>
      </c>
      <c r="BU156" s="44"/>
      <c r="BV156" s="90"/>
      <c r="BW156" s="91" t="str">
        <f>IF(BV156=0,"--",(Table645[[#This Row],[Column73]]*$BV$4*(IF(J156&lt;0.5001,1,IF(J156&lt;2.0001,2,3)))+BV156/$BV$3)/60/24)</f>
        <v>--</v>
      </c>
      <c r="BX156" s="92">
        <f>IF(Table645[[#This Row],[Column75]]="--",0,Table645[[#This Row],[Column4]]*Table645[[#This Row],[Column75]])</f>
        <v>0</v>
      </c>
      <c r="BY156" s="95" t="s">
        <v>70</v>
      </c>
      <c r="BZ156" s="91" t="str">
        <f>IF(Table645[[#This Row],[Column74]]=0,"--",BW156*$BY$3)</f>
        <v>--</v>
      </c>
      <c r="CA156" s="89">
        <f>IF(Table645[[#This Row],[Column78]]="--",0,Table645[[#This Row],[Column4]]*Table645[[#This Row],[Column78]])</f>
        <v>0</v>
      </c>
      <c r="CB156" s="95" t="s">
        <v>70</v>
      </c>
      <c r="CC156" s="91" t="str">
        <f>IF(Table645[[#This Row],[Column10]]+Table645[[#This Row],[Column74]]=0,"--",J156*$CB$4*$CB$5/(24*60)+IF(Table645[[#This Row],[Column74]]=0,0,$CB$3*Table645[[#This Row],[Column75]]))</f>
        <v>--</v>
      </c>
      <c r="CD156" s="92">
        <f>IF(Table645[[#This Row],[Column81]]="--",0,Table645[[#This Row],[Column4]]*Table645[[#This Row],[Column81]])</f>
        <v>0</v>
      </c>
      <c r="CE156" s="215"/>
      <c r="CF156" s="91" t="str">
        <f t="shared" si="85"/>
        <v>--</v>
      </c>
      <c r="CG156" s="92">
        <f>IF(Table645[[#This Row],[Column84]]="--",0,Table645[[#This Row],[Column4]]*Table645[[#This Row],[Column84]])</f>
        <v>0</v>
      </c>
      <c r="CH156" s="226"/>
      <c r="CI156" s="216"/>
      <c r="CJ156" s="91" t="str">
        <f>IF(CI156=0,"--",(Table645[[#This Row],[Column86]]*$CI$4*(IF(W156&lt;0.5001,1,IF(W156&lt;2.0001,2,3)))+CI156/$CI$3)/60/24)</f>
        <v>--</v>
      </c>
      <c r="CK156" s="92">
        <f>IF(Table645[[#This Row],[Column88]]="--",0,Table645[[#This Row],[Column4]]*Table645[[#This Row],[Column88]])</f>
        <v>0</v>
      </c>
      <c r="CL156" s="217"/>
      <c r="CM156" s="91" t="str">
        <f>IF(Table645[[#This Row],[Column87]]=0,"--",CJ156*$CL$3)</f>
        <v>--</v>
      </c>
      <c r="CN156" s="92">
        <f>IF(Table645[[#This Row],[Column91]]="--",0,Table645[[#This Row],[Column4]]*Table645[[#This Row],[Column91]])</f>
        <v>0</v>
      </c>
      <c r="CO156" s="217"/>
      <c r="CP156" s="91" t="str">
        <f>IF(Table645[[#This Row],[Column10]]+Table645[[#This Row],[Column87]]=0, "--", IF($D156="", 1, $D156) * IF($J156="", 1, $J156) * $CO$3 * $CO$4 * IF(Table645[[#This Row],[Column95]]="", 1, Table645[[#This Row],[Column95]]) / (24 * 60))</f>
        <v>--</v>
      </c>
      <c r="CQ156" s="164"/>
      <c r="CR156" s="92">
        <f>IF(Table645[[#This Row],[Column94]]="--",0,Table645[[#This Row],[Column4]]*Table645[[#This Row],[Column94]])</f>
        <v>0</v>
      </c>
      <c r="CS156" s="218" t="str">
        <f>IF(Table645[[#This Row],[Column87]]="","",Table645[[#This Row],[Column87]])</f>
        <v/>
      </c>
      <c r="CT156" s="91" t="str">
        <f>IF(Table645[[#This Row],[Column97]]="","--",Table645[[#This Row],[Column97]]/$CS$3/60/24)</f>
        <v>--</v>
      </c>
      <c r="CU156" s="92">
        <f>IF(Table645[[#This Row],[Column98]]="--",0,Table645[[#This Row],[Column4]]*Table645[[#This Row],[Column98]])</f>
        <v>0</v>
      </c>
      <c r="CV156" s="93"/>
      <c r="CW156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56" s="91" t="str">
        <f>IF(OR(Table645[[#This Row],[Column74]]&gt;0,Table645[[#This Row],[Column87]]&gt;0),(Table645[[#This Row],[Column73]]+Table645[[#This Row],[Column86]]+1)*$CW$3/60/24,"--")</f>
        <v>--</v>
      </c>
      <c r="CY156" s="92">
        <f>IF(Table645[[#This Row],[Column102]]="--",0,Table645[[#This Row],[Column4]]*Table645[[#This Row],[Column102]])</f>
        <v>0</v>
      </c>
      <c r="CZ156" s="158" t="str">
        <f t="shared" si="122"/>
        <v>--</v>
      </c>
      <c r="DA156" s="153"/>
      <c r="DB156" s="160">
        <f>IF(Table645[[#This Row],[Column104]]="--",0,Table645[[#This Row],[Column4]]*Table645[[#This Row],[Column104]])</f>
        <v>0</v>
      </c>
      <c r="DC156" s="219"/>
      <c r="DD156" s="220" t="str">
        <f>IF(DC156=0,"--",1/$DC$3*1000/(60*60*24)*Table645[[#This Row],[Column107]])</f>
        <v>--</v>
      </c>
      <c r="DE156" s="160">
        <f>IF(Table645[[#This Row],[Column108]]="--",0,Table645[[#This Row],[Column4]]*Table645[[#This Row],[Column108]])</f>
        <v>0</v>
      </c>
      <c r="DF156" s="101" t="s">
        <v>70</v>
      </c>
      <c r="DG156" s="91" t="str">
        <f t="shared" si="123"/>
        <v>--</v>
      </c>
      <c r="DH156" s="89">
        <f>IF(Table645[[#This Row],[Column111]]="--",0,Table645[[#This Row],[Column4]]*Table645[[#This Row],[Column111]])</f>
        <v>0</v>
      </c>
      <c r="DI156" s="96"/>
      <c r="DJ156" s="96"/>
      <c r="DK156" s="96"/>
      <c r="DL156" s="96"/>
      <c r="DM156" s="96"/>
      <c r="DN156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56" s="89">
        <f>IF(Table645[[#This Row],[Column118]]="--",0,Table645[[#This Row],[Column4]]*Table645[[#This Row],[Column118]])</f>
        <v>0</v>
      </c>
      <c r="DP156" s="96"/>
      <c r="DQ156" s="96"/>
      <c r="DR156" s="91" t="str">
        <f t="shared" si="124"/>
        <v>--</v>
      </c>
      <c r="DS156" s="89">
        <f>IF(Table645[[#This Row],[Column122]]="--",0,Table645[[#This Row],[Column4]]*Table645[[#This Row],[Column122]])</f>
        <v>0</v>
      </c>
      <c r="DT156" t="str">
        <f>IF(Table645[[#This Row],[Column125]]=0,"--",Table645[[#This Row],[Column125]]*Table645[[#This Row],[Column126]]*Table645[[#This Row],[Column127]]/1000000000)</f>
        <v>--</v>
      </c>
      <c r="DU156" s="53"/>
      <c r="DV156" s="53"/>
      <c r="DW156" s="53"/>
      <c r="DX156" s="91" t="str">
        <f t="shared" si="125"/>
        <v>--</v>
      </c>
      <c r="DY156" s="89">
        <f>IF(Table645[[#This Row],[Column128]]="--",0,Table645[[#This Row],[Column4]]*Table645[[#This Row],[Column128]])</f>
        <v>0</v>
      </c>
      <c r="EA156" s="89">
        <f>IF(Table645[[#This Row],[Column128]]="--",0,Table645[[#This Row],[Column4]]*Table645[[#This Row],[Column128]])</f>
        <v>0</v>
      </c>
      <c r="EC156" s="89">
        <f>IF(Table645[[#This Row],[Column128]]="--",0,Table645[[#This Row],[Column4]]*Table645[[#This Row],[Column128]])</f>
        <v>0</v>
      </c>
      <c r="EE156" s="89">
        <f>IF(Table645[[#This Row],[Column128]]="--",0,Table645[[#This Row],[Column4]]*Table645[[#This Row],[Column128]])</f>
        <v>0</v>
      </c>
      <c r="EG156" s="89">
        <f>IF(Table645[[#This Row],[Column128]]="--",0,Table645[[#This Row],[Column4]]*Table645[[#This Row],[Column128]])</f>
        <v>0</v>
      </c>
      <c r="EI156" s="89">
        <f>IF(Table645[[#This Row],[Column128]]="--",0,Table645[[#This Row],[Column4]]*Table645[[#This Row],[Column128]])</f>
        <v>0</v>
      </c>
    </row>
    <row r="157" spans="1:139" x14ac:dyDescent="0.25">
      <c r="A157" s="140"/>
      <c r="B157" s="79"/>
      <c r="C157" s="140"/>
      <c r="D157" s="167"/>
      <c r="E157" s="52"/>
      <c r="F157" s="81"/>
      <c r="G157" s="81"/>
      <c r="H157" s="102" t="str">
        <f t="shared" si="116"/>
        <v>--</v>
      </c>
      <c r="I157" s="100">
        <f>IF(Table645[[#This Row],[Column8]]="--",0,Table645[[#This Row],[Column4]]*Table645[[#This Row],[Column8]])</f>
        <v>0</v>
      </c>
      <c r="J157" s="169"/>
      <c r="K157" s="85">
        <f>Table645[[#This Row],[Column4]]*Table645[[#This Row],[Column10]]</f>
        <v>0</v>
      </c>
      <c r="L157" s="170" t="str">
        <f t="shared" si="117"/>
        <v>--</v>
      </c>
      <c r="M157" s="214">
        <f>IF(Table645[[#This Row],[Column10]]=0,0,Table645[[#This Row],[Column4]]*Table645[[#This Row],[Column12]])</f>
        <v>0</v>
      </c>
      <c r="N157" s="87" t="str">
        <f t="shared" si="118"/>
        <v>--</v>
      </c>
      <c r="O157" s="138"/>
      <c r="AZ157" s="89">
        <f>IF(Table645[[#This Row],[Column14]]="--",0,Table645[[#This Row],[Column4]]*Table645[[#This Row],[Column14]])</f>
        <v>0</v>
      </c>
      <c r="BA157" s="90"/>
      <c r="BB157" s="91" t="str">
        <f>IF(BA157=0,"--",BA157*$BA$3*IF(Table645[[#This Row],[Column5]]&lt;4.1,1,2)/60/24)</f>
        <v>--</v>
      </c>
      <c r="BC157" s="92">
        <f>IF(Table645[[#This Row],[Column54]]="--",0,Table645[[#This Row],[Column4]]*Table645[[#This Row],[Column54]])</f>
        <v>0</v>
      </c>
      <c r="BD157" s="119"/>
      <c r="BE157" s="119"/>
      <c r="BF157" s="119"/>
      <c r="BG157" s="91" t="str">
        <f>IF(BD157+Table645[[#This Row],[Column58]]=0,"--",(BD157*$BF$3*Table645[[#This Row],[Column57]]+Table645[[#This Row],[Column58]]*$BF$4)/60/24)</f>
        <v>--</v>
      </c>
      <c r="BH157" s="92">
        <f>IF(Table645[[#This Row],[Column59]]="--",0,Table645[[#This Row],[Column4]]*Table645[[#This Row],[Column59]])</f>
        <v>0</v>
      </c>
      <c r="BI157" s="119"/>
      <c r="BJ157" s="91" t="str">
        <f t="shared" si="84"/>
        <v>--</v>
      </c>
      <c r="BK157" s="92">
        <f>IF(Table645[[#This Row],[Column62]]="--",0,Table645[[#This Row],[Column4]]*Table645[[#This Row],[Column62]])</f>
        <v>0</v>
      </c>
      <c r="BL157" s="93"/>
      <c r="BM157" s="91" t="str">
        <f t="shared" si="119"/>
        <v>--</v>
      </c>
      <c r="BN157" s="89">
        <f>IF(Table645[[#This Row],[Column65]]="--",0,Table645[[#This Row],[Column4]]*Table645[[#This Row],[Column65]])</f>
        <v>0</v>
      </c>
      <c r="BO157" s="163"/>
      <c r="BP157" s="164" t="str">
        <f t="shared" si="120"/>
        <v>--</v>
      </c>
      <c r="BQ157" s="160">
        <f>IF(Table645[[#This Row],[Column68]]="--",0,Table645[[#This Row],[Column4]]*Table645[[#This Row],[Column68]])</f>
        <v>0</v>
      </c>
      <c r="BR157" s="94"/>
      <c r="BS157" s="91" t="str">
        <f t="shared" si="121"/>
        <v>--</v>
      </c>
      <c r="BT157" s="92">
        <f>IF(Table645[[#This Row],[Column71]]="--",0,Table645[[#This Row],[Column4]]*Table645[[#This Row],[Column71]])</f>
        <v>0</v>
      </c>
      <c r="BU157" s="44"/>
      <c r="BV157" s="90"/>
      <c r="BW157" s="91" t="str">
        <f>IF(BV157=0,"--",(Table645[[#This Row],[Column73]]*$BV$4*(IF(J157&lt;0.5001,1,IF(J157&lt;2.0001,2,3)))+BV157/$BV$3)/60/24)</f>
        <v>--</v>
      </c>
      <c r="BX157" s="92">
        <f>IF(Table645[[#This Row],[Column75]]="--",0,Table645[[#This Row],[Column4]]*Table645[[#This Row],[Column75]])</f>
        <v>0</v>
      </c>
      <c r="BY157" s="95" t="s">
        <v>70</v>
      </c>
      <c r="BZ157" s="91" t="str">
        <f>IF(Table645[[#This Row],[Column74]]=0,"--",BW157*$BY$3)</f>
        <v>--</v>
      </c>
      <c r="CA157" s="89">
        <f>IF(Table645[[#This Row],[Column78]]="--",0,Table645[[#This Row],[Column4]]*Table645[[#This Row],[Column78]])</f>
        <v>0</v>
      </c>
      <c r="CB157" s="95" t="s">
        <v>70</v>
      </c>
      <c r="CC157" s="91" t="str">
        <f>IF(Table645[[#This Row],[Column10]]+Table645[[#This Row],[Column74]]=0,"--",J157*$CB$4*$CB$5/(24*60)+IF(Table645[[#This Row],[Column74]]=0,0,$CB$3*Table645[[#This Row],[Column75]]))</f>
        <v>--</v>
      </c>
      <c r="CD157" s="92">
        <f>IF(Table645[[#This Row],[Column81]]="--",0,Table645[[#This Row],[Column4]]*Table645[[#This Row],[Column81]])</f>
        <v>0</v>
      </c>
      <c r="CE157" s="215"/>
      <c r="CF157" s="91" t="str">
        <f t="shared" si="85"/>
        <v>--</v>
      </c>
      <c r="CG157" s="92">
        <f>IF(Table645[[#This Row],[Column84]]="--",0,Table645[[#This Row],[Column4]]*Table645[[#This Row],[Column84]])</f>
        <v>0</v>
      </c>
      <c r="CH157" s="226"/>
      <c r="CI157" s="216"/>
      <c r="CJ157" s="91" t="str">
        <f>IF(CI157=0,"--",(Table645[[#This Row],[Column86]]*$CI$4*(IF(W157&lt;0.5001,1,IF(W157&lt;2.0001,2,3)))+CI157/$CI$3)/60/24)</f>
        <v>--</v>
      </c>
      <c r="CK157" s="92">
        <f>IF(Table645[[#This Row],[Column88]]="--",0,Table645[[#This Row],[Column4]]*Table645[[#This Row],[Column88]])</f>
        <v>0</v>
      </c>
      <c r="CL157" s="217"/>
      <c r="CM157" s="91" t="str">
        <f>IF(Table645[[#This Row],[Column87]]=0,"--",CJ157*$CL$3)</f>
        <v>--</v>
      </c>
      <c r="CN157" s="92">
        <f>IF(Table645[[#This Row],[Column91]]="--",0,Table645[[#This Row],[Column4]]*Table645[[#This Row],[Column91]])</f>
        <v>0</v>
      </c>
      <c r="CO157" s="217"/>
      <c r="CP157" s="91" t="str">
        <f>IF(Table645[[#This Row],[Column10]]+Table645[[#This Row],[Column87]]=0, "--", IF($D157="", 1, $D157) * IF($J157="", 1, $J157) * $CO$3 * $CO$4 * IF(Table645[[#This Row],[Column95]]="", 1, Table645[[#This Row],[Column95]]) / (24 * 60))</f>
        <v>--</v>
      </c>
      <c r="CQ157" s="164"/>
      <c r="CR157" s="92">
        <f>IF(Table645[[#This Row],[Column94]]="--",0,Table645[[#This Row],[Column4]]*Table645[[#This Row],[Column94]])</f>
        <v>0</v>
      </c>
      <c r="CS157" s="218" t="str">
        <f>IF(Table645[[#This Row],[Column87]]="","",Table645[[#This Row],[Column87]])</f>
        <v/>
      </c>
      <c r="CT157" s="91" t="str">
        <f>IF(Table645[[#This Row],[Column97]]="","--",Table645[[#This Row],[Column97]]/$CS$3/60/24)</f>
        <v>--</v>
      </c>
      <c r="CU157" s="92">
        <f>IF(Table645[[#This Row],[Column98]]="--",0,Table645[[#This Row],[Column4]]*Table645[[#This Row],[Column98]])</f>
        <v>0</v>
      </c>
      <c r="CV157" s="93"/>
      <c r="CW157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57" s="91" t="str">
        <f>IF(OR(Table645[[#This Row],[Column74]]&gt;0,Table645[[#This Row],[Column87]]&gt;0),(Table645[[#This Row],[Column73]]+Table645[[#This Row],[Column86]]+1)*$CW$3/60/24,"--")</f>
        <v>--</v>
      </c>
      <c r="CY157" s="92">
        <f>IF(Table645[[#This Row],[Column102]]="--",0,Table645[[#This Row],[Column4]]*Table645[[#This Row],[Column102]])</f>
        <v>0</v>
      </c>
      <c r="CZ157" s="158" t="str">
        <f t="shared" si="122"/>
        <v>--</v>
      </c>
      <c r="DA157" s="153"/>
      <c r="DB157" s="160">
        <f>IF(Table645[[#This Row],[Column104]]="--",0,Table645[[#This Row],[Column4]]*Table645[[#This Row],[Column104]])</f>
        <v>0</v>
      </c>
      <c r="DC157" s="219"/>
      <c r="DD157" s="220" t="str">
        <f>IF(DC157=0,"--",1/$DC$3*1000/(60*60*24)*Table645[[#This Row],[Column107]])</f>
        <v>--</v>
      </c>
      <c r="DE157" s="160">
        <f>IF(Table645[[#This Row],[Column108]]="--",0,Table645[[#This Row],[Column4]]*Table645[[#This Row],[Column108]])</f>
        <v>0</v>
      </c>
      <c r="DF157" s="101" t="s">
        <v>70</v>
      </c>
      <c r="DG157" s="91" t="str">
        <f t="shared" si="123"/>
        <v>--</v>
      </c>
      <c r="DH157" s="89">
        <f>IF(Table645[[#This Row],[Column111]]="--",0,Table645[[#This Row],[Column4]]*Table645[[#This Row],[Column111]])</f>
        <v>0</v>
      </c>
      <c r="DI157" s="96"/>
      <c r="DJ157" s="96"/>
      <c r="DK157" s="96"/>
      <c r="DL157" s="96"/>
      <c r="DM157" s="96"/>
      <c r="DN157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57" s="89">
        <f>IF(Table645[[#This Row],[Column118]]="--",0,Table645[[#This Row],[Column4]]*Table645[[#This Row],[Column118]])</f>
        <v>0</v>
      </c>
      <c r="DP157" s="96"/>
      <c r="DQ157" s="96"/>
      <c r="DR157" s="91" t="str">
        <f t="shared" si="124"/>
        <v>--</v>
      </c>
      <c r="DS157" s="89">
        <f>IF(Table645[[#This Row],[Column122]]="--",0,Table645[[#This Row],[Column4]]*Table645[[#This Row],[Column122]])</f>
        <v>0</v>
      </c>
      <c r="DT157" t="str">
        <f>IF(Table645[[#This Row],[Column125]]=0,"--",Table645[[#This Row],[Column125]]*Table645[[#This Row],[Column126]]*Table645[[#This Row],[Column127]]/1000000000)</f>
        <v>--</v>
      </c>
      <c r="DU157" s="53"/>
      <c r="DV157" s="53"/>
      <c r="DW157" s="53"/>
      <c r="DX157" s="91" t="str">
        <f t="shared" si="125"/>
        <v>--</v>
      </c>
      <c r="DY157" s="89">
        <f>IF(Table645[[#This Row],[Column128]]="--",0,Table645[[#This Row],[Column4]]*Table645[[#This Row],[Column128]])</f>
        <v>0</v>
      </c>
      <c r="EA157" s="89">
        <f>IF(Table645[[#This Row],[Column128]]="--",0,Table645[[#This Row],[Column4]]*Table645[[#This Row],[Column128]])</f>
        <v>0</v>
      </c>
      <c r="EC157" s="89">
        <f>IF(Table645[[#This Row],[Column128]]="--",0,Table645[[#This Row],[Column4]]*Table645[[#This Row],[Column128]])</f>
        <v>0</v>
      </c>
      <c r="EE157" s="89">
        <f>IF(Table645[[#This Row],[Column128]]="--",0,Table645[[#This Row],[Column4]]*Table645[[#This Row],[Column128]])</f>
        <v>0</v>
      </c>
      <c r="EG157" s="89">
        <f>IF(Table645[[#This Row],[Column128]]="--",0,Table645[[#This Row],[Column4]]*Table645[[#This Row],[Column128]])</f>
        <v>0</v>
      </c>
      <c r="EI157" s="89">
        <f>IF(Table645[[#This Row],[Column128]]="--",0,Table645[[#This Row],[Column4]]*Table645[[#This Row],[Column128]])</f>
        <v>0</v>
      </c>
    </row>
    <row r="158" spans="1:139" x14ac:dyDescent="0.25">
      <c r="A158" s="140"/>
      <c r="B158" s="79"/>
      <c r="C158" s="140"/>
      <c r="D158" s="167"/>
      <c r="E158" s="52"/>
      <c r="F158" s="81"/>
      <c r="G158" s="81"/>
      <c r="H158" s="102" t="str">
        <f t="shared" si="116"/>
        <v>--</v>
      </c>
      <c r="I158" s="100">
        <f>IF(Table645[[#This Row],[Column8]]="--",0,Table645[[#This Row],[Column4]]*Table645[[#This Row],[Column8]])</f>
        <v>0</v>
      </c>
      <c r="J158" s="169"/>
      <c r="K158" s="85">
        <f>Table645[[#This Row],[Column4]]*Table645[[#This Row],[Column10]]</f>
        <v>0</v>
      </c>
      <c r="L158" s="170" t="str">
        <f t="shared" si="117"/>
        <v>--</v>
      </c>
      <c r="M158" s="214">
        <f>IF(Table645[[#This Row],[Column10]]=0,0,Table645[[#This Row],[Column4]]*Table645[[#This Row],[Column12]])</f>
        <v>0</v>
      </c>
      <c r="N158" s="87" t="str">
        <f t="shared" si="118"/>
        <v>--</v>
      </c>
      <c r="O158" s="138"/>
      <c r="AZ158" s="89">
        <f>IF(Table645[[#This Row],[Column14]]="--",0,Table645[[#This Row],[Column4]]*Table645[[#This Row],[Column14]])</f>
        <v>0</v>
      </c>
      <c r="BA158" s="90"/>
      <c r="BB158" s="91" t="str">
        <f>IF(BA158=0,"--",BA158*$BA$3*IF(Table645[[#This Row],[Column5]]&lt;4.1,1,2)/60/24)</f>
        <v>--</v>
      </c>
      <c r="BC158" s="92">
        <f>IF(Table645[[#This Row],[Column54]]="--",0,Table645[[#This Row],[Column4]]*Table645[[#This Row],[Column54]])</f>
        <v>0</v>
      </c>
      <c r="BD158" s="119"/>
      <c r="BE158" s="119"/>
      <c r="BF158" s="119"/>
      <c r="BG158" s="91" t="str">
        <f>IF(BD158+Table645[[#This Row],[Column58]]=0,"--",(BD158*$BF$3*Table645[[#This Row],[Column57]]+Table645[[#This Row],[Column58]]*$BF$4)/60/24)</f>
        <v>--</v>
      </c>
      <c r="BH158" s="92">
        <f>IF(Table645[[#This Row],[Column59]]="--",0,Table645[[#This Row],[Column4]]*Table645[[#This Row],[Column59]])</f>
        <v>0</v>
      </c>
      <c r="BI158" s="119"/>
      <c r="BJ158" s="91" t="str">
        <f t="shared" si="84"/>
        <v>--</v>
      </c>
      <c r="BK158" s="92">
        <f>IF(Table645[[#This Row],[Column62]]="--",0,Table645[[#This Row],[Column4]]*Table645[[#This Row],[Column62]])</f>
        <v>0</v>
      </c>
      <c r="BL158" s="93"/>
      <c r="BM158" s="91" t="str">
        <f t="shared" si="119"/>
        <v>--</v>
      </c>
      <c r="BN158" s="89">
        <f>IF(Table645[[#This Row],[Column65]]="--",0,Table645[[#This Row],[Column4]]*Table645[[#This Row],[Column65]])</f>
        <v>0</v>
      </c>
      <c r="BO158" s="163"/>
      <c r="BP158" s="164" t="str">
        <f t="shared" si="120"/>
        <v>--</v>
      </c>
      <c r="BQ158" s="160">
        <f>IF(Table645[[#This Row],[Column68]]="--",0,Table645[[#This Row],[Column4]]*Table645[[#This Row],[Column68]])</f>
        <v>0</v>
      </c>
      <c r="BR158" s="94"/>
      <c r="BS158" s="91" t="str">
        <f t="shared" si="121"/>
        <v>--</v>
      </c>
      <c r="BT158" s="92">
        <f>IF(Table645[[#This Row],[Column71]]="--",0,Table645[[#This Row],[Column4]]*Table645[[#This Row],[Column71]])</f>
        <v>0</v>
      </c>
      <c r="BU158" s="44"/>
      <c r="BV158" s="90"/>
      <c r="BW158" s="91" t="str">
        <f>IF(BV158=0,"--",(Table645[[#This Row],[Column73]]*$BV$4*(IF(J158&lt;0.5001,1,IF(J158&lt;2.0001,2,3)))+BV158/$BV$3)/60/24)</f>
        <v>--</v>
      </c>
      <c r="BX158" s="92">
        <f>IF(Table645[[#This Row],[Column75]]="--",0,Table645[[#This Row],[Column4]]*Table645[[#This Row],[Column75]])</f>
        <v>0</v>
      </c>
      <c r="BY158" s="95" t="s">
        <v>70</v>
      </c>
      <c r="BZ158" s="91" t="str">
        <f>IF(Table645[[#This Row],[Column74]]=0,"--",BW158*$BY$3)</f>
        <v>--</v>
      </c>
      <c r="CA158" s="89">
        <f>IF(Table645[[#This Row],[Column78]]="--",0,Table645[[#This Row],[Column4]]*Table645[[#This Row],[Column78]])</f>
        <v>0</v>
      </c>
      <c r="CB158" s="95" t="s">
        <v>70</v>
      </c>
      <c r="CC158" s="91" t="str">
        <f>IF(Table645[[#This Row],[Column10]]+Table645[[#This Row],[Column74]]=0,"--",J158*$CB$4*$CB$5/(24*60)+IF(Table645[[#This Row],[Column74]]=0,0,$CB$3*Table645[[#This Row],[Column75]]))</f>
        <v>--</v>
      </c>
      <c r="CD158" s="92">
        <f>IF(Table645[[#This Row],[Column81]]="--",0,Table645[[#This Row],[Column4]]*Table645[[#This Row],[Column81]])</f>
        <v>0</v>
      </c>
      <c r="CE158" s="215"/>
      <c r="CF158" s="91" t="str">
        <f t="shared" si="85"/>
        <v>--</v>
      </c>
      <c r="CG158" s="92">
        <f>IF(Table645[[#This Row],[Column84]]="--",0,Table645[[#This Row],[Column4]]*Table645[[#This Row],[Column84]])</f>
        <v>0</v>
      </c>
      <c r="CH158" s="226"/>
      <c r="CI158" s="216"/>
      <c r="CJ158" s="91" t="str">
        <f>IF(CI158=0,"--",(Table645[[#This Row],[Column86]]*$CI$4*(IF(W158&lt;0.5001,1,IF(W158&lt;2.0001,2,3)))+CI158/$CI$3)/60/24)</f>
        <v>--</v>
      </c>
      <c r="CK158" s="92">
        <f>IF(Table645[[#This Row],[Column88]]="--",0,Table645[[#This Row],[Column4]]*Table645[[#This Row],[Column88]])</f>
        <v>0</v>
      </c>
      <c r="CL158" s="217"/>
      <c r="CM158" s="91" t="str">
        <f>IF(Table645[[#This Row],[Column87]]=0,"--",CJ158*$CL$3)</f>
        <v>--</v>
      </c>
      <c r="CN158" s="92">
        <f>IF(Table645[[#This Row],[Column91]]="--",0,Table645[[#This Row],[Column4]]*Table645[[#This Row],[Column91]])</f>
        <v>0</v>
      </c>
      <c r="CO158" s="217"/>
      <c r="CP158" s="91" t="str">
        <f>IF(Table645[[#This Row],[Column10]]+Table645[[#This Row],[Column87]]=0, "--", IF($D158="", 1, $D158) * IF($J158="", 1, $J158) * $CO$3 * $CO$4 * IF(Table645[[#This Row],[Column95]]="", 1, Table645[[#This Row],[Column95]]) / (24 * 60))</f>
        <v>--</v>
      </c>
      <c r="CQ158" s="164"/>
      <c r="CR158" s="92">
        <f>IF(Table645[[#This Row],[Column94]]="--",0,Table645[[#This Row],[Column4]]*Table645[[#This Row],[Column94]])</f>
        <v>0</v>
      </c>
      <c r="CS158" s="218" t="str">
        <f>IF(Table645[[#This Row],[Column87]]="","",Table645[[#This Row],[Column87]])</f>
        <v/>
      </c>
      <c r="CT158" s="91" t="str">
        <f>IF(Table645[[#This Row],[Column97]]="","--",Table645[[#This Row],[Column97]]/$CS$3/60/24)</f>
        <v>--</v>
      </c>
      <c r="CU158" s="92">
        <f>IF(Table645[[#This Row],[Column98]]="--",0,Table645[[#This Row],[Column4]]*Table645[[#This Row],[Column98]])</f>
        <v>0</v>
      </c>
      <c r="CV158" s="93"/>
      <c r="CW158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58" s="91" t="str">
        <f>IF(OR(Table645[[#This Row],[Column74]]&gt;0,Table645[[#This Row],[Column87]]&gt;0),(Table645[[#This Row],[Column73]]+Table645[[#This Row],[Column86]]+1)*$CW$3/60/24,"--")</f>
        <v>--</v>
      </c>
      <c r="CY158" s="92">
        <f>IF(Table645[[#This Row],[Column102]]="--",0,Table645[[#This Row],[Column4]]*Table645[[#This Row],[Column102]])</f>
        <v>0</v>
      </c>
      <c r="CZ158" s="158" t="str">
        <f t="shared" si="122"/>
        <v>--</v>
      </c>
      <c r="DA158" s="153"/>
      <c r="DB158" s="160">
        <f>IF(Table645[[#This Row],[Column104]]="--",0,Table645[[#This Row],[Column4]]*Table645[[#This Row],[Column104]])</f>
        <v>0</v>
      </c>
      <c r="DC158" s="219"/>
      <c r="DD158" s="220" t="str">
        <f>IF(DC158=0,"--",1/$DC$3*1000/(60*60*24)*Table645[[#This Row],[Column107]])</f>
        <v>--</v>
      </c>
      <c r="DE158" s="160">
        <f>IF(Table645[[#This Row],[Column108]]="--",0,Table645[[#This Row],[Column4]]*Table645[[#This Row],[Column108]])</f>
        <v>0</v>
      </c>
      <c r="DF158" s="101" t="s">
        <v>70</v>
      </c>
      <c r="DG158" s="91" t="str">
        <f t="shared" si="123"/>
        <v>--</v>
      </c>
      <c r="DH158" s="89">
        <f>IF(Table645[[#This Row],[Column111]]="--",0,Table645[[#This Row],[Column4]]*Table645[[#This Row],[Column111]])</f>
        <v>0</v>
      </c>
      <c r="DI158" s="96"/>
      <c r="DJ158" s="96"/>
      <c r="DK158" s="96"/>
      <c r="DL158" s="96"/>
      <c r="DM158" s="96"/>
      <c r="DN158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58" s="89">
        <f>IF(Table645[[#This Row],[Column118]]="--",0,Table645[[#This Row],[Column4]]*Table645[[#This Row],[Column118]])</f>
        <v>0</v>
      </c>
      <c r="DP158" s="96"/>
      <c r="DQ158" s="96"/>
      <c r="DR158" s="91" t="str">
        <f t="shared" si="124"/>
        <v>--</v>
      </c>
      <c r="DS158" s="89">
        <f>IF(Table645[[#This Row],[Column122]]="--",0,Table645[[#This Row],[Column4]]*Table645[[#This Row],[Column122]])</f>
        <v>0</v>
      </c>
      <c r="DT158" t="str">
        <f>IF(Table645[[#This Row],[Column125]]=0,"--",Table645[[#This Row],[Column125]]*Table645[[#This Row],[Column126]]*Table645[[#This Row],[Column127]]/1000000000)</f>
        <v>--</v>
      </c>
      <c r="DU158" s="53"/>
      <c r="DV158" s="53"/>
      <c r="DW158" s="53"/>
      <c r="DX158" s="91" t="str">
        <f t="shared" si="125"/>
        <v>--</v>
      </c>
      <c r="DY158" s="89">
        <f>IF(Table645[[#This Row],[Column128]]="--",0,Table645[[#This Row],[Column4]]*Table645[[#This Row],[Column128]])</f>
        <v>0</v>
      </c>
      <c r="EA158" s="89">
        <f>IF(Table645[[#This Row],[Column128]]="--",0,Table645[[#This Row],[Column4]]*Table645[[#This Row],[Column128]])</f>
        <v>0</v>
      </c>
      <c r="EC158" s="89">
        <f>IF(Table645[[#This Row],[Column128]]="--",0,Table645[[#This Row],[Column4]]*Table645[[#This Row],[Column128]])</f>
        <v>0</v>
      </c>
      <c r="EE158" s="89">
        <f>IF(Table645[[#This Row],[Column128]]="--",0,Table645[[#This Row],[Column4]]*Table645[[#This Row],[Column128]])</f>
        <v>0</v>
      </c>
      <c r="EG158" s="89">
        <f>IF(Table645[[#This Row],[Column128]]="--",0,Table645[[#This Row],[Column4]]*Table645[[#This Row],[Column128]])</f>
        <v>0</v>
      </c>
      <c r="EI158" s="89">
        <f>IF(Table645[[#This Row],[Column128]]="--",0,Table645[[#This Row],[Column4]]*Table645[[#This Row],[Column128]])</f>
        <v>0</v>
      </c>
    </row>
    <row r="159" spans="1:139" x14ac:dyDescent="0.25">
      <c r="A159" s="140"/>
      <c r="B159" s="79"/>
      <c r="C159" s="140"/>
      <c r="D159" s="167"/>
      <c r="E159" s="52"/>
      <c r="F159" s="81"/>
      <c r="G159" s="81"/>
      <c r="H159" s="102" t="str">
        <f t="shared" si="116"/>
        <v>--</v>
      </c>
      <c r="I159" s="100">
        <f>IF(Table645[[#This Row],[Column8]]="--",0,Table645[[#This Row],[Column4]]*Table645[[#This Row],[Column8]])</f>
        <v>0</v>
      </c>
      <c r="J159" s="169"/>
      <c r="K159" s="85">
        <f>Table645[[#This Row],[Column4]]*Table645[[#This Row],[Column10]]</f>
        <v>0</v>
      </c>
      <c r="L159" s="170" t="str">
        <f t="shared" si="117"/>
        <v>--</v>
      </c>
      <c r="M159" s="214">
        <f>IF(Table645[[#This Row],[Column10]]=0,0,Table645[[#This Row],[Column4]]*Table645[[#This Row],[Column12]])</f>
        <v>0</v>
      </c>
      <c r="N159" s="87" t="str">
        <f t="shared" si="118"/>
        <v>--</v>
      </c>
      <c r="O159" s="138"/>
      <c r="AZ159" s="89">
        <f>IF(Table645[[#This Row],[Column14]]="--",0,Table645[[#This Row],[Column4]]*Table645[[#This Row],[Column14]])</f>
        <v>0</v>
      </c>
      <c r="BA159" s="90"/>
      <c r="BB159" s="91" t="str">
        <f>IF(BA159=0,"--",BA159*$BA$3*IF(Table645[[#This Row],[Column5]]&lt;4.1,1,2)/60/24)</f>
        <v>--</v>
      </c>
      <c r="BC159" s="92">
        <f>IF(Table645[[#This Row],[Column54]]="--",0,Table645[[#This Row],[Column4]]*Table645[[#This Row],[Column54]])</f>
        <v>0</v>
      </c>
      <c r="BD159" s="119"/>
      <c r="BE159" s="119"/>
      <c r="BF159" s="119"/>
      <c r="BG159" s="91" t="str">
        <f>IF(BD159+Table645[[#This Row],[Column58]]=0,"--",(BD159*$BF$3*Table645[[#This Row],[Column57]]+Table645[[#This Row],[Column58]]*$BF$4)/60/24)</f>
        <v>--</v>
      </c>
      <c r="BH159" s="92">
        <f>IF(Table645[[#This Row],[Column59]]="--",0,Table645[[#This Row],[Column4]]*Table645[[#This Row],[Column59]])</f>
        <v>0</v>
      </c>
      <c r="BI159" s="119"/>
      <c r="BJ159" s="91" t="str">
        <f t="shared" si="84"/>
        <v>--</v>
      </c>
      <c r="BK159" s="92">
        <f>IF(Table645[[#This Row],[Column62]]="--",0,Table645[[#This Row],[Column4]]*Table645[[#This Row],[Column62]])</f>
        <v>0</v>
      </c>
      <c r="BL159" s="93"/>
      <c r="BM159" s="91" t="str">
        <f t="shared" si="119"/>
        <v>--</v>
      </c>
      <c r="BN159" s="89">
        <f>IF(Table645[[#This Row],[Column65]]="--",0,Table645[[#This Row],[Column4]]*Table645[[#This Row],[Column65]])</f>
        <v>0</v>
      </c>
      <c r="BO159" s="163"/>
      <c r="BP159" s="164" t="str">
        <f t="shared" si="120"/>
        <v>--</v>
      </c>
      <c r="BQ159" s="160">
        <f>IF(Table645[[#This Row],[Column68]]="--",0,Table645[[#This Row],[Column4]]*Table645[[#This Row],[Column68]])</f>
        <v>0</v>
      </c>
      <c r="BR159" s="94"/>
      <c r="BS159" s="91" t="str">
        <f t="shared" si="121"/>
        <v>--</v>
      </c>
      <c r="BT159" s="92">
        <f>IF(Table645[[#This Row],[Column71]]="--",0,Table645[[#This Row],[Column4]]*Table645[[#This Row],[Column71]])</f>
        <v>0</v>
      </c>
      <c r="BU159" s="44"/>
      <c r="BV159" s="90"/>
      <c r="BW159" s="91" t="str">
        <f>IF(BV159=0,"--",(Table645[[#This Row],[Column73]]*$BV$4*(IF(J159&lt;0.5001,1,IF(J159&lt;2.0001,2,3)))+BV159/$BV$3)/60/24)</f>
        <v>--</v>
      </c>
      <c r="BX159" s="92">
        <f>IF(Table645[[#This Row],[Column75]]="--",0,Table645[[#This Row],[Column4]]*Table645[[#This Row],[Column75]])</f>
        <v>0</v>
      </c>
      <c r="BY159" s="95" t="s">
        <v>70</v>
      </c>
      <c r="BZ159" s="91" t="str">
        <f>IF(Table645[[#This Row],[Column74]]=0,"--",BW159*$BY$3)</f>
        <v>--</v>
      </c>
      <c r="CA159" s="89">
        <f>IF(Table645[[#This Row],[Column78]]="--",0,Table645[[#This Row],[Column4]]*Table645[[#This Row],[Column78]])</f>
        <v>0</v>
      </c>
      <c r="CB159" s="95" t="s">
        <v>70</v>
      </c>
      <c r="CC159" s="91" t="str">
        <f>IF(Table645[[#This Row],[Column10]]+Table645[[#This Row],[Column74]]=0,"--",J159*$CB$4*$CB$5/(24*60)+IF(Table645[[#This Row],[Column74]]=0,0,$CB$3*Table645[[#This Row],[Column75]]))</f>
        <v>--</v>
      </c>
      <c r="CD159" s="92">
        <f>IF(Table645[[#This Row],[Column81]]="--",0,Table645[[#This Row],[Column4]]*Table645[[#This Row],[Column81]])</f>
        <v>0</v>
      </c>
      <c r="CE159" s="215"/>
      <c r="CF159" s="91" t="str">
        <f t="shared" si="85"/>
        <v>--</v>
      </c>
      <c r="CG159" s="92">
        <f>IF(Table645[[#This Row],[Column84]]="--",0,Table645[[#This Row],[Column4]]*Table645[[#This Row],[Column84]])</f>
        <v>0</v>
      </c>
      <c r="CH159" s="226"/>
      <c r="CI159" s="216"/>
      <c r="CJ159" s="91" t="str">
        <f>IF(CI159=0,"--",(Table645[[#This Row],[Column86]]*$CI$4*(IF(W159&lt;0.5001,1,IF(W159&lt;2.0001,2,3)))+CI159/$CI$3)/60/24)</f>
        <v>--</v>
      </c>
      <c r="CK159" s="92">
        <f>IF(Table645[[#This Row],[Column88]]="--",0,Table645[[#This Row],[Column4]]*Table645[[#This Row],[Column88]])</f>
        <v>0</v>
      </c>
      <c r="CL159" s="217"/>
      <c r="CM159" s="91" t="str">
        <f>IF(Table645[[#This Row],[Column87]]=0,"--",CJ159*$CL$3)</f>
        <v>--</v>
      </c>
      <c r="CN159" s="92">
        <f>IF(Table645[[#This Row],[Column91]]="--",0,Table645[[#This Row],[Column4]]*Table645[[#This Row],[Column91]])</f>
        <v>0</v>
      </c>
      <c r="CO159" s="217"/>
      <c r="CP159" s="91" t="str">
        <f>IF(Table645[[#This Row],[Column10]]+Table645[[#This Row],[Column87]]=0, "--", IF($D159="", 1, $D159) * IF($J159="", 1, $J159) * $CO$3 * $CO$4 * IF(Table645[[#This Row],[Column95]]="", 1, Table645[[#This Row],[Column95]]) / (24 * 60))</f>
        <v>--</v>
      </c>
      <c r="CQ159" s="164"/>
      <c r="CR159" s="92">
        <f>IF(Table645[[#This Row],[Column94]]="--",0,Table645[[#This Row],[Column4]]*Table645[[#This Row],[Column94]])</f>
        <v>0</v>
      </c>
      <c r="CS159" s="218" t="str">
        <f>IF(Table645[[#This Row],[Column87]]="","",Table645[[#This Row],[Column87]])</f>
        <v/>
      </c>
      <c r="CT159" s="91" t="str">
        <f>IF(Table645[[#This Row],[Column97]]="","--",Table645[[#This Row],[Column97]]/$CS$3/60/24)</f>
        <v>--</v>
      </c>
      <c r="CU159" s="92">
        <f>IF(Table645[[#This Row],[Column98]]="--",0,Table645[[#This Row],[Column4]]*Table645[[#This Row],[Column98]])</f>
        <v>0</v>
      </c>
      <c r="CV159" s="93"/>
      <c r="CW159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59" s="91" t="str">
        <f>IF(OR(Table645[[#This Row],[Column74]]&gt;0,Table645[[#This Row],[Column87]]&gt;0),(Table645[[#This Row],[Column73]]+Table645[[#This Row],[Column86]]+1)*$CW$3/60/24,"--")</f>
        <v>--</v>
      </c>
      <c r="CY159" s="92">
        <f>IF(Table645[[#This Row],[Column102]]="--",0,Table645[[#This Row],[Column4]]*Table645[[#This Row],[Column102]])</f>
        <v>0</v>
      </c>
      <c r="CZ159" s="158" t="str">
        <f t="shared" si="122"/>
        <v>--</v>
      </c>
      <c r="DA159" s="153"/>
      <c r="DB159" s="160">
        <f>IF(Table645[[#This Row],[Column104]]="--",0,Table645[[#This Row],[Column4]]*Table645[[#This Row],[Column104]])</f>
        <v>0</v>
      </c>
      <c r="DC159" s="219"/>
      <c r="DD159" s="220" t="str">
        <f>IF(DC159=0,"--",1/$DC$3*1000/(60*60*24)*Table645[[#This Row],[Column107]])</f>
        <v>--</v>
      </c>
      <c r="DE159" s="160">
        <f>IF(Table645[[#This Row],[Column108]]="--",0,Table645[[#This Row],[Column4]]*Table645[[#This Row],[Column108]])</f>
        <v>0</v>
      </c>
      <c r="DF159" s="101" t="s">
        <v>70</v>
      </c>
      <c r="DG159" s="91" t="str">
        <f t="shared" si="123"/>
        <v>--</v>
      </c>
      <c r="DH159" s="89">
        <f>IF(Table645[[#This Row],[Column111]]="--",0,Table645[[#This Row],[Column4]]*Table645[[#This Row],[Column111]])</f>
        <v>0</v>
      </c>
      <c r="DI159" s="96"/>
      <c r="DJ159" s="96"/>
      <c r="DK159" s="96"/>
      <c r="DL159" s="96"/>
      <c r="DM159" s="96"/>
      <c r="DN159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59" s="89">
        <f>IF(Table645[[#This Row],[Column118]]="--",0,Table645[[#This Row],[Column4]]*Table645[[#This Row],[Column118]])</f>
        <v>0</v>
      </c>
      <c r="DP159" s="96"/>
      <c r="DQ159" s="96"/>
      <c r="DR159" s="91" t="str">
        <f t="shared" si="124"/>
        <v>--</v>
      </c>
      <c r="DS159" s="89">
        <f>IF(Table645[[#This Row],[Column122]]="--",0,Table645[[#This Row],[Column4]]*Table645[[#This Row],[Column122]])</f>
        <v>0</v>
      </c>
      <c r="DT159" t="str">
        <f>IF(Table645[[#This Row],[Column125]]=0,"--",Table645[[#This Row],[Column125]]*Table645[[#This Row],[Column126]]*Table645[[#This Row],[Column127]]/1000000000)</f>
        <v>--</v>
      </c>
      <c r="DU159" s="53"/>
      <c r="DV159" s="53"/>
      <c r="DW159" s="53"/>
      <c r="DX159" s="91" t="str">
        <f t="shared" si="125"/>
        <v>--</v>
      </c>
      <c r="DY159" s="89">
        <f>IF(Table645[[#This Row],[Column128]]="--",0,Table645[[#This Row],[Column4]]*Table645[[#This Row],[Column128]])</f>
        <v>0</v>
      </c>
      <c r="EA159" s="89">
        <f>IF(Table645[[#This Row],[Column128]]="--",0,Table645[[#This Row],[Column4]]*Table645[[#This Row],[Column128]])</f>
        <v>0</v>
      </c>
      <c r="EC159" s="89">
        <f>IF(Table645[[#This Row],[Column128]]="--",0,Table645[[#This Row],[Column4]]*Table645[[#This Row],[Column128]])</f>
        <v>0</v>
      </c>
      <c r="EE159" s="89">
        <f>IF(Table645[[#This Row],[Column128]]="--",0,Table645[[#This Row],[Column4]]*Table645[[#This Row],[Column128]])</f>
        <v>0</v>
      </c>
      <c r="EG159" s="89">
        <f>IF(Table645[[#This Row],[Column128]]="--",0,Table645[[#This Row],[Column4]]*Table645[[#This Row],[Column128]])</f>
        <v>0</v>
      </c>
      <c r="EI159" s="89">
        <f>IF(Table645[[#This Row],[Column128]]="--",0,Table645[[#This Row],[Column4]]*Table645[[#This Row],[Column128]])</f>
        <v>0</v>
      </c>
    </row>
    <row r="160" spans="1:139" x14ac:dyDescent="0.25">
      <c r="A160" s="140"/>
      <c r="B160" s="79"/>
      <c r="C160" s="140"/>
      <c r="D160" s="167"/>
      <c r="E160" s="52"/>
      <c r="F160" s="81"/>
      <c r="G160" s="81"/>
      <c r="H160" s="102" t="str">
        <f t="shared" si="116"/>
        <v>--</v>
      </c>
      <c r="I160" s="100">
        <f>IF(Table645[[#This Row],[Column8]]="--",0,Table645[[#This Row],[Column4]]*Table645[[#This Row],[Column8]])</f>
        <v>0</v>
      </c>
      <c r="J160" s="169"/>
      <c r="K160" s="85">
        <f>Table645[[#This Row],[Column4]]*Table645[[#This Row],[Column10]]</f>
        <v>0</v>
      </c>
      <c r="L160" s="170" t="str">
        <f t="shared" si="117"/>
        <v>--</v>
      </c>
      <c r="M160" s="214">
        <f>IF(Table645[[#This Row],[Column10]]=0,0,Table645[[#This Row],[Column4]]*Table645[[#This Row],[Column12]])</f>
        <v>0</v>
      </c>
      <c r="N160" s="87" t="str">
        <f t="shared" si="118"/>
        <v>--</v>
      </c>
      <c r="O160" s="138"/>
      <c r="AZ160" s="89">
        <f>IF(Table645[[#This Row],[Column14]]="--",0,Table645[[#This Row],[Column4]]*Table645[[#This Row],[Column14]])</f>
        <v>0</v>
      </c>
      <c r="BA160" s="90"/>
      <c r="BB160" s="91" t="str">
        <f>IF(BA160=0,"--",BA160*$BA$3*IF(Table645[[#This Row],[Column5]]&lt;4.1,1,2)/60/24)</f>
        <v>--</v>
      </c>
      <c r="BC160" s="92">
        <f>IF(Table645[[#This Row],[Column54]]="--",0,Table645[[#This Row],[Column4]]*Table645[[#This Row],[Column54]])</f>
        <v>0</v>
      </c>
      <c r="BD160" s="119"/>
      <c r="BE160" s="119"/>
      <c r="BF160" s="119"/>
      <c r="BG160" s="91" t="str">
        <f>IF(BD160+Table645[[#This Row],[Column58]]=0,"--",(BD160*$BF$3*Table645[[#This Row],[Column57]]+Table645[[#This Row],[Column58]]*$BF$4)/60/24)</f>
        <v>--</v>
      </c>
      <c r="BH160" s="92">
        <f>IF(Table645[[#This Row],[Column59]]="--",0,Table645[[#This Row],[Column4]]*Table645[[#This Row],[Column59]])</f>
        <v>0</v>
      </c>
      <c r="BI160" s="119"/>
      <c r="BJ160" s="91" t="str">
        <f t="shared" si="84"/>
        <v>--</v>
      </c>
      <c r="BK160" s="92">
        <f>IF(Table645[[#This Row],[Column62]]="--",0,Table645[[#This Row],[Column4]]*Table645[[#This Row],[Column62]])</f>
        <v>0</v>
      </c>
      <c r="BL160" s="93"/>
      <c r="BM160" s="91" t="str">
        <f t="shared" si="119"/>
        <v>--</v>
      </c>
      <c r="BN160" s="89">
        <f>IF(Table645[[#This Row],[Column65]]="--",0,Table645[[#This Row],[Column4]]*Table645[[#This Row],[Column65]])</f>
        <v>0</v>
      </c>
      <c r="BO160" s="163"/>
      <c r="BP160" s="164" t="str">
        <f t="shared" si="120"/>
        <v>--</v>
      </c>
      <c r="BQ160" s="160">
        <f>IF(Table645[[#This Row],[Column68]]="--",0,Table645[[#This Row],[Column4]]*Table645[[#This Row],[Column68]])</f>
        <v>0</v>
      </c>
      <c r="BR160" s="94"/>
      <c r="BS160" s="91" t="str">
        <f t="shared" si="121"/>
        <v>--</v>
      </c>
      <c r="BT160" s="92">
        <f>IF(Table645[[#This Row],[Column71]]="--",0,Table645[[#This Row],[Column4]]*Table645[[#This Row],[Column71]])</f>
        <v>0</v>
      </c>
      <c r="BU160" s="44"/>
      <c r="BV160" s="90"/>
      <c r="BW160" s="91" t="str">
        <f>IF(BV160=0,"--",(Table645[[#This Row],[Column73]]*$BV$4*(IF(J160&lt;0.5001,1,IF(J160&lt;2.0001,2,3)))+BV160/$BV$3)/60/24)</f>
        <v>--</v>
      </c>
      <c r="BX160" s="92">
        <f>IF(Table645[[#This Row],[Column75]]="--",0,Table645[[#This Row],[Column4]]*Table645[[#This Row],[Column75]])</f>
        <v>0</v>
      </c>
      <c r="BY160" s="95" t="s">
        <v>70</v>
      </c>
      <c r="BZ160" s="91" t="str">
        <f>IF(Table645[[#This Row],[Column74]]=0,"--",BW160*$BY$3)</f>
        <v>--</v>
      </c>
      <c r="CA160" s="89">
        <f>IF(Table645[[#This Row],[Column78]]="--",0,Table645[[#This Row],[Column4]]*Table645[[#This Row],[Column78]])</f>
        <v>0</v>
      </c>
      <c r="CB160" s="95" t="s">
        <v>70</v>
      </c>
      <c r="CC160" s="91" t="str">
        <f>IF(Table645[[#This Row],[Column10]]+Table645[[#This Row],[Column74]]=0,"--",J160*$CB$4*$CB$5/(24*60)+IF(Table645[[#This Row],[Column74]]=0,0,$CB$3*Table645[[#This Row],[Column75]]))</f>
        <v>--</v>
      </c>
      <c r="CD160" s="92">
        <f>IF(Table645[[#This Row],[Column81]]="--",0,Table645[[#This Row],[Column4]]*Table645[[#This Row],[Column81]])</f>
        <v>0</v>
      </c>
      <c r="CE160" s="215"/>
      <c r="CF160" s="91" t="str">
        <f t="shared" si="85"/>
        <v>--</v>
      </c>
      <c r="CG160" s="92">
        <f>IF(Table645[[#This Row],[Column84]]="--",0,Table645[[#This Row],[Column4]]*Table645[[#This Row],[Column84]])</f>
        <v>0</v>
      </c>
      <c r="CH160" s="226"/>
      <c r="CI160" s="216"/>
      <c r="CJ160" s="91" t="str">
        <f>IF(CI160=0,"--",(Table645[[#This Row],[Column86]]*$CI$4*(IF(W160&lt;0.5001,1,IF(W160&lt;2.0001,2,3)))+CI160/$CI$3)/60/24)</f>
        <v>--</v>
      </c>
      <c r="CK160" s="92">
        <f>IF(Table645[[#This Row],[Column88]]="--",0,Table645[[#This Row],[Column4]]*Table645[[#This Row],[Column88]])</f>
        <v>0</v>
      </c>
      <c r="CL160" s="217"/>
      <c r="CM160" s="91" t="str">
        <f>IF(Table645[[#This Row],[Column87]]=0,"--",CJ160*$CL$3)</f>
        <v>--</v>
      </c>
      <c r="CN160" s="92">
        <f>IF(Table645[[#This Row],[Column91]]="--",0,Table645[[#This Row],[Column4]]*Table645[[#This Row],[Column91]])</f>
        <v>0</v>
      </c>
      <c r="CO160" s="217"/>
      <c r="CP160" s="91" t="str">
        <f>IF(Table645[[#This Row],[Column10]]+Table645[[#This Row],[Column87]]=0, "--", IF($D160="", 1, $D160) * IF($J160="", 1, $J160) * $CO$3 * $CO$4 * IF(Table645[[#This Row],[Column95]]="", 1, Table645[[#This Row],[Column95]]) / (24 * 60))</f>
        <v>--</v>
      </c>
      <c r="CQ160" s="164"/>
      <c r="CR160" s="92">
        <f>IF(Table645[[#This Row],[Column94]]="--",0,Table645[[#This Row],[Column4]]*Table645[[#This Row],[Column94]])</f>
        <v>0</v>
      </c>
      <c r="CS160" s="218" t="str">
        <f>IF(Table645[[#This Row],[Column87]]="","",Table645[[#This Row],[Column87]])</f>
        <v/>
      </c>
      <c r="CT160" s="91" t="str">
        <f>IF(Table645[[#This Row],[Column97]]="","--",Table645[[#This Row],[Column97]]/$CS$3/60/24)</f>
        <v>--</v>
      </c>
      <c r="CU160" s="92">
        <f>IF(Table645[[#This Row],[Column98]]="--",0,Table645[[#This Row],[Column4]]*Table645[[#This Row],[Column98]])</f>
        <v>0</v>
      </c>
      <c r="CV160" s="93"/>
      <c r="CW160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60" s="91" t="str">
        <f>IF(OR(Table645[[#This Row],[Column74]]&gt;0,Table645[[#This Row],[Column87]]&gt;0),(Table645[[#This Row],[Column73]]+Table645[[#This Row],[Column86]]+1)*$CW$3/60/24,"--")</f>
        <v>--</v>
      </c>
      <c r="CY160" s="92">
        <f>IF(Table645[[#This Row],[Column102]]="--",0,Table645[[#This Row],[Column4]]*Table645[[#This Row],[Column102]])</f>
        <v>0</v>
      </c>
      <c r="CZ160" s="158" t="str">
        <f t="shared" si="122"/>
        <v>--</v>
      </c>
      <c r="DA160" s="153"/>
      <c r="DB160" s="160">
        <f>IF(Table645[[#This Row],[Column104]]="--",0,Table645[[#This Row],[Column4]]*Table645[[#This Row],[Column104]])</f>
        <v>0</v>
      </c>
      <c r="DC160" s="219"/>
      <c r="DD160" s="220" t="str">
        <f>IF(DC160=0,"--",1/$DC$3*1000/(60*60*24)*Table645[[#This Row],[Column107]])</f>
        <v>--</v>
      </c>
      <c r="DE160" s="160">
        <f>IF(Table645[[#This Row],[Column108]]="--",0,Table645[[#This Row],[Column4]]*Table645[[#This Row],[Column108]])</f>
        <v>0</v>
      </c>
      <c r="DF160" s="101" t="s">
        <v>70</v>
      </c>
      <c r="DG160" s="91" t="str">
        <f t="shared" si="123"/>
        <v>--</v>
      </c>
      <c r="DH160" s="89">
        <f>IF(Table645[[#This Row],[Column111]]="--",0,Table645[[#This Row],[Column4]]*Table645[[#This Row],[Column111]])</f>
        <v>0</v>
      </c>
      <c r="DI160" s="96"/>
      <c r="DJ160" s="96"/>
      <c r="DK160" s="96"/>
      <c r="DL160" s="96"/>
      <c r="DM160" s="96"/>
      <c r="DN160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60" s="89">
        <f>IF(Table645[[#This Row],[Column118]]="--",0,Table645[[#This Row],[Column4]]*Table645[[#This Row],[Column118]])</f>
        <v>0</v>
      </c>
      <c r="DP160" s="96"/>
      <c r="DQ160" s="96"/>
      <c r="DR160" s="91" t="str">
        <f t="shared" si="124"/>
        <v>--</v>
      </c>
      <c r="DS160" s="89">
        <f>IF(Table645[[#This Row],[Column122]]="--",0,Table645[[#This Row],[Column4]]*Table645[[#This Row],[Column122]])</f>
        <v>0</v>
      </c>
      <c r="DT160" t="str">
        <f>IF(Table645[[#This Row],[Column125]]=0,"--",Table645[[#This Row],[Column125]]*Table645[[#This Row],[Column126]]*Table645[[#This Row],[Column127]]/1000000000)</f>
        <v>--</v>
      </c>
      <c r="DU160" s="53"/>
      <c r="DV160" s="53"/>
      <c r="DW160" s="53"/>
      <c r="DX160" s="91" t="str">
        <f t="shared" si="125"/>
        <v>--</v>
      </c>
      <c r="DY160" s="89">
        <f>IF(Table645[[#This Row],[Column128]]="--",0,Table645[[#This Row],[Column4]]*Table645[[#This Row],[Column128]])</f>
        <v>0</v>
      </c>
      <c r="EA160" s="89">
        <f>IF(Table645[[#This Row],[Column128]]="--",0,Table645[[#This Row],[Column4]]*Table645[[#This Row],[Column128]])</f>
        <v>0</v>
      </c>
      <c r="EC160" s="89">
        <f>IF(Table645[[#This Row],[Column128]]="--",0,Table645[[#This Row],[Column4]]*Table645[[#This Row],[Column128]])</f>
        <v>0</v>
      </c>
      <c r="EE160" s="89">
        <f>IF(Table645[[#This Row],[Column128]]="--",0,Table645[[#This Row],[Column4]]*Table645[[#This Row],[Column128]])</f>
        <v>0</v>
      </c>
      <c r="EG160" s="89">
        <f>IF(Table645[[#This Row],[Column128]]="--",0,Table645[[#This Row],[Column4]]*Table645[[#This Row],[Column128]])</f>
        <v>0</v>
      </c>
      <c r="EI160" s="89">
        <f>IF(Table645[[#This Row],[Column128]]="--",0,Table645[[#This Row],[Column4]]*Table645[[#This Row],[Column128]])</f>
        <v>0</v>
      </c>
    </row>
    <row r="161" spans="1:139" x14ac:dyDescent="0.25">
      <c r="A161" s="140"/>
      <c r="B161" s="79"/>
      <c r="C161" s="140"/>
      <c r="D161" s="167"/>
      <c r="E161" s="52"/>
      <c r="F161" s="81"/>
      <c r="G161" s="81"/>
      <c r="H161" s="102" t="str">
        <f t="shared" si="116"/>
        <v>--</v>
      </c>
      <c r="I161" s="100">
        <f>IF(Table645[[#This Row],[Column8]]="--",0,Table645[[#This Row],[Column4]]*Table645[[#This Row],[Column8]])</f>
        <v>0</v>
      </c>
      <c r="J161" s="169"/>
      <c r="K161" s="85">
        <f>Table645[[#This Row],[Column4]]*Table645[[#This Row],[Column10]]</f>
        <v>0</v>
      </c>
      <c r="L161" s="170" t="str">
        <f t="shared" si="117"/>
        <v>--</v>
      </c>
      <c r="M161" s="214">
        <f>IF(Table645[[#This Row],[Column10]]=0,0,Table645[[#This Row],[Column4]]*Table645[[#This Row],[Column12]])</f>
        <v>0</v>
      </c>
      <c r="N161" s="87" t="str">
        <f t="shared" si="118"/>
        <v>--</v>
      </c>
      <c r="O161" s="138"/>
      <c r="AZ161" s="89">
        <f>IF(Table645[[#This Row],[Column14]]="--",0,Table645[[#This Row],[Column4]]*Table645[[#This Row],[Column14]])</f>
        <v>0</v>
      </c>
      <c r="BA161" s="90"/>
      <c r="BB161" s="91" t="str">
        <f>IF(BA161=0,"--",BA161*$BA$3*IF(Table645[[#This Row],[Column5]]&lt;4.1,1,2)/60/24)</f>
        <v>--</v>
      </c>
      <c r="BC161" s="92">
        <f>IF(Table645[[#This Row],[Column54]]="--",0,Table645[[#This Row],[Column4]]*Table645[[#This Row],[Column54]])</f>
        <v>0</v>
      </c>
      <c r="BD161" s="119"/>
      <c r="BE161" s="119"/>
      <c r="BF161" s="119"/>
      <c r="BG161" s="91" t="str">
        <f>IF(BD161+Table645[[#This Row],[Column58]]=0,"--",(BD161*$BF$3*Table645[[#This Row],[Column57]]+Table645[[#This Row],[Column58]]*$BF$4)/60/24)</f>
        <v>--</v>
      </c>
      <c r="BH161" s="92">
        <f>IF(Table645[[#This Row],[Column59]]="--",0,Table645[[#This Row],[Column4]]*Table645[[#This Row],[Column59]])</f>
        <v>0</v>
      </c>
      <c r="BI161" s="119"/>
      <c r="BJ161" s="91" t="str">
        <f t="shared" si="84"/>
        <v>--</v>
      </c>
      <c r="BK161" s="92">
        <f>IF(Table645[[#This Row],[Column62]]="--",0,Table645[[#This Row],[Column4]]*Table645[[#This Row],[Column62]])</f>
        <v>0</v>
      </c>
      <c r="BL161" s="93"/>
      <c r="BM161" s="91" t="str">
        <f t="shared" si="119"/>
        <v>--</v>
      </c>
      <c r="BN161" s="89">
        <f>IF(Table645[[#This Row],[Column65]]="--",0,Table645[[#This Row],[Column4]]*Table645[[#This Row],[Column65]])</f>
        <v>0</v>
      </c>
      <c r="BO161" s="163"/>
      <c r="BP161" s="164" t="str">
        <f t="shared" si="120"/>
        <v>--</v>
      </c>
      <c r="BQ161" s="160">
        <f>IF(Table645[[#This Row],[Column68]]="--",0,Table645[[#This Row],[Column4]]*Table645[[#This Row],[Column68]])</f>
        <v>0</v>
      </c>
      <c r="BR161" s="94"/>
      <c r="BS161" s="91" t="str">
        <f t="shared" si="121"/>
        <v>--</v>
      </c>
      <c r="BT161" s="92">
        <f>IF(Table645[[#This Row],[Column71]]="--",0,Table645[[#This Row],[Column4]]*Table645[[#This Row],[Column71]])</f>
        <v>0</v>
      </c>
      <c r="BU161" s="44"/>
      <c r="BV161" s="90"/>
      <c r="BW161" s="91" t="str">
        <f>IF(BV161=0,"--",(Table645[[#This Row],[Column73]]*$BV$4*(IF(J161&lt;0.5001,1,IF(J161&lt;2.0001,2,3)))+BV161/$BV$3)/60/24)</f>
        <v>--</v>
      </c>
      <c r="BX161" s="92">
        <f>IF(Table645[[#This Row],[Column75]]="--",0,Table645[[#This Row],[Column4]]*Table645[[#This Row],[Column75]])</f>
        <v>0</v>
      </c>
      <c r="BY161" s="95" t="s">
        <v>70</v>
      </c>
      <c r="BZ161" s="91" t="str">
        <f>IF(Table645[[#This Row],[Column74]]=0,"--",BW161*$BY$3)</f>
        <v>--</v>
      </c>
      <c r="CA161" s="89">
        <f>IF(Table645[[#This Row],[Column78]]="--",0,Table645[[#This Row],[Column4]]*Table645[[#This Row],[Column78]])</f>
        <v>0</v>
      </c>
      <c r="CB161" s="95" t="s">
        <v>70</v>
      </c>
      <c r="CC161" s="91" t="str">
        <f>IF(Table645[[#This Row],[Column10]]+Table645[[#This Row],[Column74]]=0,"--",J161*$CB$4*$CB$5/(24*60)+IF(Table645[[#This Row],[Column74]]=0,0,$CB$3*Table645[[#This Row],[Column75]]))</f>
        <v>--</v>
      </c>
      <c r="CD161" s="92">
        <f>IF(Table645[[#This Row],[Column81]]="--",0,Table645[[#This Row],[Column4]]*Table645[[#This Row],[Column81]])</f>
        <v>0</v>
      </c>
      <c r="CE161" s="215"/>
      <c r="CF161" s="91" t="str">
        <f t="shared" si="85"/>
        <v>--</v>
      </c>
      <c r="CG161" s="92">
        <f>IF(Table645[[#This Row],[Column84]]="--",0,Table645[[#This Row],[Column4]]*Table645[[#This Row],[Column84]])</f>
        <v>0</v>
      </c>
      <c r="CH161" s="226"/>
      <c r="CI161" s="216"/>
      <c r="CJ161" s="91" t="str">
        <f>IF(CI161=0,"--",(Table645[[#This Row],[Column86]]*$CI$4*(IF(W161&lt;0.5001,1,IF(W161&lt;2.0001,2,3)))+CI161/$CI$3)/60/24)</f>
        <v>--</v>
      </c>
      <c r="CK161" s="92">
        <f>IF(Table645[[#This Row],[Column88]]="--",0,Table645[[#This Row],[Column4]]*Table645[[#This Row],[Column88]])</f>
        <v>0</v>
      </c>
      <c r="CL161" s="217"/>
      <c r="CM161" s="91" t="str">
        <f>IF(Table645[[#This Row],[Column87]]=0,"--",CJ161*$CL$3)</f>
        <v>--</v>
      </c>
      <c r="CN161" s="92">
        <f>IF(Table645[[#This Row],[Column91]]="--",0,Table645[[#This Row],[Column4]]*Table645[[#This Row],[Column91]])</f>
        <v>0</v>
      </c>
      <c r="CO161" s="217"/>
      <c r="CP161" s="91" t="str">
        <f>IF(Table645[[#This Row],[Column10]]+Table645[[#This Row],[Column87]]=0, "--", IF($D161="", 1, $D161) * IF($J161="", 1, $J161) * $CO$3 * $CO$4 * IF(Table645[[#This Row],[Column95]]="", 1, Table645[[#This Row],[Column95]]) / (24 * 60))</f>
        <v>--</v>
      </c>
      <c r="CQ161" s="164"/>
      <c r="CR161" s="92">
        <f>IF(Table645[[#This Row],[Column94]]="--",0,Table645[[#This Row],[Column4]]*Table645[[#This Row],[Column94]])</f>
        <v>0</v>
      </c>
      <c r="CS161" s="218" t="str">
        <f>IF(Table645[[#This Row],[Column87]]="","",Table645[[#This Row],[Column87]])</f>
        <v/>
      </c>
      <c r="CT161" s="91" t="str">
        <f>IF(Table645[[#This Row],[Column97]]="","--",Table645[[#This Row],[Column97]]/$CS$3/60/24)</f>
        <v>--</v>
      </c>
      <c r="CU161" s="92">
        <f>IF(Table645[[#This Row],[Column98]]="--",0,Table645[[#This Row],[Column4]]*Table645[[#This Row],[Column98]])</f>
        <v>0</v>
      </c>
      <c r="CV161" s="93"/>
      <c r="CW161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61" s="91" t="str">
        <f>IF(OR(Table645[[#This Row],[Column74]]&gt;0,Table645[[#This Row],[Column87]]&gt;0),(Table645[[#This Row],[Column73]]+Table645[[#This Row],[Column86]]+1)*$CW$3/60/24,"--")</f>
        <v>--</v>
      </c>
      <c r="CY161" s="92">
        <f>IF(Table645[[#This Row],[Column102]]="--",0,Table645[[#This Row],[Column4]]*Table645[[#This Row],[Column102]])</f>
        <v>0</v>
      </c>
      <c r="CZ161" s="158" t="str">
        <f t="shared" si="122"/>
        <v>--</v>
      </c>
      <c r="DA161" s="153"/>
      <c r="DB161" s="160">
        <f>IF(Table645[[#This Row],[Column104]]="--",0,Table645[[#This Row],[Column4]]*Table645[[#This Row],[Column104]])</f>
        <v>0</v>
      </c>
      <c r="DC161" s="219"/>
      <c r="DD161" s="220" t="str">
        <f>IF(DC161=0,"--",1/$DC$3*1000/(60*60*24)*Table645[[#This Row],[Column107]])</f>
        <v>--</v>
      </c>
      <c r="DE161" s="160">
        <f>IF(Table645[[#This Row],[Column108]]="--",0,Table645[[#This Row],[Column4]]*Table645[[#This Row],[Column108]])</f>
        <v>0</v>
      </c>
      <c r="DF161" s="101" t="s">
        <v>70</v>
      </c>
      <c r="DG161" s="91" t="str">
        <f t="shared" si="123"/>
        <v>--</v>
      </c>
      <c r="DH161" s="89">
        <f>IF(Table645[[#This Row],[Column111]]="--",0,Table645[[#This Row],[Column4]]*Table645[[#This Row],[Column111]])</f>
        <v>0</v>
      </c>
      <c r="DI161" s="96"/>
      <c r="DJ161" s="96"/>
      <c r="DK161" s="96"/>
      <c r="DL161" s="96"/>
      <c r="DM161" s="96"/>
      <c r="DN161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61" s="89">
        <f>IF(Table645[[#This Row],[Column118]]="--",0,Table645[[#This Row],[Column4]]*Table645[[#This Row],[Column118]])</f>
        <v>0</v>
      </c>
      <c r="DP161" s="96"/>
      <c r="DQ161" s="96"/>
      <c r="DR161" s="91" t="str">
        <f t="shared" si="124"/>
        <v>--</v>
      </c>
      <c r="DS161" s="89">
        <f>IF(Table645[[#This Row],[Column122]]="--",0,Table645[[#This Row],[Column4]]*Table645[[#This Row],[Column122]])</f>
        <v>0</v>
      </c>
      <c r="DT161" t="str">
        <f>IF(Table645[[#This Row],[Column125]]=0,"--",Table645[[#This Row],[Column125]]*Table645[[#This Row],[Column126]]*Table645[[#This Row],[Column127]]/1000000000)</f>
        <v>--</v>
      </c>
      <c r="DU161" s="53"/>
      <c r="DV161" s="53"/>
      <c r="DW161" s="53"/>
      <c r="DX161" s="91" t="str">
        <f t="shared" si="125"/>
        <v>--</v>
      </c>
      <c r="DY161" s="89">
        <f>IF(Table645[[#This Row],[Column128]]="--",0,Table645[[#This Row],[Column4]]*Table645[[#This Row],[Column128]])</f>
        <v>0</v>
      </c>
      <c r="EA161" s="89">
        <f>IF(Table645[[#This Row],[Column128]]="--",0,Table645[[#This Row],[Column4]]*Table645[[#This Row],[Column128]])</f>
        <v>0</v>
      </c>
      <c r="EC161" s="89">
        <f>IF(Table645[[#This Row],[Column128]]="--",0,Table645[[#This Row],[Column4]]*Table645[[#This Row],[Column128]])</f>
        <v>0</v>
      </c>
      <c r="EE161" s="89">
        <f>IF(Table645[[#This Row],[Column128]]="--",0,Table645[[#This Row],[Column4]]*Table645[[#This Row],[Column128]])</f>
        <v>0</v>
      </c>
      <c r="EG161" s="89">
        <f>IF(Table645[[#This Row],[Column128]]="--",0,Table645[[#This Row],[Column4]]*Table645[[#This Row],[Column128]])</f>
        <v>0</v>
      </c>
      <c r="EI161" s="89">
        <f>IF(Table645[[#This Row],[Column128]]="--",0,Table645[[#This Row],[Column4]]*Table645[[#This Row],[Column128]])</f>
        <v>0</v>
      </c>
    </row>
    <row r="162" spans="1:139" x14ac:dyDescent="0.25">
      <c r="A162" s="140"/>
      <c r="B162" s="79"/>
      <c r="C162" s="140"/>
      <c r="D162" s="167"/>
      <c r="E162" s="52"/>
      <c r="F162" s="81"/>
      <c r="G162" s="81"/>
      <c r="H162" s="102" t="str">
        <f t="shared" si="116"/>
        <v>--</v>
      </c>
      <c r="I162" s="100">
        <f>IF(Table645[[#This Row],[Column8]]="--",0,Table645[[#This Row],[Column4]]*Table645[[#This Row],[Column8]])</f>
        <v>0</v>
      </c>
      <c r="J162" s="169"/>
      <c r="K162" s="85">
        <f>Table645[[#This Row],[Column4]]*Table645[[#This Row],[Column10]]</f>
        <v>0</v>
      </c>
      <c r="L162" s="170" t="str">
        <f t="shared" si="117"/>
        <v>--</v>
      </c>
      <c r="M162" s="214">
        <f>IF(Table645[[#This Row],[Column10]]=0,0,Table645[[#This Row],[Column4]]*Table645[[#This Row],[Column12]])</f>
        <v>0</v>
      </c>
      <c r="N162" s="87" t="str">
        <f t="shared" si="118"/>
        <v>--</v>
      </c>
      <c r="O162" s="138"/>
      <c r="AZ162" s="89">
        <f>IF(Table645[[#This Row],[Column14]]="--",0,Table645[[#This Row],[Column4]]*Table645[[#This Row],[Column14]])</f>
        <v>0</v>
      </c>
      <c r="BA162" s="90"/>
      <c r="BB162" s="91" t="str">
        <f>IF(BA162=0,"--",BA162*$BA$3*IF(Table645[[#This Row],[Column5]]&lt;4.1,1,2)/60/24)</f>
        <v>--</v>
      </c>
      <c r="BC162" s="92">
        <f>IF(Table645[[#This Row],[Column54]]="--",0,Table645[[#This Row],[Column4]]*Table645[[#This Row],[Column54]])</f>
        <v>0</v>
      </c>
      <c r="BD162" s="119"/>
      <c r="BE162" s="119"/>
      <c r="BF162" s="119"/>
      <c r="BG162" s="91" t="str">
        <f>IF(BD162+Table645[[#This Row],[Column58]]=0,"--",(BD162*$BF$3*Table645[[#This Row],[Column57]]+Table645[[#This Row],[Column58]]*$BF$4)/60/24)</f>
        <v>--</v>
      </c>
      <c r="BH162" s="92">
        <f>IF(Table645[[#This Row],[Column59]]="--",0,Table645[[#This Row],[Column4]]*Table645[[#This Row],[Column59]])</f>
        <v>0</v>
      </c>
      <c r="BI162" s="119"/>
      <c r="BJ162" s="91" t="str">
        <f t="shared" si="84"/>
        <v>--</v>
      </c>
      <c r="BK162" s="92">
        <f>IF(Table645[[#This Row],[Column62]]="--",0,Table645[[#This Row],[Column4]]*Table645[[#This Row],[Column62]])</f>
        <v>0</v>
      </c>
      <c r="BL162" s="93"/>
      <c r="BM162" s="91" t="str">
        <f t="shared" si="119"/>
        <v>--</v>
      </c>
      <c r="BN162" s="89">
        <f>IF(Table645[[#This Row],[Column65]]="--",0,Table645[[#This Row],[Column4]]*Table645[[#This Row],[Column65]])</f>
        <v>0</v>
      </c>
      <c r="BO162" s="163"/>
      <c r="BP162" s="164" t="str">
        <f t="shared" si="120"/>
        <v>--</v>
      </c>
      <c r="BQ162" s="160">
        <f>IF(Table645[[#This Row],[Column68]]="--",0,Table645[[#This Row],[Column4]]*Table645[[#This Row],[Column68]])</f>
        <v>0</v>
      </c>
      <c r="BR162" s="94"/>
      <c r="BS162" s="91" t="str">
        <f t="shared" si="121"/>
        <v>--</v>
      </c>
      <c r="BT162" s="92">
        <f>IF(Table645[[#This Row],[Column71]]="--",0,Table645[[#This Row],[Column4]]*Table645[[#This Row],[Column71]])</f>
        <v>0</v>
      </c>
      <c r="BU162" s="44"/>
      <c r="BV162" s="90"/>
      <c r="BW162" s="91" t="str">
        <f>IF(BV162=0,"--",(Table645[[#This Row],[Column73]]*$BV$4*(IF(J162&lt;0.5001,1,IF(J162&lt;2.0001,2,3)))+BV162/$BV$3)/60/24)</f>
        <v>--</v>
      </c>
      <c r="BX162" s="92">
        <f>IF(Table645[[#This Row],[Column75]]="--",0,Table645[[#This Row],[Column4]]*Table645[[#This Row],[Column75]])</f>
        <v>0</v>
      </c>
      <c r="BY162" s="95" t="s">
        <v>70</v>
      </c>
      <c r="BZ162" s="91" t="str">
        <f>IF(Table645[[#This Row],[Column74]]=0,"--",BW162*$BY$3)</f>
        <v>--</v>
      </c>
      <c r="CA162" s="89">
        <f>IF(Table645[[#This Row],[Column78]]="--",0,Table645[[#This Row],[Column4]]*Table645[[#This Row],[Column78]])</f>
        <v>0</v>
      </c>
      <c r="CB162" s="95" t="s">
        <v>70</v>
      </c>
      <c r="CC162" s="91" t="str">
        <f>IF(Table645[[#This Row],[Column10]]+Table645[[#This Row],[Column74]]=0,"--",J162*$CB$4*$CB$5/(24*60)+IF(Table645[[#This Row],[Column74]]=0,0,$CB$3*Table645[[#This Row],[Column75]]))</f>
        <v>--</v>
      </c>
      <c r="CD162" s="92">
        <f>IF(Table645[[#This Row],[Column81]]="--",0,Table645[[#This Row],[Column4]]*Table645[[#This Row],[Column81]])</f>
        <v>0</v>
      </c>
      <c r="CE162" s="215"/>
      <c r="CF162" s="91" t="str">
        <f t="shared" si="85"/>
        <v>--</v>
      </c>
      <c r="CG162" s="92">
        <f>IF(Table645[[#This Row],[Column84]]="--",0,Table645[[#This Row],[Column4]]*Table645[[#This Row],[Column84]])</f>
        <v>0</v>
      </c>
      <c r="CH162" s="226"/>
      <c r="CI162" s="216"/>
      <c r="CJ162" s="91" t="str">
        <f>IF(CI162=0,"--",(Table645[[#This Row],[Column86]]*$CI$4*(IF(W162&lt;0.5001,1,IF(W162&lt;2.0001,2,3)))+CI162/$CI$3)/60/24)</f>
        <v>--</v>
      </c>
      <c r="CK162" s="92">
        <f>IF(Table645[[#This Row],[Column88]]="--",0,Table645[[#This Row],[Column4]]*Table645[[#This Row],[Column88]])</f>
        <v>0</v>
      </c>
      <c r="CL162" s="217"/>
      <c r="CM162" s="91" t="str">
        <f>IF(Table645[[#This Row],[Column87]]=0,"--",CJ162*$CL$3)</f>
        <v>--</v>
      </c>
      <c r="CN162" s="92">
        <f>IF(Table645[[#This Row],[Column91]]="--",0,Table645[[#This Row],[Column4]]*Table645[[#This Row],[Column91]])</f>
        <v>0</v>
      </c>
      <c r="CO162" s="217"/>
      <c r="CP162" s="91" t="str">
        <f>IF(Table645[[#This Row],[Column10]]+Table645[[#This Row],[Column87]]=0, "--", IF($D162="", 1, $D162) * IF($J162="", 1, $J162) * $CO$3 * $CO$4 * IF(Table645[[#This Row],[Column95]]="", 1, Table645[[#This Row],[Column95]]) / (24 * 60))</f>
        <v>--</v>
      </c>
      <c r="CQ162" s="164"/>
      <c r="CR162" s="92">
        <f>IF(Table645[[#This Row],[Column94]]="--",0,Table645[[#This Row],[Column4]]*Table645[[#This Row],[Column94]])</f>
        <v>0</v>
      </c>
      <c r="CS162" s="218" t="str">
        <f>IF(Table645[[#This Row],[Column87]]="","",Table645[[#This Row],[Column87]])</f>
        <v/>
      </c>
      <c r="CT162" s="91" t="str">
        <f>IF(Table645[[#This Row],[Column97]]="","--",Table645[[#This Row],[Column97]]/$CS$3/60/24)</f>
        <v>--</v>
      </c>
      <c r="CU162" s="92">
        <f>IF(Table645[[#This Row],[Column98]]="--",0,Table645[[#This Row],[Column4]]*Table645[[#This Row],[Column98]])</f>
        <v>0</v>
      </c>
      <c r="CV162" s="93"/>
      <c r="CW162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62" s="91" t="str">
        <f>IF(OR(Table645[[#This Row],[Column74]]&gt;0,Table645[[#This Row],[Column87]]&gt;0),(Table645[[#This Row],[Column73]]+Table645[[#This Row],[Column86]]+1)*$CW$3/60/24,"--")</f>
        <v>--</v>
      </c>
      <c r="CY162" s="92">
        <f>IF(Table645[[#This Row],[Column102]]="--",0,Table645[[#This Row],[Column4]]*Table645[[#This Row],[Column102]])</f>
        <v>0</v>
      </c>
      <c r="CZ162" s="158" t="str">
        <f t="shared" si="122"/>
        <v>--</v>
      </c>
      <c r="DA162" s="153"/>
      <c r="DB162" s="160">
        <f>IF(Table645[[#This Row],[Column104]]="--",0,Table645[[#This Row],[Column4]]*Table645[[#This Row],[Column104]])</f>
        <v>0</v>
      </c>
      <c r="DC162" s="219"/>
      <c r="DD162" s="220" t="str">
        <f>IF(DC162=0,"--",1/$DC$3*1000/(60*60*24)*Table645[[#This Row],[Column107]])</f>
        <v>--</v>
      </c>
      <c r="DE162" s="160">
        <f>IF(Table645[[#This Row],[Column108]]="--",0,Table645[[#This Row],[Column4]]*Table645[[#This Row],[Column108]])</f>
        <v>0</v>
      </c>
      <c r="DF162" s="101" t="s">
        <v>70</v>
      </c>
      <c r="DG162" s="91" t="str">
        <f t="shared" si="123"/>
        <v>--</v>
      </c>
      <c r="DH162" s="89">
        <f>IF(Table645[[#This Row],[Column111]]="--",0,Table645[[#This Row],[Column4]]*Table645[[#This Row],[Column111]])</f>
        <v>0</v>
      </c>
      <c r="DI162" s="96"/>
      <c r="DJ162" s="96"/>
      <c r="DK162" s="96"/>
      <c r="DL162" s="96"/>
      <c r="DM162" s="96"/>
      <c r="DN162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62" s="89">
        <f>IF(Table645[[#This Row],[Column118]]="--",0,Table645[[#This Row],[Column4]]*Table645[[#This Row],[Column118]])</f>
        <v>0</v>
      </c>
      <c r="DP162" s="96"/>
      <c r="DQ162" s="96"/>
      <c r="DR162" s="91" t="str">
        <f t="shared" si="124"/>
        <v>--</v>
      </c>
      <c r="DS162" s="89">
        <f>IF(Table645[[#This Row],[Column122]]="--",0,Table645[[#This Row],[Column4]]*Table645[[#This Row],[Column122]])</f>
        <v>0</v>
      </c>
      <c r="DT162" t="str">
        <f>IF(Table645[[#This Row],[Column125]]=0,"--",Table645[[#This Row],[Column125]]*Table645[[#This Row],[Column126]]*Table645[[#This Row],[Column127]]/1000000000)</f>
        <v>--</v>
      </c>
      <c r="DU162" s="53"/>
      <c r="DV162" s="53"/>
      <c r="DW162" s="53"/>
      <c r="DX162" s="91" t="str">
        <f t="shared" si="125"/>
        <v>--</v>
      </c>
      <c r="DY162" s="89">
        <f>IF(Table645[[#This Row],[Column128]]="--",0,Table645[[#This Row],[Column4]]*Table645[[#This Row],[Column128]])</f>
        <v>0</v>
      </c>
      <c r="EA162" s="89">
        <f>IF(Table645[[#This Row],[Column128]]="--",0,Table645[[#This Row],[Column4]]*Table645[[#This Row],[Column128]])</f>
        <v>0</v>
      </c>
      <c r="EC162" s="89">
        <f>IF(Table645[[#This Row],[Column128]]="--",0,Table645[[#This Row],[Column4]]*Table645[[#This Row],[Column128]])</f>
        <v>0</v>
      </c>
      <c r="EE162" s="89">
        <f>IF(Table645[[#This Row],[Column128]]="--",0,Table645[[#This Row],[Column4]]*Table645[[#This Row],[Column128]])</f>
        <v>0</v>
      </c>
      <c r="EG162" s="89">
        <f>IF(Table645[[#This Row],[Column128]]="--",0,Table645[[#This Row],[Column4]]*Table645[[#This Row],[Column128]])</f>
        <v>0</v>
      </c>
      <c r="EI162" s="89">
        <f>IF(Table645[[#This Row],[Column128]]="--",0,Table645[[#This Row],[Column4]]*Table645[[#This Row],[Column128]])</f>
        <v>0</v>
      </c>
    </row>
    <row r="163" spans="1:139" x14ac:dyDescent="0.25">
      <c r="A163" s="140"/>
      <c r="B163" s="79"/>
      <c r="C163" s="140"/>
      <c r="D163" s="167"/>
      <c r="E163" s="52"/>
      <c r="F163" s="81"/>
      <c r="G163" s="81"/>
      <c r="H163" s="102" t="str">
        <f t="shared" si="116"/>
        <v>--</v>
      </c>
      <c r="I163" s="100">
        <f>IF(Table645[[#This Row],[Column8]]="--",0,Table645[[#This Row],[Column4]]*Table645[[#This Row],[Column8]])</f>
        <v>0</v>
      </c>
      <c r="J163" s="169"/>
      <c r="K163" s="85">
        <f>Table645[[#This Row],[Column4]]*Table645[[#This Row],[Column10]]</f>
        <v>0</v>
      </c>
      <c r="L163" s="170" t="str">
        <f t="shared" si="117"/>
        <v>--</v>
      </c>
      <c r="M163" s="214">
        <f>IF(Table645[[#This Row],[Column10]]=0,0,Table645[[#This Row],[Column4]]*Table645[[#This Row],[Column12]])</f>
        <v>0</v>
      </c>
      <c r="N163" s="87" t="str">
        <f t="shared" si="118"/>
        <v>--</v>
      </c>
      <c r="O163" s="138"/>
      <c r="AZ163" s="89">
        <f>IF(Table645[[#This Row],[Column14]]="--",0,Table645[[#This Row],[Column4]]*Table645[[#This Row],[Column14]])</f>
        <v>0</v>
      </c>
      <c r="BA163" s="90"/>
      <c r="BB163" s="91" t="str">
        <f>IF(BA163=0,"--",BA163*$BA$3*IF(Table645[[#This Row],[Column5]]&lt;4.1,1,2)/60/24)</f>
        <v>--</v>
      </c>
      <c r="BC163" s="92">
        <f>IF(Table645[[#This Row],[Column54]]="--",0,Table645[[#This Row],[Column4]]*Table645[[#This Row],[Column54]])</f>
        <v>0</v>
      </c>
      <c r="BD163" s="119"/>
      <c r="BE163" s="119"/>
      <c r="BF163" s="119"/>
      <c r="BG163" s="91" t="str">
        <f>IF(BD163+Table645[[#This Row],[Column58]]=0,"--",(BD163*$BF$3*Table645[[#This Row],[Column57]]+Table645[[#This Row],[Column58]]*$BF$4)/60/24)</f>
        <v>--</v>
      </c>
      <c r="BH163" s="92">
        <f>IF(Table645[[#This Row],[Column59]]="--",0,Table645[[#This Row],[Column4]]*Table645[[#This Row],[Column59]])</f>
        <v>0</v>
      </c>
      <c r="BI163" s="119"/>
      <c r="BJ163" s="91" t="str">
        <f t="shared" ref="BJ163:BJ226" si="126">IF(BI163=0,"--",BI163/$BI$3/60/24)</f>
        <v>--</v>
      </c>
      <c r="BK163" s="92">
        <f>IF(Table645[[#This Row],[Column62]]="--",0,Table645[[#This Row],[Column4]]*Table645[[#This Row],[Column62]])</f>
        <v>0</v>
      </c>
      <c r="BL163" s="93"/>
      <c r="BM163" s="91" t="str">
        <f t="shared" si="119"/>
        <v>--</v>
      </c>
      <c r="BN163" s="89">
        <f>IF(Table645[[#This Row],[Column65]]="--",0,Table645[[#This Row],[Column4]]*Table645[[#This Row],[Column65]])</f>
        <v>0</v>
      </c>
      <c r="BO163" s="163"/>
      <c r="BP163" s="164" t="str">
        <f t="shared" si="120"/>
        <v>--</v>
      </c>
      <c r="BQ163" s="160">
        <f>IF(Table645[[#This Row],[Column68]]="--",0,Table645[[#This Row],[Column4]]*Table645[[#This Row],[Column68]])</f>
        <v>0</v>
      </c>
      <c r="BR163" s="94"/>
      <c r="BS163" s="91" t="str">
        <f t="shared" si="121"/>
        <v>--</v>
      </c>
      <c r="BT163" s="92">
        <f>IF(Table645[[#This Row],[Column71]]="--",0,Table645[[#This Row],[Column4]]*Table645[[#This Row],[Column71]])</f>
        <v>0</v>
      </c>
      <c r="BU163" s="44"/>
      <c r="BV163" s="90"/>
      <c r="BW163" s="91" t="str">
        <f>IF(BV163=0,"--",(Table645[[#This Row],[Column73]]*$BV$4*(IF(J163&lt;0.5001,1,IF(J163&lt;2.0001,2,3)))+BV163/$BV$3)/60/24)</f>
        <v>--</v>
      </c>
      <c r="BX163" s="92">
        <f>IF(Table645[[#This Row],[Column75]]="--",0,Table645[[#This Row],[Column4]]*Table645[[#This Row],[Column75]])</f>
        <v>0</v>
      </c>
      <c r="BY163" s="95" t="s">
        <v>70</v>
      </c>
      <c r="BZ163" s="91" t="str">
        <f>IF(Table645[[#This Row],[Column74]]=0,"--",BW163*$BY$3)</f>
        <v>--</v>
      </c>
      <c r="CA163" s="89">
        <f>IF(Table645[[#This Row],[Column78]]="--",0,Table645[[#This Row],[Column4]]*Table645[[#This Row],[Column78]])</f>
        <v>0</v>
      </c>
      <c r="CB163" s="95" t="s">
        <v>70</v>
      </c>
      <c r="CC163" s="91" t="str">
        <f>IF(Table645[[#This Row],[Column10]]+Table645[[#This Row],[Column74]]=0,"--",J163*$CB$4*$CB$5/(24*60)+IF(Table645[[#This Row],[Column74]]=0,0,$CB$3*Table645[[#This Row],[Column75]]))</f>
        <v>--</v>
      </c>
      <c r="CD163" s="92">
        <f>IF(Table645[[#This Row],[Column81]]="--",0,Table645[[#This Row],[Column4]]*Table645[[#This Row],[Column81]])</f>
        <v>0</v>
      </c>
      <c r="CE163" s="215"/>
      <c r="CF163" s="91" t="str">
        <f t="shared" ref="CF163:CF226" si="127">IF(CE163=0,"--",CE163*$BR$3/60/60/24)</f>
        <v>--</v>
      </c>
      <c r="CG163" s="92">
        <f>IF(Table645[[#This Row],[Column84]]="--",0,Table645[[#This Row],[Column4]]*Table645[[#This Row],[Column84]])</f>
        <v>0</v>
      </c>
      <c r="CH163" s="226"/>
      <c r="CI163" s="216"/>
      <c r="CJ163" s="91" t="str">
        <f>IF(CI163=0,"--",(Table645[[#This Row],[Column86]]*$CI$4*(IF(W163&lt;0.5001,1,IF(W163&lt;2.0001,2,3)))+CI163/$CI$3)/60/24)</f>
        <v>--</v>
      </c>
      <c r="CK163" s="92">
        <f>IF(Table645[[#This Row],[Column88]]="--",0,Table645[[#This Row],[Column4]]*Table645[[#This Row],[Column88]])</f>
        <v>0</v>
      </c>
      <c r="CL163" s="217"/>
      <c r="CM163" s="91" t="str">
        <f>IF(Table645[[#This Row],[Column87]]=0,"--",CJ163*$CL$3)</f>
        <v>--</v>
      </c>
      <c r="CN163" s="92">
        <f>IF(Table645[[#This Row],[Column91]]="--",0,Table645[[#This Row],[Column4]]*Table645[[#This Row],[Column91]])</f>
        <v>0</v>
      </c>
      <c r="CO163" s="217"/>
      <c r="CP163" s="91" t="str">
        <f>IF(Table645[[#This Row],[Column10]]+Table645[[#This Row],[Column87]]=0, "--", IF($D163="", 1, $D163) * IF($J163="", 1, $J163) * $CO$3 * $CO$4 * IF(Table645[[#This Row],[Column95]]="", 1, Table645[[#This Row],[Column95]]) / (24 * 60))</f>
        <v>--</v>
      </c>
      <c r="CQ163" s="164"/>
      <c r="CR163" s="92">
        <f>IF(Table645[[#This Row],[Column94]]="--",0,Table645[[#This Row],[Column4]]*Table645[[#This Row],[Column94]])</f>
        <v>0</v>
      </c>
      <c r="CS163" s="218" t="str">
        <f>IF(Table645[[#This Row],[Column87]]="","",Table645[[#This Row],[Column87]])</f>
        <v/>
      </c>
      <c r="CT163" s="91" t="str">
        <f>IF(Table645[[#This Row],[Column97]]="","--",Table645[[#This Row],[Column97]]/$CS$3/60/24)</f>
        <v>--</v>
      </c>
      <c r="CU163" s="92">
        <f>IF(Table645[[#This Row],[Column98]]="--",0,Table645[[#This Row],[Column4]]*Table645[[#This Row],[Column98]])</f>
        <v>0</v>
      </c>
      <c r="CV163" s="93"/>
      <c r="CW163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63" s="91" t="str">
        <f>IF(OR(Table645[[#This Row],[Column74]]&gt;0,Table645[[#This Row],[Column87]]&gt;0),(Table645[[#This Row],[Column73]]+Table645[[#This Row],[Column86]]+1)*$CW$3/60/24,"--")</f>
        <v>--</v>
      </c>
      <c r="CY163" s="92">
        <f>IF(Table645[[#This Row],[Column102]]="--",0,Table645[[#This Row],[Column4]]*Table645[[#This Row],[Column102]])</f>
        <v>0</v>
      </c>
      <c r="CZ163" s="158" t="str">
        <f t="shared" si="122"/>
        <v>--</v>
      </c>
      <c r="DA163" s="153"/>
      <c r="DB163" s="160">
        <f>IF(Table645[[#This Row],[Column104]]="--",0,Table645[[#This Row],[Column4]]*Table645[[#This Row],[Column104]])</f>
        <v>0</v>
      </c>
      <c r="DC163" s="219"/>
      <c r="DD163" s="220" t="str">
        <f>IF(DC163=0,"--",1/$DC$3*1000/(60*60*24)*Table645[[#This Row],[Column107]])</f>
        <v>--</v>
      </c>
      <c r="DE163" s="160">
        <f>IF(Table645[[#This Row],[Column108]]="--",0,Table645[[#This Row],[Column4]]*Table645[[#This Row],[Column108]])</f>
        <v>0</v>
      </c>
      <c r="DF163" s="101" t="s">
        <v>70</v>
      </c>
      <c r="DG163" s="91" t="str">
        <f t="shared" si="123"/>
        <v>--</v>
      </c>
      <c r="DH163" s="89">
        <f>IF(Table645[[#This Row],[Column111]]="--",0,Table645[[#This Row],[Column4]]*Table645[[#This Row],[Column111]])</f>
        <v>0</v>
      </c>
      <c r="DI163" s="96"/>
      <c r="DJ163" s="96"/>
      <c r="DK163" s="96"/>
      <c r="DL163" s="96"/>
      <c r="DM163" s="96"/>
      <c r="DN163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63" s="89">
        <f>IF(Table645[[#This Row],[Column118]]="--",0,Table645[[#This Row],[Column4]]*Table645[[#This Row],[Column118]])</f>
        <v>0</v>
      </c>
      <c r="DP163" s="96"/>
      <c r="DQ163" s="96"/>
      <c r="DR163" s="91" t="str">
        <f t="shared" si="124"/>
        <v>--</v>
      </c>
      <c r="DS163" s="89">
        <f>IF(Table645[[#This Row],[Column122]]="--",0,Table645[[#This Row],[Column4]]*Table645[[#This Row],[Column122]])</f>
        <v>0</v>
      </c>
      <c r="DT163" t="str">
        <f>IF(Table645[[#This Row],[Column125]]=0,"--",Table645[[#This Row],[Column125]]*Table645[[#This Row],[Column126]]*Table645[[#This Row],[Column127]]/1000000000)</f>
        <v>--</v>
      </c>
      <c r="DU163" s="53"/>
      <c r="DV163" s="53"/>
      <c r="DW163" s="53"/>
      <c r="DX163" s="91" t="str">
        <f t="shared" si="125"/>
        <v>--</v>
      </c>
      <c r="DY163" s="89">
        <f>IF(Table645[[#This Row],[Column128]]="--",0,Table645[[#This Row],[Column4]]*Table645[[#This Row],[Column128]])</f>
        <v>0</v>
      </c>
      <c r="EA163" s="89">
        <f>IF(Table645[[#This Row],[Column128]]="--",0,Table645[[#This Row],[Column4]]*Table645[[#This Row],[Column128]])</f>
        <v>0</v>
      </c>
      <c r="EC163" s="89">
        <f>IF(Table645[[#This Row],[Column128]]="--",0,Table645[[#This Row],[Column4]]*Table645[[#This Row],[Column128]])</f>
        <v>0</v>
      </c>
      <c r="EE163" s="89">
        <f>IF(Table645[[#This Row],[Column128]]="--",0,Table645[[#This Row],[Column4]]*Table645[[#This Row],[Column128]])</f>
        <v>0</v>
      </c>
      <c r="EG163" s="89">
        <f>IF(Table645[[#This Row],[Column128]]="--",0,Table645[[#This Row],[Column4]]*Table645[[#This Row],[Column128]])</f>
        <v>0</v>
      </c>
      <c r="EI163" s="89">
        <f>IF(Table645[[#This Row],[Column128]]="--",0,Table645[[#This Row],[Column4]]*Table645[[#This Row],[Column128]])</f>
        <v>0</v>
      </c>
    </row>
    <row r="164" spans="1:139" x14ac:dyDescent="0.25">
      <c r="A164" s="140"/>
      <c r="B164" s="79"/>
      <c r="C164" s="140"/>
      <c r="D164" s="167"/>
      <c r="E164" s="52"/>
      <c r="F164" s="81"/>
      <c r="G164" s="81"/>
      <c r="H164" s="102" t="str">
        <f t="shared" si="116"/>
        <v>--</v>
      </c>
      <c r="I164" s="100">
        <f>IF(Table645[[#This Row],[Column8]]="--",0,Table645[[#This Row],[Column4]]*Table645[[#This Row],[Column8]])</f>
        <v>0</v>
      </c>
      <c r="J164" s="169"/>
      <c r="K164" s="85">
        <f>Table645[[#This Row],[Column4]]*Table645[[#This Row],[Column10]]</f>
        <v>0</v>
      </c>
      <c r="L164" s="170" t="str">
        <f t="shared" si="117"/>
        <v>--</v>
      </c>
      <c r="M164" s="214">
        <f>IF(Table645[[#This Row],[Column10]]=0,0,Table645[[#This Row],[Column4]]*Table645[[#This Row],[Column12]])</f>
        <v>0</v>
      </c>
      <c r="N164" s="87" t="str">
        <f t="shared" si="118"/>
        <v>--</v>
      </c>
      <c r="O164" s="138"/>
      <c r="AZ164" s="89">
        <f>IF(Table645[[#This Row],[Column14]]="--",0,Table645[[#This Row],[Column4]]*Table645[[#This Row],[Column14]])</f>
        <v>0</v>
      </c>
      <c r="BA164" s="90"/>
      <c r="BB164" s="91" t="str">
        <f>IF(BA164=0,"--",BA164*$BA$3*IF(Table645[[#This Row],[Column5]]&lt;4.1,1,2)/60/24)</f>
        <v>--</v>
      </c>
      <c r="BC164" s="92">
        <f>IF(Table645[[#This Row],[Column54]]="--",0,Table645[[#This Row],[Column4]]*Table645[[#This Row],[Column54]])</f>
        <v>0</v>
      </c>
      <c r="BD164" s="119"/>
      <c r="BE164" s="119"/>
      <c r="BF164" s="119"/>
      <c r="BG164" s="91" t="str">
        <f>IF(BD164+Table645[[#This Row],[Column58]]=0,"--",(BD164*$BF$3*Table645[[#This Row],[Column57]]+Table645[[#This Row],[Column58]]*$BF$4)/60/24)</f>
        <v>--</v>
      </c>
      <c r="BH164" s="92">
        <f>IF(Table645[[#This Row],[Column59]]="--",0,Table645[[#This Row],[Column4]]*Table645[[#This Row],[Column59]])</f>
        <v>0</v>
      </c>
      <c r="BI164" s="119"/>
      <c r="BJ164" s="91" t="str">
        <f t="shared" si="126"/>
        <v>--</v>
      </c>
      <c r="BK164" s="92">
        <f>IF(Table645[[#This Row],[Column62]]="--",0,Table645[[#This Row],[Column4]]*Table645[[#This Row],[Column62]])</f>
        <v>0</v>
      </c>
      <c r="BL164" s="93"/>
      <c r="BM164" s="91" t="str">
        <f t="shared" si="119"/>
        <v>--</v>
      </c>
      <c r="BN164" s="89">
        <f>IF(Table645[[#This Row],[Column65]]="--",0,Table645[[#This Row],[Column4]]*Table645[[#This Row],[Column65]])</f>
        <v>0</v>
      </c>
      <c r="BO164" s="163"/>
      <c r="BP164" s="164" t="str">
        <f t="shared" si="120"/>
        <v>--</v>
      </c>
      <c r="BQ164" s="160">
        <f>IF(Table645[[#This Row],[Column68]]="--",0,Table645[[#This Row],[Column4]]*Table645[[#This Row],[Column68]])</f>
        <v>0</v>
      </c>
      <c r="BR164" s="94"/>
      <c r="BS164" s="91" t="str">
        <f t="shared" si="121"/>
        <v>--</v>
      </c>
      <c r="BT164" s="92">
        <f>IF(Table645[[#This Row],[Column71]]="--",0,Table645[[#This Row],[Column4]]*Table645[[#This Row],[Column71]])</f>
        <v>0</v>
      </c>
      <c r="BU164" s="44"/>
      <c r="BV164" s="90"/>
      <c r="BW164" s="91" t="str">
        <f>IF(BV164=0,"--",(Table645[[#This Row],[Column73]]*$BV$4*(IF(J164&lt;0.5001,1,IF(J164&lt;2.0001,2,3)))+BV164/$BV$3)/60/24)</f>
        <v>--</v>
      </c>
      <c r="BX164" s="92">
        <f>IF(Table645[[#This Row],[Column75]]="--",0,Table645[[#This Row],[Column4]]*Table645[[#This Row],[Column75]])</f>
        <v>0</v>
      </c>
      <c r="BY164" s="95" t="s">
        <v>70</v>
      </c>
      <c r="BZ164" s="91" t="str">
        <f>IF(Table645[[#This Row],[Column74]]=0,"--",BW164*$BY$3)</f>
        <v>--</v>
      </c>
      <c r="CA164" s="89">
        <f>IF(Table645[[#This Row],[Column78]]="--",0,Table645[[#This Row],[Column4]]*Table645[[#This Row],[Column78]])</f>
        <v>0</v>
      </c>
      <c r="CB164" s="95" t="s">
        <v>70</v>
      </c>
      <c r="CC164" s="91" t="str">
        <f>IF(Table645[[#This Row],[Column10]]+Table645[[#This Row],[Column74]]=0,"--",J164*$CB$4*$CB$5/(24*60)+IF(Table645[[#This Row],[Column74]]=0,0,$CB$3*Table645[[#This Row],[Column75]]))</f>
        <v>--</v>
      </c>
      <c r="CD164" s="92">
        <f>IF(Table645[[#This Row],[Column81]]="--",0,Table645[[#This Row],[Column4]]*Table645[[#This Row],[Column81]])</f>
        <v>0</v>
      </c>
      <c r="CE164" s="215"/>
      <c r="CF164" s="91" t="str">
        <f t="shared" si="127"/>
        <v>--</v>
      </c>
      <c r="CG164" s="92">
        <f>IF(Table645[[#This Row],[Column84]]="--",0,Table645[[#This Row],[Column4]]*Table645[[#This Row],[Column84]])</f>
        <v>0</v>
      </c>
      <c r="CH164" s="226"/>
      <c r="CI164" s="216"/>
      <c r="CJ164" s="91" t="str">
        <f>IF(CI164=0,"--",(Table645[[#This Row],[Column86]]*$CI$4*(IF(W164&lt;0.5001,1,IF(W164&lt;2.0001,2,3)))+CI164/$CI$3)/60/24)</f>
        <v>--</v>
      </c>
      <c r="CK164" s="92">
        <f>IF(Table645[[#This Row],[Column88]]="--",0,Table645[[#This Row],[Column4]]*Table645[[#This Row],[Column88]])</f>
        <v>0</v>
      </c>
      <c r="CL164" s="217"/>
      <c r="CM164" s="91" t="str">
        <f>IF(Table645[[#This Row],[Column87]]=0,"--",CJ164*$CL$3)</f>
        <v>--</v>
      </c>
      <c r="CN164" s="92">
        <f>IF(Table645[[#This Row],[Column91]]="--",0,Table645[[#This Row],[Column4]]*Table645[[#This Row],[Column91]])</f>
        <v>0</v>
      </c>
      <c r="CO164" s="217"/>
      <c r="CP164" s="91" t="str">
        <f>IF(Table645[[#This Row],[Column10]]+Table645[[#This Row],[Column87]]=0, "--", IF($D164="", 1, $D164) * IF($J164="", 1, $J164) * $CO$3 * $CO$4 * IF(Table645[[#This Row],[Column95]]="", 1, Table645[[#This Row],[Column95]]) / (24 * 60))</f>
        <v>--</v>
      </c>
      <c r="CQ164" s="164"/>
      <c r="CR164" s="92">
        <f>IF(Table645[[#This Row],[Column94]]="--",0,Table645[[#This Row],[Column4]]*Table645[[#This Row],[Column94]])</f>
        <v>0</v>
      </c>
      <c r="CS164" s="218" t="str">
        <f>IF(Table645[[#This Row],[Column87]]="","",Table645[[#This Row],[Column87]])</f>
        <v/>
      </c>
      <c r="CT164" s="91" t="str">
        <f>IF(Table645[[#This Row],[Column97]]="","--",Table645[[#This Row],[Column97]]/$CS$3/60/24)</f>
        <v>--</v>
      </c>
      <c r="CU164" s="92">
        <f>IF(Table645[[#This Row],[Column98]]="--",0,Table645[[#This Row],[Column4]]*Table645[[#This Row],[Column98]])</f>
        <v>0</v>
      </c>
      <c r="CV164" s="93"/>
      <c r="CW164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64" s="91" t="str">
        <f>IF(OR(Table645[[#This Row],[Column74]]&gt;0,Table645[[#This Row],[Column87]]&gt;0),(Table645[[#This Row],[Column73]]+Table645[[#This Row],[Column86]]+1)*$CW$3/60/24,"--")</f>
        <v>--</v>
      </c>
      <c r="CY164" s="92">
        <f>IF(Table645[[#This Row],[Column102]]="--",0,Table645[[#This Row],[Column4]]*Table645[[#This Row],[Column102]])</f>
        <v>0</v>
      </c>
      <c r="CZ164" s="158" t="str">
        <f t="shared" si="122"/>
        <v>--</v>
      </c>
      <c r="DA164" s="153"/>
      <c r="DB164" s="160">
        <f>IF(Table645[[#This Row],[Column104]]="--",0,Table645[[#This Row],[Column4]]*Table645[[#This Row],[Column104]])</f>
        <v>0</v>
      </c>
      <c r="DC164" s="219"/>
      <c r="DD164" s="220" t="str">
        <f>IF(DC164=0,"--",1/$DC$3*1000/(60*60*24)*Table645[[#This Row],[Column107]])</f>
        <v>--</v>
      </c>
      <c r="DE164" s="160">
        <f>IF(Table645[[#This Row],[Column108]]="--",0,Table645[[#This Row],[Column4]]*Table645[[#This Row],[Column108]])</f>
        <v>0</v>
      </c>
      <c r="DF164" s="101" t="s">
        <v>70</v>
      </c>
      <c r="DG164" s="91" t="str">
        <f t="shared" si="123"/>
        <v>--</v>
      </c>
      <c r="DH164" s="89">
        <f>IF(Table645[[#This Row],[Column111]]="--",0,Table645[[#This Row],[Column4]]*Table645[[#This Row],[Column111]])</f>
        <v>0</v>
      </c>
      <c r="DI164" s="96"/>
      <c r="DJ164" s="96"/>
      <c r="DK164" s="96"/>
      <c r="DL164" s="96"/>
      <c r="DM164" s="96"/>
      <c r="DN164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64" s="89">
        <f>IF(Table645[[#This Row],[Column118]]="--",0,Table645[[#This Row],[Column4]]*Table645[[#This Row],[Column118]])</f>
        <v>0</v>
      </c>
      <c r="DP164" s="96"/>
      <c r="DQ164" s="96"/>
      <c r="DR164" s="91" t="str">
        <f t="shared" si="124"/>
        <v>--</v>
      </c>
      <c r="DS164" s="89">
        <f>IF(Table645[[#This Row],[Column122]]="--",0,Table645[[#This Row],[Column4]]*Table645[[#This Row],[Column122]])</f>
        <v>0</v>
      </c>
      <c r="DT164" t="str">
        <f>IF(Table645[[#This Row],[Column125]]=0,"--",Table645[[#This Row],[Column125]]*Table645[[#This Row],[Column126]]*Table645[[#This Row],[Column127]]/1000000000)</f>
        <v>--</v>
      </c>
      <c r="DU164" s="53"/>
      <c r="DV164" s="53"/>
      <c r="DW164" s="53"/>
      <c r="DX164" s="91" t="str">
        <f t="shared" si="125"/>
        <v>--</v>
      </c>
      <c r="DY164" s="89">
        <f>IF(Table645[[#This Row],[Column128]]="--",0,Table645[[#This Row],[Column4]]*Table645[[#This Row],[Column128]])</f>
        <v>0</v>
      </c>
      <c r="EA164" s="89">
        <f>IF(Table645[[#This Row],[Column128]]="--",0,Table645[[#This Row],[Column4]]*Table645[[#This Row],[Column128]])</f>
        <v>0</v>
      </c>
      <c r="EC164" s="89">
        <f>IF(Table645[[#This Row],[Column128]]="--",0,Table645[[#This Row],[Column4]]*Table645[[#This Row],[Column128]])</f>
        <v>0</v>
      </c>
      <c r="EE164" s="89">
        <f>IF(Table645[[#This Row],[Column128]]="--",0,Table645[[#This Row],[Column4]]*Table645[[#This Row],[Column128]])</f>
        <v>0</v>
      </c>
      <c r="EG164" s="89">
        <f>IF(Table645[[#This Row],[Column128]]="--",0,Table645[[#This Row],[Column4]]*Table645[[#This Row],[Column128]])</f>
        <v>0</v>
      </c>
      <c r="EI164" s="89">
        <f>IF(Table645[[#This Row],[Column128]]="--",0,Table645[[#This Row],[Column4]]*Table645[[#This Row],[Column128]])</f>
        <v>0</v>
      </c>
    </row>
    <row r="165" spans="1:139" x14ac:dyDescent="0.25">
      <c r="A165" s="140"/>
      <c r="B165" s="79"/>
      <c r="C165" s="140"/>
      <c r="D165" s="167"/>
      <c r="E165" s="52"/>
      <c r="F165" s="81"/>
      <c r="G165" s="81"/>
      <c r="H165" s="102" t="str">
        <f t="shared" si="116"/>
        <v>--</v>
      </c>
      <c r="I165" s="100">
        <f>IF(Table645[[#This Row],[Column8]]="--",0,Table645[[#This Row],[Column4]]*Table645[[#This Row],[Column8]])</f>
        <v>0</v>
      </c>
      <c r="J165" s="169"/>
      <c r="K165" s="85">
        <f>Table645[[#This Row],[Column4]]*Table645[[#This Row],[Column10]]</f>
        <v>0</v>
      </c>
      <c r="L165" s="170" t="str">
        <f t="shared" si="117"/>
        <v>--</v>
      </c>
      <c r="M165" s="214">
        <f>IF(Table645[[#This Row],[Column10]]=0,0,Table645[[#This Row],[Column4]]*Table645[[#This Row],[Column12]])</f>
        <v>0</v>
      </c>
      <c r="N165" s="87" t="str">
        <f t="shared" si="118"/>
        <v>--</v>
      </c>
      <c r="O165" s="138"/>
      <c r="AZ165" s="89">
        <f>IF(Table645[[#This Row],[Column14]]="--",0,Table645[[#This Row],[Column4]]*Table645[[#This Row],[Column14]])</f>
        <v>0</v>
      </c>
      <c r="BA165" s="90"/>
      <c r="BB165" s="91" t="str">
        <f>IF(BA165=0,"--",BA165*$BA$3*IF(Table645[[#This Row],[Column5]]&lt;4.1,1,2)/60/24)</f>
        <v>--</v>
      </c>
      <c r="BC165" s="92">
        <f>IF(Table645[[#This Row],[Column54]]="--",0,Table645[[#This Row],[Column4]]*Table645[[#This Row],[Column54]])</f>
        <v>0</v>
      </c>
      <c r="BD165" s="119"/>
      <c r="BE165" s="119"/>
      <c r="BF165" s="119"/>
      <c r="BG165" s="91" t="str">
        <f>IF(BD165+Table645[[#This Row],[Column58]]=0,"--",(BD165*$BF$3*Table645[[#This Row],[Column57]]+Table645[[#This Row],[Column58]]*$BF$4)/60/24)</f>
        <v>--</v>
      </c>
      <c r="BH165" s="92">
        <f>IF(Table645[[#This Row],[Column59]]="--",0,Table645[[#This Row],[Column4]]*Table645[[#This Row],[Column59]])</f>
        <v>0</v>
      </c>
      <c r="BI165" s="119"/>
      <c r="BJ165" s="91" t="str">
        <f t="shared" si="126"/>
        <v>--</v>
      </c>
      <c r="BK165" s="92">
        <f>IF(Table645[[#This Row],[Column62]]="--",0,Table645[[#This Row],[Column4]]*Table645[[#This Row],[Column62]])</f>
        <v>0</v>
      </c>
      <c r="BL165" s="93"/>
      <c r="BM165" s="91" t="str">
        <f t="shared" si="119"/>
        <v>--</v>
      </c>
      <c r="BN165" s="89">
        <f>IF(Table645[[#This Row],[Column65]]="--",0,Table645[[#This Row],[Column4]]*Table645[[#This Row],[Column65]])</f>
        <v>0</v>
      </c>
      <c r="BO165" s="163"/>
      <c r="BP165" s="164" t="str">
        <f t="shared" si="120"/>
        <v>--</v>
      </c>
      <c r="BQ165" s="160">
        <f>IF(Table645[[#This Row],[Column68]]="--",0,Table645[[#This Row],[Column4]]*Table645[[#This Row],[Column68]])</f>
        <v>0</v>
      </c>
      <c r="BR165" s="94"/>
      <c r="BS165" s="91" t="str">
        <f t="shared" si="121"/>
        <v>--</v>
      </c>
      <c r="BT165" s="92">
        <f>IF(Table645[[#This Row],[Column71]]="--",0,Table645[[#This Row],[Column4]]*Table645[[#This Row],[Column71]])</f>
        <v>0</v>
      </c>
      <c r="BU165" s="44"/>
      <c r="BV165" s="90"/>
      <c r="BW165" s="91" t="str">
        <f>IF(BV165=0,"--",(Table645[[#This Row],[Column73]]*$BV$4*(IF(J165&lt;0.5001,1,IF(J165&lt;2.0001,2,3)))+BV165/$BV$3)/60/24)</f>
        <v>--</v>
      </c>
      <c r="BX165" s="92">
        <f>IF(Table645[[#This Row],[Column75]]="--",0,Table645[[#This Row],[Column4]]*Table645[[#This Row],[Column75]])</f>
        <v>0</v>
      </c>
      <c r="BY165" s="95" t="s">
        <v>70</v>
      </c>
      <c r="BZ165" s="91" t="str">
        <f>IF(Table645[[#This Row],[Column74]]=0,"--",BW165*$BY$3)</f>
        <v>--</v>
      </c>
      <c r="CA165" s="89">
        <f>IF(Table645[[#This Row],[Column78]]="--",0,Table645[[#This Row],[Column4]]*Table645[[#This Row],[Column78]])</f>
        <v>0</v>
      </c>
      <c r="CB165" s="95" t="s">
        <v>70</v>
      </c>
      <c r="CC165" s="91" t="str">
        <f>IF(Table645[[#This Row],[Column10]]+Table645[[#This Row],[Column74]]=0,"--",J165*$CB$4*$CB$5/(24*60)+IF(Table645[[#This Row],[Column74]]=0,0,$CB$3*Table645[[#This Row],[Column75]]))</f>
        <v>--</v>
      </c>
      <c r="CD165" s="92">
        <f>IF(Table645[[#This Row],[Column81]]="--",0,Table645[[#This Row],[Column4]]*Table645[[#This Row],[Column81]])</f>
        <v>0</v>
      </c>
      <c r="CE165" s="215"/>
      <c r="CF165" s="91" t="str">
        <f t="shared" si="127"/>
        <v>--</v>
      </c>
      <c r="CG165" s="92">
        <f>IF(Table645[[#This Row],[Column84]]="--",0,Table645[[#This Row],[Column4]]*Table645[[#This Row],[Column84]])</f>
        <v>0</v>
      </c>
      <c r="CH165" s="226"/>
      <c r="CI165" s="216"/>
      <c r="CJ165" s="91" t="str">
        <f>IF(CI165=0,"--",(Table645[[#This Row],[Column86]]*$CI$4*(IF(W165&lt;0.5001,1,IF(W165&lt;2.0001,2,3)))+CI165/$CI$3)/60/24)</f>
        <v>--</v>
      </c>
      <c r="CK165" s="92">
        <f>IF(Table645[[#This Row],[Column88]]="--",0,Table645[[#This Row],[Column4]]*Table645[[#This Row],[Column88]])</f>
        <v>0</v>
      </c>
      <c r="CL165" s="217"/>
      <c r="CM165" s="91" t="str">
        <f>IF(Table645[[#This Row],[Column87]]=0,"--",CJ165*$CL$3)</f>
        <v>--</v>
      </c>
      <c r="CN165" s="92">
        <f>IF(Table645[[#This Row],[Column91]]="--",0,Table645[[#This Row],[Column4]]*Table645[[#This Row],[Column91]])</f>
        <v>0</v>
      </c>
      <c r="CO165" s="217"/>
      <c r="CP165" s="91" t="str">
        <f>IF(Table645[[#This Row],[Column10]]+Table645[[#This Row],[Column87]]=0, "--", IF($D165="", 1, $D165) * IF($J165="", 1, $J165) * $CO$3 * $CO$4 * IF(Table645[[#This Row],[Column95]]="", 1, Table645[[#This Row],[Column95]]) / (24 * 60))</f>
        <v>--</v>
      </c>
      <c r="CQ165" s="164"/>
      <c r="CR165" s="92">
        <f>IF(Table645[[#This Row],[Column94]]="--",0,Table645[[#This Row],[Column4]]*Table645[[#This Row],[Column94]])</f>
        <v>0</v>
      </c>
      <c r="CS165" s="218" t="str">
        <f>IF(Table645[[#This Row],[Column87]]="","",Table645[[#This Row],[Column87]])</f>
        <v/>
      </c>
      <c r="CT165" s="91" t="str">
        <f>IF(Table645[[#This Row],[Column97]]="","--",Table645[[#This Row],[Column97]]/$CS$3/60/24)</f>
        <v>--</v>
      </c>
      <c r="CU165" s="92">
        <f>IF(Table645[[#This Row],[Column98]]="--",0,Table645[[#This Row],[Column4]]*Table645[[#This Row],[Column98]])</f>
        <v>0</v>
      </c>
      <c r="CV165" s="93"/>
      <c r="CW165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65" s="91" t="str">
        <f>IF(OR(Table645[[#This Row],[Column74]]&gt;0,Table645[[#This Row],[Column87]]&gt;0),(Table645[[#This Row],[Column73]]+Table645[[#This Row],[Column86]]+1)*$CW$3/60/24,"--")</f>
        <v>--</v>
      </c>
      <c r="CY165" s="92">
        <f>IF(Table645[[#This Row],[Column102]]="--",0,Table645[[#This Row],[Column4]]*Table645[[#This Row],[Column102]])</f>
        <v>0</v>
      </c>
      <c r="CZ165" s="158" t="str">
        <f t="shared" si="122"/>
        <v>--</v>
      </c>
      <c r="DA165" s="153"/>
      <c r="DB165" s="160">
        <f>IF(Table645[[#This Row],[Column104]]="--",0,Table645[[#This Row],[Column4]]*Table645[[#This Row],[Column104]])</f>
        <v>0</v>
      </c>
      <c r="DC165" s="219"/>
      <c r="DD165" s="220" t="str">
        <f>IF(DC165=0,"--",1/$DC$3*1000/(60*60*24)*Table645[[#This Row],[Column107]])</f>
        <v>--</v>
      </c>
      <c r="DE165" s="160">
        <f>IF(Table645[[#This Row],[Column108]]="--",0,Table645[[#This Row],[Column4]]*Table645[[#This Row],[Column108]])</f>
        <v>0</v>
      </c>
      <c r="DF165" s="101" t="s">
        <v>70</v>
      </c>
      <c r="DG165" s="91" t="str">
        <f t="shared" si="123"/>
        <v>--</v>
      </c>
      <c r="DH165" s="89">
        <f>IF(Table645[[#This Row],[Column111]]="--",0,Table645[[#This Row],[Column4]]*Table645[[#This Row],[Column111]])</f>
        <v>0</v>
      </c>
      <c r="DI165" s="96"/>
      <c r="DJ165" s="96"/>
      <c r="DK165" s="96"/>
      <c r="DL165" s="96"/>
      <c r="DM165" s="96"/>
      <c r="DN165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65" s="89">
        <f>IF(Table645[[#This Row],[Column118]]="--",0,Table645[[#This Row],[Column4]]*Table645[[#This Row],[Column118]])</f>
        <v>0</v>
      </c>
      <c r="DP165" s="96"/>
      <c r="DQ165" s="96"/>
      <c r="DR165" s="91" t="str">
        <f t="shared" si="124"/>
        <v>--</v>
      </c>
      <c r="DS165" s="89">
        <f>IF(Table645[[#This Row],[Column122]]="--",0,Table645[[#This Row],[Column4]]*Table645[[#This Row],[Column122]])</f>
        <v>0</v>
      </c>
      <c r="DT165" t="str">
        <f>IF(Table645[[#This Row],[Column125]]=0,"--",Table645[[#This Row],[Column125]]*Table645[[#This Row],[Column126]]*Table645[[#This Row],[Column127]]/1000000000)</f>
        <v>--</v>
      </c>
      <c r="DU165" s="53"/>
      <c r="DV165" s="53"/>
      <c r="DW165" s="53"/>
      <c r="DX165" s="91" t="str">
        <f t="shared" si="125"/>
        <v>--</v>
      </c>
      <c r="DY165" s="89">
        <f>IF(Table645[[#This Row],[Column128]]="--",0,Table645[[#This Row],[Column4]]*Table645[[#This Row],[Column128]])</f>
        <v>0</v>
      </c>
      <c r="EA165" s="89">
        <f>IF(Table645[[#This Row],[Column128]]="--",0,Table645[[#This Row],[Column4]]*Table645[[#This Row],[Column128]])</f>
        <v>0</v>
      </c>
      <c r="EC165" s="89">
        <f>IF(Table645[[#This Row],[Column128]]="--",0,Table645[[#This Row],[Column4]]*Table645[[#This Row],[Column128]])</f>
        <v>0</v>
      </c>
      <c r="EE165" s="89">
        <f>IF(Table645[[#This Row],[Column128]]="--",0,Table645[[#This Row],[Column4]]*Table645[[#This Row],[Column128]])</f>
        <v>0</v>
      </c>
      <c r="EG165" s="89">
        <f>IF(Table645[[#This Row],[Column128]]="--",0,Table645[[#This Row],[Column4]]*Table645[[#This Row],[Column128]])</f>
        <v>0</v>
      </c>
      <c r="EI165" s="89">
        <f>IF(Table645[[#This Row],[Column128]]="--",0,Table645[[#This Row],[Column4]]*Table645[[#This Row],[Column128]])</f>
        <v>0</v>
      </c>
    </row>
    <row r="166" spans="1:139" x14ac:dyDescent="0.25">
      <c r="A166" s="140"/>
      <c r="B166" s="79"/>
      <c r="C166" s="140"/>
      <c r="D166" s="167"/>
      <c r="E166" s="52"/>
      <c r="F166" s="81"/>
      <c r="G166" s="81"/>
      <c r="H166" s="102" t="str">
        <f t="shared" si="116"/>
        <v>--</v>
      </c>
      <c r="I166" s="100">
        <f>IF(Table645[[#This Row],[Column8]]="--",0,Table645[[#This Row],[Column4]]*Table645[[#This Row],[Column8]])</f>
        <v>0</v>
      </c>
      <c r="J166" s="169"/>
      <c r="K166" s="85">
        <f>Table645[[#This Row],[Column4]]*Table645[[#This Row],[Column10]]</f>
        <v>0</v>
      </c>
      <c r="L166" s="170" t="str">
        <f t="shared" si="117"/>
        <v>--</v>
      </c>
      <c r="M166" s="214">
        <f>IF(Table645[[#This Row],[Column10]]=0,0,Table645[[#This Row],[Column4]]*Table645[[#This Row],[Column12]])</f>
        <v>0</v>
      </c>
      <c r="N166" s="87" t="str">
        <f t="shared" si="118"/>
        <v>--</v>
      </c>
      <c r="O166" s="138"/>
      <c r="AZ166" s="89">
        <f>IF(Table645[[#This Row],[Column14]]="--",0,Table645[[#This Row],[Column4]]*Table645[[#This Row],[Column14]])</f>
        <v>0</v>
      </c>
      <c r="BA166" s="90"/>
      <c r="BB166" s="91" t="str">
        <f>IF(BA166=0,"--",BA166*$BA$3*IF(Table645[[#This Row],[Column5]]&lt;4.1,1,2)/60/24)</f>
        <v>--</v>
      </c>
      <c r="BC166" s="92">
        <f>IF(Table645[[#This Row],[Column54]]="--",0,Table645[[#This Row],[Column4]]*Table645[[#This Row],[Column54]])</f>
        <v>0</v>
      </c>
      <c r="BD166" s="119"/>
      <c r="BE166" s="119"/>
      <c r="BF166" s="119"/>
      <c r="BG166" s="91" t="str">
        <f>IF(BD166+Table645[[#This Row],[Column58]]=0,"--",(BD166*$BF$3*Table645[[#This Row],[Column57]]+Table645[[#This Row],[Column58]]*$BF$4)/60/24)</f>
        <v>--</v>
      </c>
      <c r="BH166" s="92">
        <f>IF(Table645[[#This Row],[Column59]]="--",0,Table645[[#This Row],[Column4]]*Table645[[#This Row],[Column59]])</f>
        <v>0</v>
      </c>
      <c r="BI166" s="119"/>
      <c r="BJ166" s="91" t="str">
        <f t="shared" si="126"/>
        <v>--</v>
      </c>
      <c r="BK166" s="92">
        <f>IF(Table645[[#This Row],[Column62]]="--",0,Table645[[#This Row],[Column4]]*Table645[[#This Row],[Column62]])</f>
        <v>0</v>
      </c>
      <c r="BL166" s="93"/>
      <c r="BM166" s="91" t="str">
        <f t="shared" si="119"/>
        <v>--</v>
      </c>
      <c r="BN166" s="89">
        <f>IF(Table645[[#This Row],[Column65]]="--",0,Table645[[#This Row],[Column4]]*Table645[[#This Row],[Column65]])</f>
        <v>0</v>
      </c>
      <c r="BO166" s="163"/>
      <c r="BP166" s="164" t="str">
        <f t="shared" si="120"/>
        <v>--</v>
      </c>
      <c r="BQ166" s="160">
        <f>IF(Table645[[#This Row],[Column68]]="--",0,Table645[[#This Row],[Column4]]*Table645[[#This Row],[Column68]])</f>
        <v>0</v>
      </c>
      <c r="BR166" s="94"/>
      <c r="BS166" s="91" t="str">
        <f t="shared" si="121"/>
        <v>--</v>
      </c>
      <c r="BT166" s="92">
        <f>IF(Table645[[#This Row],[Column71]]="--",0,Table645[[#This Row],[Column4]]*Table645[[#This Row],[Column71]])</f>
        <v>0</v>
      </c>
      <c r="BU166" s="44"/>
      <c r="BV166" s="90"/>
      <c r="BW166" s="91" t="str">
        <f>IF(BV166=0,"--",(Table645[[#This Row],[Column73]]*$BV$4*(IF(J166&lt;0.5001,1,IF(J166&lt;2.0001,2,3)))+BV166/$BV$3)/60/24)</f>
        <v>--</v>
      </c>
      <c r="BX166" s="92">
        <f>IF(Table645[[#This Row],[Column75]]="--",0,Table645[[#This Row],[Column4]]*Table645[[#This Row],[Column75]])</f>
        <v>0</v>
      </c>
      <c r="BY166" s="95" t="s">
        <v>70</v>
      </c>
      <c r="BZ166" s="91" t="str">
        <f>IF(Table645[[#This Row],[Column74]]=0,"--",BW166*$BY$3)</f>
        <v>--</v>
      </c>
      <c r="CA166" s="89">
        <f>IF(Table645[[#This Row],[Column78]]="--",0,Table645[[#This Row],[Column4]]*Table645[[#This Row],[Column78]])</f>
        <v>0</v>
      </c>
      <c r="CB166" s="95" t="s">
        <v>70</v>
      </c>
      <c r="CC166" s="91" t="str">
        <f>IF(Table645[[#This Row],[Column10]]+Table645[[#This Row],[Column74]]=0,"--",J166*$CB$4*$CB$5/(24*60)+IF(Table645[[#This Row],[Column74]]=0,0,$CB$3*Table645[[#This Row],[Column75]]))</f>
        <v>--</v>
      </c>
      <c r="CD166" s="92">
        <f>IF(Table645[[#This Row],[Column81]]="--",0,Table645[[#This Row],[Column4]]*Table645[[#This Row],[Column81]])</f>
        <v>0</v>
      </c>
      <c r="CE166" s="215"/>
      <c r="CF166" s="91" t="str">
        <f t="shared" si="127"/>
        <v>--</v>
      </c>
      <c r="CG166" s="92">
        <f>IF(Table645[[#This Row],[Column84]]="--",0,Table645[[#This Row],[Column4]]*Table645[[#This Row],[Column84]])</f>
        <v>0</v>
      </c>
      <c r="CH166" s="226"/>
      <c r="CI166" s="216"/>
      <c r="CJ166" s="91" t="str">
        <f>IF(CI166=0,"--",(Table645[[#This Row],[Column86]]*$CI$4*(IF(W166&lt;0.5001,1,IF(W166&lt;2.0001,2,3)))+CI166/$CI$3)/60/24)</f>
        <v>--</v>
      </c>
      <c r="CK166" s="92">
        <f>IF(Table645[[#This Row],[Column88]]="--",0,Table645[[#This Row],[Column4]]*Table645[[#This Row],[Column88]])</f>
        <v>0</v>
      </c>
      <c r="CL166" s="217"/>
      <c r="CM166" s="91" t="str">
        <f>IF(Table645[[#This Row],[Column87]]=0,"--",CJ166*$CL$3)</f>
        <v>--</v>
      </c>
      <c r="CN166" s="92">
        <f>IF(Table645[[#This Row],[Column91]]="--",0,Table645[[#This Row],[Column4]]*Table645[[#This Row],[Column91]])</f>
        <v>0</v>
      </c>
      <c r="CO166" s="217"/>
      <c r="CP166" s="91" t="str">
        <f>IF(Table645[[#This Row],[Column10]]+Table645[[#This Row],[Column87]]=0, "--", IF($D166="", 1, $D166) * IF($J166="", 1, $J166) * $CO$3 * $CO$4 * IF(Table645[[#This Row],[Column95]]="", 1, Table645[[#This Row],[Column95]]) / (24 * 60))</f>
        <v>--</v>
      </c>
      <c r="CQ166" s="164"/>
      <c r="CR166" s="92">
        <f>IF(Table645[[#This Row],[Column94]]="--",0,Table645[[#This Row],[Column4]]*Table645[[#This Row],[Column94]])</f>
        <v>0</v>
      </c>
      <c r="CS166" s="218" t="str">
        <f>IF(Table645[[#This Row],[Column87]]="","",Table645[[#This Row],[Column87]])</f>
        <v/>
      </c>
      <c r="CT166" s="91" t="str">
        <f>IF(Table645[[#This Row],[Column97]]="","--",Table645[[#This Row],[Column97]]/$CS$3/60/24)</f>
        <v>--</v>
      </c>
      <c r="CU166" s="92">
        <f>IF(Table645[[#This Row],[Column98]]="--",0,Table645[[#This Row],[Column4]]*Table645[[#This Row],[Column98]])</f>
        <v>0</v>
      </c>
      <c r="CV166" s="93"/>
      <c r="CW166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66" s="91" t="str">
        <f>IF(OR(Table645[[#This Row],[Column74]]&gt;0,Table645[[#This Row],[Column87]]&gt;0),(Table645[[#This Row],[Column73]]+Table645[[#This Row],[Column86]]+1)*$CW$3/60/24,"--")</f>
        <v>--</v>
      </c>
      <c r="CY166" s="92">
        <f>IF(Table645[[#This Row],[Column102]]="--",0,Table645[[#This Row],[Column4]]*Table645[[#This Row],[Column102]])</f>
        <v>0</v>
      </c>
      <c r="CZ166" s="158" t="str">
        <f t="shared" si="122"/>
        <v>--</v>
      </c>
      <c r="DA166" s="153"/>
      <c r="DB166" s="160">
        <f>IF(Table645[[#This Row],[Column104]]="--",0,Table645[[#This Row],[Column4]]*Table645[[#This Row],[Column104]])</f>
        <v>0</v>
      </c>
      <c r="DC166" s="219"/>
      <c r="DD166" s="220" t="str">
        <f>IF(DC166=0,"--",1/$DC$3*1000/(60*60*24)*Table645[[#This Row],[Column107]])</f>
        <v>--</v>
      </c>
      <c r="DE166" s="160">
        <f>IF(Table645[[#This Row],[Column108]]="--",0,Table645[[#This Row],[Column4]]*Table645[[#This Row],[Column108]])</f>
        <v>0</v>
      </c>
      <c r="DF166" s="101" t="s">
        <v>70</v>
      </c>
      <c r="DG166" s="91" t="str">
        <f t="shared" si="123"/>
        <v>--</v>
      </c>
      <c r="DH166" s="89">
        <f>IF(Table645[[#This Row],[Column111]]="--",0,Table645[[#This Row],[Column4]]*Table645[[#This Row],[Column111]])</f>
        <v>0</v>
      </c>
      <c r="DI166" s="96"/>
      <c r="DJ166" s="96"/>
      <c r="DK166" s="96"/>
      <c r="DL166" s="96"/>
      <c r="DM166" s="96"/>
      <c r="DN166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66" s="89">
        <f>IF(Table645[[#This Row],[Column118]]="--",0,Table645[[#This Row],[Column4]]*Table645[[#This Row],[Column118]])</f>
        <v>0</v>
      </c>
      <c r="DP166" s="96"/>
      <c r="DQ166" s="96"/>
      <c r="DR166" s="91" t="str">
        <f t="shared" si="124"/>
        <v>--</v>
      </c>
      <c r="DS166" s="89">
        <f>IF(Table645[[#This Row],[Column122]]="--",0,Table645[[#This Row],[Column4]]*Table645[[#This Row],[Column122]])</f>
        <v>0</v>
      </c>
      <c r="DT166" t="str">
        <f>IF(Table645[[#This Row],[Column125]]=0,"--",Table645[[#This Row],[Column125]]*Table645[[#This Row],[Column126]]*Table645[[#This Row],[Column127]]/1000000000)</f>
        <v>--</v>
      </c>
      <c r="DU166" s="53"/>
      <c r="DV166" s="53"/>
      <c r="DW166" s="53"/>
      <c r="DX166" s="91" t="str">
        <f t="shared" si="125"/>
        <v>--</v>
      </c>
      <c r="DY166" s="89">
        <f>IF(Table645[[#This Row],[Column128]]="--",0,Table645[[#This Row],[Column4]]*Table645[[#This Row],[Column128]])</f>
        <v>0</v>
      </c>
      <c r="EA166" s="89">
        <f>IF(Table645[[#This Row],[Column128]]="--",0,Table645[[#This Row],[Column4]]*Table645[[#This Row],[Column128]])</f>
        <v>0</v>
      </c>
      <c r="EC166" s="89">
        <f>IF(Table645[[#This Row],[Column128]]="--",0,Table645[[#This Row],[Column4]]*Table645[[#This Row],[Column128]])</f>
        <v>0</v>
      </c>
      <c r="EE166" s="89">
        <f>IF(Table645[[#This Row],[Column128]]="--",0,Table645[[#This Row],[Column4]]*Table645[[#This Row],[Column128]])</f>
        <v>0</v>
      </c>
      <c r="EG166" s="89">
        <f>IF(Table645[[#This Row],[Column128]]="--",0,Table645[[#This Row],[Column4]]*Table645[[#This Row],[Column128]])</f>
        <v>0</v>
      </c>
      <c r="EI166" s="89">
        <f>IF(Table645[[#This Row],[Column128]]="--",0,Table645[[#This Row],[Column4]]*Table645[[#This Row],[Column128]])</f>
        <v>0</v>
      </c>
    </row>
    <row r="167" spans="1:139" x14ac:dyDescent="0.25">
      <c r="A167" s="140"/>
      <c r="B167" s="79"/>
      <c r="C167" s="140"/>
      <c r="D167" s="167"/>
      <c r="E167" s="52"/>
      <c r="F167" s="81"/>
      <c r="G167" s="81"/>
      <c r="H167" s="102" t="str">
        <f t="shared" si="116"/>
        <v>--</v>
      </c>
      <c r="I167" s="100">
        <f>IF(Table645[[#This Row],[Column8]]="--",0,Table645[[#This Row],[Column4]]*Table645[[#This Row],[Column8]])</f>
        <v>0</v>
      </c>
      <c r="J167" s="169"/>
      <c r="K167" s="85">
        <f>Table645[[#This Row],[Column4]]*Table645[[#This Row],[Column10]]</f>
        <v>0</v>
      </c>
      <c r="L167" s="170" t="str">
        <f t="shared" si="117"/>
        <v>--</v>
      </c>
      <c r="M167" s="214">
        <f>IF(Table645[[#This Row],[Column10]]=0,0,Table645[[#This Row],[Column4]]*Table645[[#This Row],[Column12]])</f>
        <v>0</v>
      </c>
      <c r="N167" s="87" t="str">
        <f t="shared" si="118"/>
        <v>--</v>
      </c>
      <c r="O167" s="138"/>
      <c r="AZ167" s="89">
        <f>IF(Table645[[#This Row],[Column14]]="--",0,Table645[[#This Row],[Column4]]*Table645[[#This Row],[Column14]])</f>
        <v>0</v>
      </c>
      <c r="BA167" s="90"/>
      <c r="BB167" s="91" t="str">
        <f>IF(BA167=0,"--",BA167*$BA$3*IF(Table645[[#This Row],[Column5]]&lt;4.1,1,2)/60/24)</f>
        <v>--</v>
      </c>
      <c r="BC167" s="92">
        <f>IF(Table645[[#This Row],[Column54]]="--",0,Table645[[#This Row],[Column4]]*Table645[[#This Row],[Column54]])</f>
        <v>0</v>
      </c>
      <c r="BD167" s="119"/>
      <c r="BE167" s="119"/>
      <c r="BF167" s="119"/>
      <c r="BG167" s="91" t="str">
        <f>IF(BD167+Table645[[#This Row],[Column58]]=0,"--",(BD167*$BF$3*Table645[[#This Row],[Column57]]+Table645[[#This Row],[Column58]]*$BF$4)/60/24)</f>
        <v>--</v>
      </c>
      <c r="BH167" s="92">
        <f>IF(Table645[[#This Row],[Column59]]="--",0,Table645[[#This Row],[Column4]]*Table645[[#This Row],[Column59]])</f>
        <v>0</v>
      </c>
      <c r="BI167" s="119"/>
      <c r="BJ167" s="91" t="str">
        <f t="shared" si="126"/>
        <v>--</v>
      </c>
      <c r="BK167" s="92">
        <f>IF(Table645[[#This Row],[Column62]]="--",0,Table645[[#This Row],[Column4]]*Table645[[#This Row],[Column62]])</f>
        <v>0</v>
      </c>
      <c r="BL167" s="93"/>
      <c r="BM167" s="91" t="str">
        <f t="shared" si="119"/>
        <v>--</v>
      </c>
      <c r="BN167" s="89">
        <f>IF(Table645[[#This Row],[Column65]]="--",0,Table645[[#This Row],[Column4]]*Table645[[#This Row],[Column65]])</f>
        <v>0</v>
      </c>
      <c r="BO167" s="163"/>
      <c r="BP167" s="164" t="str">
        <f t="shared" si="120"/>
        <v>--</v>
      </c>
      <c r="BQ167" s="160">
        <f>IF(Table645[[#This Row],[Column68]]="--",0,Table645[[#This Row],[Column4]]*Table645[[#This Row],[Column68]])</f>
        <v>0</v>
      </c>
      <c r="BR167" s="94"/>
      <c r="BS167" s="91" t="str">
        <f t="shared" si="121"/>
        <v>--</v>
      </c>
      <c r="BT167" s="92">
        <f>IF(Table645[[#This Row],[Column71]]="--",0,Table645[[#This Row],[Column4]]*Table645[[#This Row],[Column71]])</f>
        <v>0</v>
      </c>
      <c r="BU167" s="44"/>
      <c r="BV167" s="90"/>
      <c r="BW167" s="91" t="str">
        <f>IF(BV167=0,"--",(Table645[[#This Row],[Column73]]*$BV$4*(IF(J167&lt;0.5001,1,IF(J167&lt;2.0001,2,3)))+BV167/$BV$3)/60/24)</f>
        <v>--</v>
      </c>
      <c r="BX167" s="92">
        <f>IF(Table645[[#This Row],[Column75]]="--",0,Table645[[#This Row],[Column4]]*Table645[[#This Row],[Column75]])</f>
        <v>0</v>
      </c>
      <c r="BY167" s="95" t="s">
        <v>70</v>
      </c>
      <c r="BZ167" s="91" t="str">
        <f>IF(Table645[[#This Row],[Column74]]=0,"--",BW167*$BY$3)</f>
        <v>--</v>
      </c>
      <c r="CA167" s="89">
        <f>IF(Table645[[#This Row],[Column78]]="--",0,Table645[[#This Row],[Column4]]*Table645[[#This Row],[Column78]])</f>
        <v>0</v>
      </c>
      <c r="CB167" s="95" t="s">
        <v>70</v>
      </c>
      <c r="CC167" s="91" t="str">
        <f>IF(Table645[[#This Row],[Column10]]+Table645[[#This Row],[Column74]]=0,"--",J167*$CB$4*$CB$5/(24*60)+IF(Table645[[#This Row],[Column74]]=0,0,$CB$3*Table645[[#This Row],[Column75]]))</f>
        <v>--</v>
      </c>
      <c r="CD167" s="92">
        <f>IF(Table645[[#This Row],[Column81]]="--",0,Table645[[#This Row],[Column4]]*Table645[[#This Row],[Column81]])</f>
        <v>0</v>
      </c>
      <c r="CE167" s="215"/>
      <c r="CF167" s="91" t="str">
        <f t="shared" si="127"/>
        <v>--</v>
      </c>
      <c r="CG167" s="92">
        <f>IF(Table645[[#This Row],[Column84]]="--",0,Table645[[#This Row],[Column4]]*Table645[[#This Row],[Column84]])</f>
        <v>0</v>
      </c>
      <c r="CH167" s="226"/>
      <c r="CI167" s="216"/>
      <c r="CJ167" s="91" t="str">
        <f>IF(CI167=0,"--",(Table645[[#This Row],[Column86]]*$CI$4*(IF(W167&lt;0.5001,1,IF(W167&lt;2.0001,2,3)))+CI167/$CI$3)/60/24)</f>
        <v>--</v>
      </c>
      <c r="CK167" s="92">
        <f>IF(Table645[[#This Row],[Column88]]="--",0,Table645[[#This Row],[Column4]]*Table645[[#This Row],[Column88]])</f>
        <v>0</v>
      </c>
      <c r="CL167" s="217"/>
      <c r="CM167" s="91" t="str">
        <f>IF(Table645[[#This Row],[Column87]]=0,"--",CJ167*$CL$3)</f>
        <v>--</v>
      </c>
      <c r="CN167" s="92">
        <f>IF(Table645[[#This Row],[Column91]]="--",0,Table645[[#This Row],[Column4]]*Table645[[#This Row],[Column91]])</f>
        <v>0</v>
      </c>
      <c r="CO167" s="217"/>
      <c r="CP167" s="91" t="str">
        <f>IF(Table645[[#This Row],[Column10]]+Table645[[#This Row],[Column87]]=0, "--", IF($D167="", 1, $D167) * IF($J167="", 1, $J167) * $CO$3 * $CO$4 * IF(Table645[[#This Row],[Column95]]="", 1, Table645[[#This Row],[Column95]]) / (24 * 60))</f>
        <v>--</v>
      </c>
      <c r="CQ167" s="164"/>
      <c r="CR167" s="92">
        <f>IF(Table645[[#This Row],[Column94]]="--",0,Table645[[#This Row],[Column4]]*Table645[[#This Row],[Column94]])</f>
        <v>0</v>
      </c>
      <c r="CS167" s="218" t="str">
        <f>IF(Table645[[#This Row],[Column87]]="","",Table645[[#This Row],[Column87]])</f>
        <v/>
      </c>
      <c r="CT167" s="91" t="str">
        <f>IF(Table645[[#This Row],[Column97]]="","--",Table645[[#This Row],[Column97]]/$CS$3/60/24)</f>
        <v>--</v>
      </c>
      <c r="CU167" s="92">
        <f>IF(Table645[[#This Row],[Column98]]="--",0,Table645[[#This Row],[Column4]]*Table645[[#This Row],[Column98]])</f>
        <v>0</v>
      </c>
      <c r="CV167" s="93"/>
      <c r="CW167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67" s="91" t="str">
        <f>IF(OR(Table645[[#This Row],[Column74]]&gt;0,Table645[[#This Row],[Column87]]&gt;0),(Table645[[#This Row],[Column73]]+Table645[[#This Row],[Column86]]+1)*$CW$3/60/24,"--")</f>
        <v>--</v>
      </c>
      <c r="CY167" s="92">
        <f>IF(Table645[[#This Row],[Column102]]="--",0,Table645[[#This Row],[Column4]]*Table645[[#This Row],[Column102]])</f>
        <v>0</v>
      </c>
      <c r="CZ167" s="158" t="str">
        <f t="shared" si="122"/>
        <v>--</v>
      </c>
      <c r="DA167" s="153"/>
      <c r="DB167" s="160">
        <f>IF(Table645[[#This Row],[Column104]]="--",0,Table645[[#This Row],[Column4]]*Table645[[#This Row],[Column104]])</f>
        <v>0</v>
      </c>
      <c r="DC167" s="219"/>
      <c r="DD167" s="220" t="str">
        <f>IF(DC167=0,"--",1/$DC$3*1000/(60*60*24)*Table645[[#This Row],[Column107]])</f>
        <v>--</v>
      </c>
      <c r="DE167" s="160">
        <f>IF(Table645[[#This Row],[Column108]]="--",0,Table645[[#This Row],[Column4]]*Table645[[#This Row],[Column108]])</f>
        <v>0</v>
      </c>
      <c r="DF167" s="101" t="s">
        <v>70</v>
      </c>
      <c r="DG167" s="91" t="str">
        <f t="shared" si="123"/>
        <v>--</v>
      </c>
      <c r="DH167" s="89">
        <f>IF(Table645[[#This Row],[Column111]]="--",0,Table645[[#This Row],[Column4]]*Table645[[#This Row],[Column111]])</f>
        <v>0</v>
      </c>
      <c r="DI167" s="96"/>
      <c r="DJ167" s="96"/>
      <c r="DK167" s="96"/>
      <c r="DL167" s="96"/>
      <c r="DM167" s="96"/>
      <c r="DN167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67" s="89">
        <f>IF(Table645[[#This Row],[Column118]]="--",0,Table645[[#This Row],[Column4]]*Table645[[#This Row],[Column118]])</f>
        <v>0</v>
      </c>
      <c r="DP167" s="96"/>
      <c r="DQ167" s="96"/>
      <c r="DR167" s="91" t="str">
        <f t="shared" si="124"/>
        <v>--</v>
      </c>
      <c r="DS167" s="89">
        <f>IF(Table645[[#This Row],[Column122]]="--",0,Table645[[#This Row],[Column4]]*Table645[[#This Row],[Column122]])</f>
        <v>0</v>
      </c>
      <c r="DT167" t="str">
        <f>IF(Table645[[#This Row],[Column125]]=0,"--",Table645[[#This Row],[Column125]]*Table645[[#This Row],[Column126]]*Table645[[#This Row],[Column127]]/1000000000)</f>
        <v>--</v>
      </c>
      <c r="DU167" s="53"/>
      <c r="DV167" s="53"/>
      <c r="DW167" s="53"/>
      <c r="DX167" s="91" t="str">
        <f t="shared" si="125"/>
        <v>--</v>
      </c>
      <c r="DY167" s="89">
        <f>IF(Table645[[#This Row],[Column128]]="--",0,Table645[[#This Row],[Column4]]*Table645[[#This Row],[Column128]])</f>
        <v>0</v>
      </c>
      <c r="EA167" s="89">
        <f>IF(Table645[[#This Row],[Column128]]="--",0,Table645[[#This Row],[Column4]]*Table645[[#This Row],[Column128]])</f>
        <v>0</v>
      </c>
      <c r="EC167" s="89">
        <f>IF(Table645[[#This Row],[Column128]]="--",0,Table645[[#This Row],[Column4]]*Table645[[#This Row],[Column128]])</f>
        <v>0</v>
      </c>
      <c r="EE167" s="89">
        <f>IF(Table645[[#This Row],[Column128]]="--",0,Table645[[#This Row],[Column4]]*Table645[[#This Row],[Column128]])</f>
        <v>0</v>
      </c>
      <c r="EG167" s="89">
        <f>IF(Table645[[#This Row],[Column128]]="--",0,Table645[[#This Row],[Column4]]*Table645[[#This Row],[Column128]])</f>
        <v>0</v>
      </c>
      <c r="EI167" s="89">
        <f>IF(Table645[[#This Row],[Column128]]="--",0,Table645[[#This Row],[Column4]]*Table645[[#This Row],[Column128]])</f>
        <v>0</v>
      </c>
    </row>
    <row r="168" spans="1:139" x14ac:dyDescent="0.25">
      <c r="A168" s="140"/>
      <c r="B168" s="79"/>
      <c r="C168" s="140"/>
      <c r="D168" s="167"/>
      <c r="E168" s="52"/>
      <c r="F168" s="81"/>
      <c r="G168" s="81"/>
      <c r="H168" s="102" t="str">
        <f t="shared" si="116"/>
        <v>--</v>
      </c>
      <c r="I168" s="100">
        <f>IF(Table645[[#This Row],[Column8]]="--",0,Table645[[#This Row],[Column4]]*Table645[[#This Row],[Column8]])</f>
        <v>0</v>
      </c>
      <c r="J168" s="169"/>
      <c r="K168" s="85">
        <f>Table645[[#This Row],[Column4]]*Table645[[#This Row],[Column10]]</f>
        <v>0</v>
      </c>
      <c r="L168" s="170" t="str">
        <f t="shared" si="117"/>
        <v>--</v>
      </c>
      <c r="M168" s="214">
        <f>IF(Table645[[#This Row],[Column10]]=0,0,Table645[[#This Row],[Column4]]*Table645[[#This Row],[Column12]])</f>
        <v>0</v>
      </c>
      <c r="N168" s="87" t="str">
        <f t="shared" si="118"/>
        <v>--</v>
      </c>
      <c r="O168" s="138"/>
      <c r="AZ168" s="89">
        <f>IF(Table645[[#This Row],[Column14]]="--",0,Table645[[#This Row],[Column4]]*Table645[[#This Row],[Column14]])</f>
        <v>0</v>
      </c>
      <c r="BA168" s="90"/>
      <c r="BB168" s="91" t="str">
        <f>IF(BA168=0,"--",BA168*$BA$3*IF(Table645[[#This Row],[Column5]]&lt;4.1,1,2)/60/24)</f>
        <v>--</v>
      </c>
      <c r="BC168" s="92">
        <f>IF(Table645[[#This Row],[Column54]]="--",0,Table645[[#This Row],[Column4]]*Table645[[#This Row],[Column54]])</f>
        <v>0</v>
      </c>
      <c r="BD168" s="119"/>
      <c r="BE168" s="119"/>
      <c r="BF168" s="119"/>
      <c r="BG168" s="91" t="str">
        <f>IF(BD168+Table645[[#This Row],[Column58]]=0,"--",(BD168*$BF$3*Table645[[#This Row],[Column57]]+Table645[[#This Row],[Column58]]*$BF$4)/60/24)</f>
        <v>--</v>
      </c>
      <c r="BH168" s="92">
        <f>IF(Table645[[#This Row],[Column59]]="--",0,Table645[[#This Row],[Column4]]*Table645[[#This Row],[Column59]])</f>
        <v>0</v>
      </c>
      <c r="BI168" s="119"/>
      <c r="BJ168" s="91" t="str">
        <f t="shared" si="126"/>
        <v>--</v>
      </c>
      <c r="BK168" s="92">
        <f>IF(Table645[[#This Row],[Column62]]="--",0,Table645[[#This Row],[Column4]]*Table645[[#This Row],[Column62]])</f>
        <v>0</v>
      </c>
      <c r="BL168" s="93"/>
      <c r="BM168" s="91" t="str">
        <f t="shared" si="119"/>
        <v>--</v>
      </c>
      <c r="BN168" s="89">
        <f>IF(Table645[[#This Row],[Column65]]="--",0,Table645[[#This Row],[Column4]]*Table645[[#This Row],[Column65]])</f>
        <v>0</v>
      </c>
      <c r="BO168" s="163"/>
      <c r="BP168" s="164" t="str">
        <f t="shared" si="120"/>
        <v>--</v>
      </c>
      <c r="BQ168" s="160">
        <f>IF(Table645[[#This Row],[Column68]]="--",0,Table645[[#This Row],[Column4]]*Table645[[#This Row],[Column68]])</f>
        <v>0</v>
      </c>
      <c r="BR168" s="94"/>
      <c r="BS168" s="91" t="str">
        <f t="shared" si="121"/>
        <v>--</v>
      </c>
      <c r="BT168" s="92">
        <f>IF(Table645[[#This Row],[Column71]]="--",0,Table645[[#This Row],[Column4]]*Table645[[#This Row],[Column71]])</f>
        <v>0</v>
      </c>
      <c r="BU168" s="44"/>
      <c r="BV168" s="90"/>
      <c r="BW168" s="91" t="str">
        <f>IF(BV168=0,"--",(Table645[[#This Row],[Column73]]*$BV$4*(IF(J168&lt;0.5001,1,IF(J168&lt;2.0001,2,3)))+BV168/$BV$3)/60/24)</f>
        <v>--</v>
      </c>
      <c r="BX168" s="92">
        <f>IF(Table645[[#This Row],[Column75]]="--",0,Table645[[#This Row],[Column4]]*Table645[[#This Row],[Column75]])</f>
        <v>0</v>
      </c>
      <c r="BY168" s="95" t="s">
        <v>70</v>
      </c>
      <c r="BZ168" s="91" t="str">
        <f>IF(Table645[[#This Row],[Column74]]=0,"--",BW168*$BY$3)</f>
        <v>--</v>
      </c>
      <c r="CA168" s="89">
        <f>IF(Table645[[#This Row],[Column78]]="--",0,Table645[[#This Row],[Column4]]*Table645[[#This Row],[Column78]])</f>
        <v>0</v>
      </c>
      <c r="CB168" s="95" t="s">
        <v>70</v>
      </c>
      <c r="CC168" s="91" t="str">
        <f>IF(Table645[[#This Row],[Column10]]+Table645[[#This Row],[Column74]]=0,"--",J168*$CB$4*$CB$5/(24*60)+IF(Table645[[#This Row],[Column74]]=0,0,$CB$3*Table645[[#This Row],[Column75]]))</f>
        <v>--</v>
      </c>
      <c r="CD168" s="92">
        <f>IF(Table645[[#This Row],[Column81]]="--",0,Table645[[#This Row],[Column4]]*Table645[[#This Row],[Column81]])</f>
        <v>0</v>
      </c>
      <c r="CE168" s="215"/>
      <c r="CF168" s="91" t="str">
        <f t="shared" si="127"/>
        <v>--</v>
      </c>
      <c r="CG168" s="92">
        <f>IF(Table645[[#This Row],[Column84]]="--",0,Table645[[#This Row],[Column4]]*Table645[[#This Row],[Column84]])</f>
        <v>0</v>
      </c>
      <c r="CH168" s="226"/>
      <c r="CI168" s="216"/>
      <c r="CJ168" s="91" t="str">
        <f>IF(CI168=0,"--",(Table645[[#This Row],[Column86]]*$CI$4*(IF(W168&lt;0.5001,1,IF(W168&lt;2.0001,2,3)))+CI168/$CI$3)/60/24)</f>
        <v>--</v>
      </c>
      <c r="CK168" s="92">
        <f>IF(Table645[[#This Row],[Column88]]="--",0,Table645[[#This Row],[Column4]]*Table645[[#This Row],[Column88]])</f>
        <v>0</v>
      </c>
      <c r="CL168" s="217"/>
      <c r="CM168" s="91" t="str">
        <f>IF(Table645[[#This Row],[Column87]]=0,"--",CJ168*$CL$3)</f>
        <v>--</v>
      </c>
      <c r="CN168" s="92">
        <f>IF(Table645[[#This Row],[Column91]]="--",0,Table645[[#This Row],[Column4]]*Table645[[#This Row],[Column91]])</f>
        <v>0</v>
      </c>
      <c r="CO168" s="217"/>
      <c r="CP168" s="91" t="str">
        <f>IF(Table645[[#This Row],[Column10]]+Table645[[#This Row],[Column87]]=0, "--", IF($D168="", 1, $D168) * IF($J168="", 1, $J168) * $CO$3 * $CO$4 * IF(Table645[[#This Row],[Column95]]="", 1, Table645[[#This Row],[Column95]]) / (24 * 60))</f>
        <v>--</v>
      </c>
      <c r="CQ168" s="164"/>
      <c r="CR168" s="92">
        <f>IF(Table645[[#This Row],[Column94]]="--",0,Table645[[#This Row],[Column4]]*Table645[[#This Row],[Column94]])</f>
        <v>0</v>
      </c>
      <c r="CS168" s="218" t="str">
        <f>IF(Table645[[#This Row],[Column87]]="","",Table645[[#This Row],[Column87]])</f>
        <v/>
      </c>
      <c r="CT168" s="91" t="str">
        <f>IF(Table645[[#This Row],[Column97]]="","--",Table645[[#This Row],[Column97]]/$CS$3/60/24)</f>
        <v>--</v>
      </c>
      <c r="CU168" s="92">
        <f>IF(Table645[[#This Row],[Column98]]="--",0,Table645[[#This Row],[Column4]]*Table645[[#This Row],[Column98]])</f>
        <v>0</v>
      </c>
      <c r="CV168" s="93"/>
      <c r="CW168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68" s="91" t="str">
        <f>IF(OR(Table645[[#This Row],[Column74]]&gt;0,Table645[[#This Row],[Column87]]&gt;0),(Table645[[#This Row],[Column73]]+Table645[[#This Row],[Column86]]+1)*$CW$3/60/24,"--")</f>
        <v>--</v>
      </c>
      <c r="CY168" s="92">
        <f>IF(Table645[[#This Row],[Column102]]="--",0,Table645[[#This Row],[Column4]]*Table645[[#This Row],[Column102]])</f>
        <v>0</v>
      </c>
      <c r="CZ168" s="158" t="str">
        <f t="shared" si="122"/>
        <v>--</v>
      </c>
      <c r="DA168" s="153"/>
      <c r="DB168" s="160">
        <f>IF(Table645[[#This Row],[Column104]]="--",0,Table645[[#This Row],[Column4]]*Table645[[#This Row],[Column104]])</f>
        <v>0</v>
      </c>
      <c r="DC168" s="219"/>
      <c r="DD168" s="220" t="str">
        <f>IF(DC168=0,"--",1/$DC$3*1000/(60*60*24)*Table645[[#This Row],[Column107]])</f>
        <v>--</v>
      </c>
      <c r="DE168" s="160">
        <f>IF(Table645[[#This Row],[Column108]]="--",0,Table645[[#This Row],[Column4]]*Table645[[#This Row],[Column108]])</f>
        <v>0</v>
      </c>
      <c r="DF168" s="101" t="s">
        <v>70</v>
      </c>
      <c r="DG168" s="91" t="str">
        <f t="shared" si="123"/>
        <v>--</v>
      </c>
      <c r="DH168" s="89">
        <f>IF(Table645[[#This Row],[Column111]]="--",0,Table645[[#This Row],[Column4]]*Table645[[#This Row],[Column111]])</f>
        <v>0</v>
      </c>
      <c r="DI168" s="96"/>
      <c r="DJ168" s="96"/>
      <c r="DK168" s="96"/>
      <c r="DL168" s="96"/>
      <c r="DM168" s="96"/>
      <c r="DN168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68" s="89">
        <f>IF(Table645[[#This Row],[Column118]]="--",0,Table645[[#This Row],[Column4]]*Table645[[#This Row],[Column118]])</f>
        <v>0</v>
      </c>
      <c r="DP168" s="96"/>
      <c r="DQ168" s="96"/>
      <c r="DR168" s="91" t="str">
        <f t="shared" si="124"/>
        <v>--</v>
      </c>
      <c r="DS168" s="89">
        <f>IF(Table645[[#This Row],[Column122]]="--",0,Table645[[#This Row],[Column4]]*Table645[[#This Row],[Column122]])</f>
        <v>0</v>
      </c>
      <c r="DT168" t="str">
        <f>IF(Table645[[#This Row],[Column125]]=0,"--",Table645[[#This Row],[Column125]]*Table645[[#This Row],[Column126]]*Table645[[#This Row],[Column127]]/1000000000)</f>
        <v>--</v>
      </c>
      <c r="DU168" s="53"/>
      <c r="DV168" s="53"/>
      <c r="DW168" s="53"/>
      <c r="DX168" s="91" t="str">
        <f t="shared" si="125"/>
        <v>--</v>
      </c>
      <c r="DY168" s="89">
        <f>IF(Table645[[#This Row],[Column128]]="--",0,Table645[[#This Row],[Column4]]*Table645[[#This Row],[Column128]])</f>
        <v>0</v>
      </c>
      <c r="EA168" s="89">
        <f>IF(Table645[[#This Row],[Column128]]="--",0,Table645[[#This Row],[Column4]]*Table645[[#This Row],[Column128]])</f>
        <v>0</v>
      </c>
      <c r="EC168" s="89">
        <f>IF(Table645[[#This Row],[Column128]]="--",0,Table645[[#This Row],[Column4]]*Table645[[#This Row],[Column128]])</f>
        <v>0</v>
      </c>
      <c r="EE168" s="89">
        <f>IF(Table645[[#This Row],[Column128]]="--",0,Table645[[#This Row],[Column4]]*Table645[[#This Row],[Column128]])</f>
        <v>0</v>
      </c>
      <c r="EG168" s="89">
        <f>IF(Table645[[#This Row],[Column128]]="--",0,Table645[[#This Row],[Column4]]*Table645[[#This Row],[Column128]])</f>
        <v>0</v>
      </c>
      <c r="EI168" s="89">
        <f>IF(Table645[[#This Row],[Column128]]="--",0,Table645[[#This Row],[Column4]]*Table645[[#This Row],[Column128]])</f>
        <v>0</v>
      </c>
    </row>
    <row r="169" spans="1:139" x14ac:dyDescent="0.25">
      <c r="A169" s="140"/>
      <c r="B169" s="79"/>
      <c r="C169" s="140"/>
      <c r="D169" s="167"/>
      <c r="E169" s="52"/>
      <c r="F169" s="81"/>
      <c r="G169" s="81"/>
      <c r="H169" s="102" t="str">
        <f t="shared" si="116"/>
        <v>--</v>
      </c>
      <c r="I169" s="100">
        <f>IF(Table645[[#This Row],[Column8]]="--",0,Table645[[#This Row],[Column4]]*Table645[[#This Row],[Column8]])</f>
        <v>0</v>
      </c>
      <c r="J169" s="169"/>
      <c r="K169" s="85">
        <f>Table645[[#This Row],[Column4]]*Table645[[#This Row],[Column10]]</f>
        <v>0</v>
      </c>
      <c r="L169" s="170" t="str">
        <f t="shared" si="117"/>
        <v>--</v>
      </c>
      <c r="M169" s="214">
        <f>IF(Table645[[#This Row],[Column10]]=0,0,Table645[[#This Row],[Column4]]*Table645[[#This Row],[Column12]])</f>
        <v>0</v>
      </c>
      <c r="N169" s="87" t="str">
        <f t="shared" si="118"/>
        <v>--</v>
      </c>
      <c r="O169" s="138"/>
      <c r="AZ169" s="89">
        <f>IF(Table645[[#This Row],[Column14]]="--",0,Table645[[#This Row],[Column4]]*Table645[[#This Row],[Column14]])</f>
        <v>0</v>
      </c>
      <c r="BA169" s="90"/>
      <c r="BB169" s="91" t="str">
        <f>IF(BA169=0,"--",BA169*$BA$3*IF(Table645[[#This Row],[Column5]]&lt;4.1,1,2)/60/24)</f>
        <v>--</v>
      </c>
      <c r="BC169" s="92">
        <f>IF(Table645[[#This Row],[Column54]]="--",0,Table645[[#This Row],[Column4]]*Table645[[#This Row],[Column54]])</f>
        <v>0</v>
      </c>
      <c r="BD169" s="119"/>
      <c r="BE169" s="119"/>
      <c r="BF169" s="119"/>
      <c r="BG169" s="91" t="str">
        <f>IF(BD169+Table645[[#This Row],[Column58]]=0,"--",(BD169*$BF$3*Table645[[#This Row],[Column57]]+Table645[[#This Row],[Column58]]*$BF$4)/60/24)</f>
        <v>--</v>
      </c>
      <c r="BH169" s="92">
        <f>IF(Table645[[#This Row],[Column59]]="--",0,Table645[[#This Row],[Column4]]*Table645[[#This Row],[Column59]])</f>
        <v>0</v>
      </c>
      <c r="BI169" s="119"/>
      <c r="BJ169" s="91" t="str">
        <f t="shared" si="126"/>
        <v>--</v>
      </c>
      <c r="BK169" s="92">
        <f>IF(Table645[[#This Row],[Column62]]="--",0,Table645[[#This Row],[Column4]]*Table645[[#This Row],[Column62]])</f>
        <v>0</v>
      </c>
      <c r="BL169" s="93"/>
      <c r="BM169" s="91" t="str">
        <f t="shared" si="119"/>
        <v>--</v>
      </c>
      <c r="BN169" s="89">
        <f>IF(Table645[[#This Row],[Column65]]="--",0,Table645[[#This Row],[Column4]]*Table645[[#This Row],[Column65]])</f>
        <v>0</v>
      </c>
      <c r="BO169" s="163"/>
      <c r="BP169" s="164" t="str">
        <f t="shared" si="120"/>
        <v>--</v>
      </c>
      <c r="BQ169" s="160">
        <f>IF(Table645[[#This Row],[Column68]]="--",0,Table645[[#This Row],[Column4]]*Table645[[#This Row],[Column68]])</f>
        <v>0</v>
      </c>
      <c r="BR169" s="94"/>
      <c r="BS169" s="91" t="str">
        <f t="shared" si="121"/>
        <v>--</v>
      </c>
      <c r="BT169" s="92">
        <f>IF(Table645[[#This Row],[Column71]]="--",0,Table645[[#This Row],[Column4]]*Table645[[#This Row],[Column71]])</f>
        <v>0</v>
      </c>
      <c r="BU169" s="44"/>
      <c r="BV169" s="90"/>
      <c r="BW169" s="91" t="str">
        <f>IF(BV169=0,"--",(Table645[[#This Row],[Column73]]*$BV$4*(IF(J169&lt;0.5001,1,IF(J169&lt;2.0001,2,3)))+BV169/$BV$3)/60/24)</f>
        <v>--</v>
      </c>
      <c r="BX169" s="92">
        <f>IF(Table645[[#This Row],[Column75]]="--",0,Table645[[#This Row],[Column4]]*Table645[[#This Row],[Column75]])</f>
        <v>0</v>
      </c>
      <c r="BY169" s="95" t="s">
        <v>70</v>
      </c>
      <c r="BZ169" s="91" t="str">
        <f>IF(Table645[[#This Row],[Column74]]=0,"--",BW169*$BY$3)</f>
        <v>--</v>
      </c>
      <c r="CA169" s="89">
        <f>IF(Table645[[#This Row],[Column78]]="--",0,Table645[[#This Row],[Column4]]*Table645[[#This Row],[Column78]])</f>
        <v>0</v>
      </c>
      <c r="CB169" s="95" t="s">
        <v>70</v>
      </c>
      <c r="CC169" s="91" t="str">
        <f>IF(Table645[[#This Row],[Column10]]+Table645[[#This Row],[Column74]]=0,"--",J169*$CB$4*$CB$5/(24*60)+IF(Table645[[#This Row],[Column74]]=0,0,$CB$3*Table645[[#This Row],[Column75]]))</f>
        <v>--</v>
      </c>
      <c r="CD169" s="92">
        <f>IF(Table645[[#This Row],[Column81]]="--",0,Table645[[#This Row],[Column4]]*Table645[[#This Row],[Column81]])</f>
        <v>0</v>
      </c>
      <c r="CE169" s="215"/>
      <c r="CF169" s="91" t="str">
        <f t="shared" si="127"/>
        <v>--</v>
      </c>
      <c r="CG169" s="92">
        <f>IF(Table645[[#This Row],[Column84]]="--",0,Table645[[#This Row],[Column4]]*Table645[[#This Row],[Column84]])</f>
        <v>0</v>
      </c>
      <c r="CH169" s="226"/>
      <c r="CI169" s="216"/>
      <c r="CJ169" s="91" t="str">
        <f>IF(CI169=0,"--",(Table645[[#This Row],[Column86]]*$CI$4*(IF(W169&lt;0.5001,1,IF(W169&lt;2.0001,2,3)))+CI169/$CI$3)/60/24)</f>
        <v>--</v>
      </c>
      <c r="CK169" s="92">
        <f>IF(Table645[[#This Row],[Column88]]="--",0,Table645[[#This Row],[Column4]]*Table645[[#This Row],[Column88]])</f>
        <v>0</v>
      </c>
      <c r="CL169" s="217"/>
      <c r="CM169" s="91" t="str">
        <f>IF(Table645[[#This Row],[Column87]]=0,"--",CJ169*$CL$3)</f>
        <v>--</v>
      </c>
      <c r="CN169" s="92">
        <f>IF(Table645[[#This Row],[Column91]]="--",0,Table645[[#This Row],[Column4]]*Table645[[#This Row],[Column91]])</f>
        <v>0</v>
      </c>
      <c r="CO169" s="217"/>
      <c r="CP169" s="91" t="str">
        <f>IF(Table645[[#This Row],[Column10]]+Table645[[#This Row],[Column87]]=0, "--", IF($D169="", 1, $D169) * IF($J169="", 1, $J169) * $CO$3 * $CO$4 * IF(Table645[[#This Row],[Column95]]="", 1, Table645[[#This Row],[Column95]]) / (24 * 60))</f>
        <v>--</v>
      </c>
      <c r="CQ169" s="164"/>
      <c r="CR169" s="92">
        <f>IF(Table645[[#This Row],[Column94]]="--",0,Table645[[#This Row],[Column4]]*Table645[[#This Row],[Column94]])</f>
        <v>0</v>
      </c>
      <c r="CS169" s="218" t="str">
        <f>IF(Table645[[#This Row],[Column87]]="","",Table645[[#This Row],[Column87]])</f>
        <v/>
      </c>
      <c r="CT169" s="91" t="str">
        <f>IF(Table645[[#This Row],[Column97]]="","--",Table645[[#This Row],[Column97]]/$CS$3/60/24)</f>
        <v>--</v>
      </c>
      <c r="CU169" s="92">
        <f>IF(Table645[[#This Row],[Column98]]="--",0,Table645[[#This Row],[Column4]]*Table645[[#This Row],[Column98]])</f>
        <v>0</v>
      </c>
      <c r="CV169" s="93"/>
      <c r="CW169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69" s="91" t="str">
        <f>IF(OR(Table645[[#This Row],[Column74]]&gt;0,Table645[[#This Row],[Column87]]&gt;0),(Table645[[#This Row],[Column73]]+Table645[[#This Row],[Column86]]+1)*$CW$3/60/24,"--")</f>
        <v>--</v>
      </c>
      <c r="CY169" s="92">
        <f>IF(Table645[[#This Row],[Column102]]="--",0,Table645[[#This Row],[Column4]]*Table645[[#This Row],[Column102]])</f>
        <v>0</v>
      </c>
      <c r="CZ169" s="158" t="str">
        <f t="shared" si="122"/>
        <v>--</v>
      </c>
      <c r="DA169" s="153"/>
      <c r="DB169" s="160">
        <f>IF(Table645[[#This Row],[Column104]]="--",0,Table645[[#This Row],[Column4]]*Table645[[#This Row],[Column104]])</f>
        <v>0</v>
      </c>
      <c r="DC169" s="219"/>
      <c r="DD169" s="220" t="str">
        <f>IF(DC169=0,"--",1/$DC$3*1000/(60*60*24)*Table645[[#This Row],[Column107]])</f>
        <v>--</v>
      </c>
      <c r="DE169" s="160">
        <f>IF(Table645[[#This Row],[Column108]]="--",0,Table645[[#This Row],[Column4]]*Table645[[#This Row],[Column108]])</f>
        <v>0</v>
      </c>
      <c r="DF169" s="101" t="s">
        <v>70</v>
      </c>
      <c r="DG169" s="91" t="str">
        <f t="shared" si="123"/>
        <v>--</v>
      </c>
      <c r="DH169" s="89">
        <f>IF(Table645[[#This Row],[Column111]]="--",0,Table645[[#This Row],[Column4]]*Table645[[#This Row],[Column111]])</f>
        <v>0</v>
      </c>
      <c r="DI169" s="96"/>
      <c r="DJ169" s="96"/>
      <c r="DK169" s="96"/>
      <c r="DL169" s="96"/>
      <c r="DM169" s="96"/>
      <c r="DN169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69" s="89">
        <f>IF(Table645[[#This Row],[Column118]]="--",0,Table645[[#This Row],[Column4]]*Table645[[#This Row],[Column118]])</f>
        <v>0</v>
      </c>
      <c r="DP169" s="96"/>
      <c r="DQ169" s="96"/>
      <c r="DR169" s="91" t="str">
        <f t="shared" si="124"/>
        <v>--</v>
      </c>
      <c r="DS169" s="89">
        <f>IF(Table645[[#This Row],[Column122]]="--",0,Table645[[#This Row],[Column4]]*Table645[[#This Row],[Column122]])</f>
        <v>0</v>
      </c>
      <c r="DT169" t="str">
        <f>IF(Table645[[#This Row],[Column125]]=0,"--",Table645[[#This Row],[Column125]]*Table645[[#This Row],[Column126]]*Table645[[#This Row],[Column127]]/1000000000)</f>
        <v>--</v>
      </c>
      <c r="DU169" s="53"/>
      <c r="DV169" s="53"/>
      <c r="DW169" s="53"/>
      <c r="DX169" s="91" t="str">
        <f t="shared" si="125"/>
        <v>--</v>
      </c>
      <c r="DY169" s="89">
        <f>IF(Table645[[#This Row],[Column128]]="--",0,Table645[[#This Row],[Column4]]*Table645[[#This Row],[Column128]])</f>
        <v>0</v>
      </c>
      <c r="EA169" s="89">
        <f>IF(Table645[[#This Row],[Column128]]="--",0,Table645[[#This Row],[Column4]]*Table645[[#This Row],[Column128]])</f>
        <v>0</v>
      </c>
      <c r="EC169" s="89">
        <f>IF(Table645[[#This Row],[Column128]]="--",0,Table645[[#This Row],[Column4]]*Table645[[#This Row],[Column128]])</f>
        <v>0</v>
      </c>
      <c r="EE169" s="89">
        <f>IF(Table645[[#This Row],[Column128]]="--",0,Table645[[#This Row],[Column4]]*Table645[[#This Row],[Column128]])</f>
        <v>0</v>
      </c>
      <c r="EG169" s="89">
        <f>IF(Table645[[#This Row],[Column128]]="--",0,Table645[[#This Row],[Column4]]*Table645[[#This Row],[Column128]])</f>
        <v>0</v>
      </c>
      <c r="EI169" s="89">
        <f>IF(Table645[[#This Row],[Column128]]="--",0,Table645[[#This Row],[Column4]]*Table645[[#This Row],[Column128]])</f>
        <v>0</v>
      </c>
    </row>
    <row r="170" spans="1:139" x14ac:dyDescent="0.25">
      <c r="A170" s="140"/>
      <c r="B170" s="79"/>
      <c r="C170" s="140"/>
      <c r="D170" s="167"/>
      <c r="E170" s="52"/>
      <c r="F170" s="81"/>
      <c r="G170" s="81"/>
      <c r="H170" s="102" t="str">
        <f t="shared" si="116"/>
        <v>--</v>
      </c>
      <c r="I170" s="100">
        <f>IF(Table645[[#This Row],[Column8]]="--",0,Table645[[#This Row],[Column4]]*Table645[[#This Row],[Column8]])</f>
        <v>0</v>
      </c>
      <c r="J170" s="169"/>
      <c r="K170" s="85">
        <f>Table645[[#This Row],[Column4]]*Table645[[#This Row],[Column10]]</f>
        <v>0</v>
      </c>
      <c r="L170" s="170" t="str">
        <f t="shared" si="117"/>
        <v>--</v>
      </c>
      <c r="M170" s="214">
        <f>IF(Table645[[#This Row],[Column10]]=0,0,Table645[[#This Row],[Column4]]*Table645[[#This Row],[Column12]])</f>
        <v>0</v>
      </c>
      <c r="N170" s="87" t="str">
        <f t="shared" si="118"/>
        <v>--</v>
      </c>
      <c r="O170" s="138"/>
      <c r="AZ170" s="89">
        <f>IF(Table645[[#This Row],[Column14]]="--",0,Table645[[#This Row],[Column4]]*Table645[[#This Row],[Column14]])</f>
        <v>0</v>
      </c>
      <c r="BA170" s="90"/>
      <c r="BB170" s="91" t="str">
        <f>IF(BA170=0,"--",BA170*$BA$3*IF(Table645[[#This Row],[Column5]]&lt;4.1,1,2)/60/24)</f>
        <v>--</v>
      </c>
      <c r="BC170" s="92">
        <f>IF(Table645[[#This Row],[Column54]]="--",0,Table645[[#This Row],[Column4]]*Table645[[#This Row],[Column54]])</f>
        <v>0</v>
      </c>
      <c r="BD170" s="119"/>
      <c r="BE170" s="119"/>
      <c r="BF170" s="119"/>
      <c r="BG170" s="91" t="str">
        <f>IF(BD170+Table645[[#This Row],[Column58]]=0,"--",(BD170*$BF$3*Table645[[#This Row],[Column57]]+Table645[[#This Row],[Column58]]*$BF$4)/60/24)</f>
        <v>--</v>
      </c>
      <c r="BH170" s="92">
        <f>IF(Table645[[#This Row],[Column59]]="--",0,Table645[[#This Row],[Column4]]*Table645[[#This Row],[Column59]])</f>
        <v>0</v>
      </c>
      <c r="BI170" s="119"/>
      <c r="BJ170" s="91" t="str">
        <f t="shared" si="126"/>
        <v>--</v>
      </c>
      <c r="BK170" s="92">
        <f>IF(Table645[[#This Row],[Column62]]="--",0,Table645[[#This Row],[Column4]]*Table645[[#This Row],[Column62]])</f>
        <v>0</v>
      </c>
      <c r="BL170" s="93"/>
      <c r="BM170" s="91" t="str">
        <f t="shared" si="119"/>
        <v>--</v>
      </c>
      <c r="BN170" s="89">
        <f>IF(Table645[[#This Row],[Column65]]="--",0,Table645[[#This Row],[Column4]]*Table645[[#This Row],[Column65]])</f>
        <v>0</v>
      </c>
      <c r="BO170" s="163"/>
      <c r="BP170" s="164" t="str">
        <f t="shared" si="120"/>
        <v>--</v>
      </c>
      <c r="BQ170" s="160">
        <f>IF(Table645[[#This Row],[Column68]]="--",0,Table645[[#This Row],[Column4]]*Table645[[#This Row],[Column68]])</f>
        <v>0</v>
      </c>
      <c r="BR170" s="94"/>
      <c r="BS170" s="91" t="str">
        <f t="shared" si="121"/>
        <v>--</v>
      </c>
      <c r="BT170" s="92">
        <f>IF(Table645[[#This Row],[Column71]]="--",0,Table645[[#This Row],[Column4]]*Table645[[#This Row],[Column71]])</f>
        <v>0</v>
      </c>
      <c r="BU170" s="44"/>
      <c r="BV170" s="90"/>
      <c r="BW170" s="91" t="str">
        <f>IF(BV170=0,"--",(Table645[[#This Row],[Column73]]*$BV$4*(IF(J170&lt;0.5001,1,IF(J170&lt;2.0001,2,3)))+BV170/$BV$3)/60/24)</f>
        <v>--</v>
      </c>
      <c r="BX170" s="92">
        <f>IF(Table645[[#This Row],[Column75]]="--",0,Table645[[#This Row],[Column4]]*Table645[[#This Row],[Column75]])</f>
        <v>0</v>
      </c>
      <c r="BY170" s="95" t="s">
        <v>70</v>
      </c>
      <c r="BZ170" s="91" t="str">
        <f>IF(Table645[[#This Row],[Column74]]=0,"--",BW170*$BY$3)</f>
        <v>--</v>
      </c>
      <c r="CA170" s="89">
        <f>IF(Table645[[#This Row],[Column78]]="--",0,Table645[[#This Row],[Column4]]*Table645[[#This Row],[Column78]])</f>
        <v>0</v>
      </c>
      <c r="CB170" s="95" t="s">
        <v>70</v>
      </c>
      <c r="CC170" s="91" t="str">
        <f>IF(Table645[[#This Row],[Column10]]+Table645[[#This Row],[Column74]]=0,"--",J170*$CB$4*$CB$5/(24*60)+IF(Table645[[#This Row],[Column74]]=0,0,$CB$3*Table645[[#This Row],[Column75]]))</f>
        <v>--</v>
      </c>
      <c r="CD170" s="92">
        <f>IF(Table645[[#This Row],[Column81]]="--",0,Table645[[#This Row],[Column4]]*Table645[[#This Row],[Column81]])</f>
        <v>0</v>
      </c>
      <c r="CE170" s="215"/>
      <c r="CF170" s="91" t="str">
        <f t="shared" si="127"/>
        <v>--</v>
      </c>
      <c r="CG170" s="92">
        <f>IF(Table645[[#This Row],[Column84]]="--",0,Table645[[#This Row],[Column4]]*Table645[[#This Row],[Column84]])</f>
        <v>0</v>
      </c>
      <c r="CH170" s="226"/>
      <c r="CI170" s="216"/>
      <c r="CJ170" s="91" t="str">
        <f>IF(CI170=0,"--",(Table645[[#This Row],[Column86]]*$CI$4*(IF(W170&lt;0.5001,1,IF(W170&lt;2.0001,2,3)))+CI170/$CI$3)/60/24)</f>
        <v>--</v>
      </c>
      <c r="CK170" s="92">
        <f>IF(Table645[[#This Row],[Column88]]="--",0,Table645[[#This Row],[Column4]]*Table645[[#This Row],[Column88]])</f>
        <v>0</v>
      </c>
      <c r="CL170" s="217"/>
      <c r="CM170" s="91" t="str">
        <f>IF(Table645[[#This Row],[Column87]]=0,"--",CJ170*$CL$3)</f>
        <v>--</v>
      </c>
      <c r="CN170" s="92">
        <f>IF(Table645[[#This Row],[Column91]]="--",0,Table645[[#This Row],[Column4]]*Table645[[#This Row],[Column91]])</f>
        <v>0</v>
      </c>
      <c r="CO170" s="217"/>
      <c r="CP170" s="91" t="str">
        <f>IF(Table645[[#This Row],[Column10]]+Table645[[#This Row],[Column87]]=0, "--", IF($D170="", 1, $D170) * IF($J170="", 1, $J170) * $CO$3 * $CO$4 * IF(Table645[[#This Row],[Column95]]="", 1, Table645[[#This Row],[Column95]]) / (24 * 60))</f>
        <v>--</v>
      </c>
      <c r="CQ170" s="164"/>
      <c r="CR170" s="92">
        <f>IF(Table645[[#This Row],[Column94]]="--",0,Table645[[#This Row],[Column4]]*Table645[[#This Row],[Column94]])</f>
        <v>0</v>
      </c>
      <c r="CS170" s="218" t="str">
        <f>IF(Table645[[#This Row],[Column87]]="","",Table645[[#This Row],[Column87]])</f>
        <v/>
      </c>
      <c r="CT170" s="91" t="str">
        <f>IF(Table645[[#This Row],[Column97]]="","--",Table645[[#This Row],[Column97]]/$CS$3/60/24)</f>
        <v>--</v>
      </c>
      <c r="CU170" s="92">
        <f>IF(Table645[[#This Row],[Column98]]="--",0,Table645[[#This Row],[Column4]]*Table645[[#This Row],[Column98]])</f>
        <v>0</v>
      </c>
      <c r="CV170" s="93"/>
      <c r="CW170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70" s="91" t="str">
        <f>IF(OR(Table645[[#This Row],[Column74]]&gt;0,Table645[[#This Row],[Column87]]&gt;0),(Table645[[#This Row],[Column73]]+Table645[[#This Row],[Column86]]+1)*$CW$3/60/24,"--")</f>
        <v>--</v>
      </c>
      <c r="CY170" s="92">
        <f>IF(Table645[[#This Row],[Column102]]="--",0,Table645[[#This Row],[Column4]]*Table645[[#This Row],[Column102]])</f>
        <v>0</v>
      </c>
      <c r="CZ170" s="158" t="str">
        <f t="shared" si="122"/>
        <v>--</v>
      </c>
      <c r="DA170" s="153"/>
      <c r="DB170" s="160">
        <f>IF(Table645[[#This Row],[Column104]]="--",0,Table645[[#This Row],[Column4]]*Table645[[#This Row],[Column104]])</f>
        <v>0</v>
      </c>
      <c r="DC170" s="219"/>
      <c r="DD170" s="220" t="str">
        <f>IF(DC170=0,"--",1/$DC$3*1000/(60*60*24)*Table645[[#This Row],[Column107]])</f>
        <v>--</v>
      </c>
      <c r="DE170" s="160">
        <f>IF(Table645[[#This Row],[Column108]]="--",0,Table645[[#This Row],[Column4]]*Table645[[#This Row],[Column108]])</f>
        <v>0</v>
      </c>
      <c r="DF170" s="101" t="s">
        <v>70</v>
      </c>
      <c r="DG170" s="91" t="str">
        <f t="shared" si="123"/>
        <v>--</v>
      </c>
      <c r="DH170" s="89">
        <f>IF(Table645[[#This Row],[Column111]]="--",0,Table645[[#This Row],[Column4]]*Table645[[#This Row],[Column111]])</f>
        <v>0</v>
      </c>
      <c r="DI170" s="96"/>
      <c r="DJ170" s="96"/>
      <c r="DK170" s="96"/>
      <c r="DL170" s="96"/>
      <c r="DM170" s="96"/>
      <c r="DN170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70" s="89">
        <f>IF(Table645[[#This Row],[Column118]]="--",0,Table645[[#This Row],[Column4]]*Table645[[#This Row],[Column118]])</f>
        <v>0</v>
      </c>
      <c r="DP170" s="96"/>
      <c r="DQ170" s="96"/>
      <c r="DR170" s="91" t="str">
        <f t="shared" si="124"/>
        <v>--</v>
      </c>
      <c r="DS170" s="89">
        <f>IF(Table645[[#This Row],[Column122]]="--",0,Table645[[#This Row],[Column4]]*Table645[[#This Row],[Column122]])</f>
        <v>0</v>
      </c>
      <c r="DT170" t="str">
        <f>IF(Table645[[#This Row],[Column125]]=0,"--",Table645[[#This Row],[Column125]]*Table645[[#This Row],[Column126]]*Table645[[#This Row],[Column127]]/1000000000)</f>
        <v>--</v>
      </c>
      <c r="DU170" s="53"/>
      <c r="DV170" s="53"/>
      <c r="DW170" s="53"/>
      <c r="DX170" s="91" t="str">
        <f t="shared" si="125"/>
        <v>--</v>
      </c>
      <c r="DY170" s="89">
        <f>IF(Table645[[#This Row],[Column128]]="--",0,Table645[[#This Row],[Column4]]*Table645[[#This Row],[Column128]])</f>
        <v>0</v>
      </c>
      <c r="EA170" s="89">
        <f>IF(Table645[[#This Row],[Column128]]="--",0,Table645[[#This Row],[Column4]]*Table645[[#This Row],[Column128]])</f>
        <v>0</v>
      </c>
      <c r="EC170" s="89">
        <f>IF(Table645[[#This Row],[Column128]]="--",0,Table645[[#This Row],[Column4]]*Table645[[#This Row],[Column128]])</f>
        <v>0</v>
      </c>
      <c r="EE170" s="89">
        <f>IF(Table645[[#This Row],[Column128]]="--",0,Table645[[#This Row],[Column4]]*Table645[[#This Row],[Column128]])</f>
        <v>0</v>
      </c>
      <c r="EG170" s="89">
        <f>IF(Table645[[#This Row],[Column128]]="--",0,Table645[[#This Row],[Column4]]*Table645[[#This Row],[Column128]])</f>
        <v>0</v>
      </c>
      <c r="EI170" s="89">
        <f>IF(Table645[[#This Row],[Column128]]="--",0,Table645[[#This Row],[Column4]]*Table645[[#This Row],[Column128]])</f>
        <v>0</v>
      </c>
    </row>
    <row r="171" spans="1:139" x14ac:dyDescent="0.25">
      <c r="A171" s="140"/>
      <c r="B171" s="79"/>
      <c r="C171" s="140"/>
      <c r="D171" s="167"/>
      <c r="E171" s="52"/>
      <c r="F171" s="81"/>
      <c r="G171" s="81"/>
      <c r="H171" s="102" t="str">
        <f t="shared" si="116"/>
        <v>--</v>
      </c>
      <c r="I171" s="100">
        <f>IF(Table645[[#This Row],[Column8]]="--",0,Table645[[#This Row],[Column4]]*Table645[[#This Row],[Column8]])</f>
        <v>0</v>
      </c>
      <c r="J171" s="169"/>
      <c r="K171" s="85">
        <f>Table645[[#This Row],[Column4]]*Table645[[#This Row],[Column10]]</f>
        <v>0</v>
      </c>
      <c r="L171" s="170" t="str">
        <f t="shared" si="117"/>
        <v>--</v>
      </c>
      <c r="M171" s="214">
        <f>IF(Table645[[#This Row],[Column10]]=0,0,Table645[[#This Row],[Column4]]*Table645[[#This Row],[Column12]])</f>
        <v>0</v>
      </c>
      <c r="N171" s="87" t="str">
        <f t="shared" si="118"/>
        <v>--</v>
      </c>
      <c r="O171" s="138"/>
      <c r="AZ171" s="89">
        <f>IF(Table645[[#This Row],[Column14]]="--",0,Table645[[#This Row],[Column4]]*Table645[[#This Row],[Column14]])</f>
        <v>0</v>
      </c>
      <c r="BA171" s="90"/>
      <c r="BB171" s="91" t="str">
        <f>IF(BA171=0,"--",BA171*$BA$3*IF(Table645[[#This Row],[Column5]]&lt;4.1,1,2)/60/24)</f>
        <v>--</v>
      </c>
      <c r="BC171" s="92">
        <f>IF(Table645[[#This Row],[Column54]]="--",0,Table645[[#This Row],[Column4]]*Table645[[#This Row],[Column54]])</f>
        <v>0</v>
      </c>
      <c r="BD171" s="119"/>
      <c r="BE171" s="119"/>
      <c r="BF171" s="119"/>
      <c r="BG171" s="91" t="str">
        <f>IF(BD171+Table645[[#This Row],[Column58]]=0,"--",(BD171*$BF$3*Table645[[#This Row],[Column57]]+Table645[[#This Row],[Column58]]*$BF$4)/60/24)</f>
        <v>--</v>
      </c>
      <c r="BH171" s="92">
        <f>IF(Table645[[#This Row],[Column59]]="--",0,Table645[[#This Row],[Column4]]*Table645[[#This Row],[Column59]])</f>
        <v>0</v>
      </c>
      <c r="BI171" s="119"/>
      <c r="BJ171" s="91" t="str">
        <f t="shared" si="126"/>
        <v>--</v>
      </c>
      <c r="BK171" s="92">
        <f>IF(Table645[[#This Row],[Column62]]="--",0,Table645[[#This Row],[Column4]]*Table645[[#This Row],[Column62]])</f>
        <v>0</v>
      </c>
      <c r="BL171" s="93"/>
      <c r="BM171" s="91" t="str">
        <f t="shared" si="119"/>
        <v>--</v>
      </c>
      <c r="BN171" s="89">
        <f>IF(Table645[[#This Row],[Column65]]="--",0,Table645[[#This Row],[Column4]]*Table645[[#This Row],[Column65]])</f>
        <v>0</v>
      </c>
      <c r="BO171" s="163"/>
      <c r="BP171" s="164" t="str">
        <f t="shared" si="120"/>
        <v>--</v>
      </c>
      <c r="BQ171" s="160">
        <f>IF(Table645[[#This Row],[Column68]]="--",0,Table645[[#This Row],[Column4]]*Table645[[#This Row],[Column68]])</f>
        <v>0</v>
      </c>
      <c r="BR171" s="94"/>
      <c r="BS171" s="91" t="str">
        <f t="shared" si="121"/>
        <v>--</v>
      </c>
      <c r="BT171" s="92">
        <f>IF(Table645[[#This Row],[Column71]]="--",0,Table645[[#This Row],[Column4]]*Table645[[#This Row],[Column71]])</f>
        <v>0</v>
      </c>
      <c r="BU171" s="44"/>
      <c r="BV171" s="90"/>
      <c r="BW171" s="91" t="str">
        <f>IF(BV171=0,"--",(Table645[[#This Row],[Column73]]*$BV$4*(IF(J171&lt;0.5001,1,IF(J171&lt;2.0001,2,3)))+BV171/$BV$3)/60/24)</f>
        <v>--</v>
      </c>
      <c r="BX171" s="92">
        <f>IF(Table645[[#This Row],[Column75]]="--",0,Table645[[#This Row],[Column4]]*Table645[[#This Row],[Column75]])</f>
        <v>0</v>
      </c>
      <c r="BY171" s="95" t="s">
        <v>70</v>
      </c>
      <c r="BZ171" s="91" t="str">
        <f>IF(Table645[[#This Row],[Column74]]=0,"--",BW171*$BY$3)</f>
        <v>--</v>
      </c>
      <c r="CA171" s="89">
        <f>IF(Table645[[#This Row],[Column78]]="--",0,Table645[[#This Row],[Column4]]*Table645[[#This Row],[Column78]])</f>
        <v>0</v>
      </c>
      <c r="CB171" s="95" t="s">
        <v>70</v>
      </c>
      <c r="CC171" s="91" t="str">
        <f>IF(Table645[[#This Row],[Column10]]+Table645[[#This Row],[Column74]]=0,"--",J171*$CB$4*$CB$5/(24*60)+IF(Table645[[#This Row],[Column74]]=0,0,$CB$3*Table645[[#This Row],[Column75]]))</f>
        <v>--</v>
      </c>
      <c r="CD171" s="92">
        <f>IF(Table645[[#This Row],[Column81]]="--",0,Table645[[#This Row],[Column4]]*Table645[[#This Row],[Column81]])</f>
        <v>0</v>
      </c>
      <c r="CE171" s="215"/>
      <c r="CF171" s="91" t="str">
        <f t="shared" si="127"/>
        <v>--</v>
      </c>
      <c r="CG171" s="92">
        <f>IF(Table645[[#This Row],[Column84]]="--",0,Table645[[#This Row],[Column4]]*Table645[[#This Row],[Column84]])</f>
        <v>0</v>
      </c>
      <c r="CH171" s="226"/>
      <c r="CI171" s="216"/>
      <c r="CJ171" s="91" t="str">
        <f>IF(CI171=0,"--",(Table645[[#This Row],[Column86]]*$CI$4*(IF(W171&lt;0.5001,1,IF(W171&lt;2.0001,2,3)))+CI171/$CI$3)/60/24)</f>
        <v>--</v>
      </c>
      <c r="CK171" s="92">
        <f>IF(Table645[[#This Row],[Column88]]="--",0,Table645[[#This Row],[Column4]]*Table645[[#This Row],[Column88]])</f>
        <v>0</v>
      </c>
      <c r="CL171" s="217"/>
      <c r="CM171" s="91" t="str">
        <f>IF(Table645[[#This Row],[Column87]]=0,"--",CJ171*$CL$3)</f>
        <v>--</v>
      </c>
      <c r="CN171" s="92">
        <f>IF(Table645[[#This Row],[Column91]]="--",0,Table645[[#This Row],[Column4]]*Table645[[#This Row],[Column91]])</f>
        <v>0</v>
      </c>
      <c r="CO171" s="217"/>
      <c r="CP171" s="91" t="str">
        <f>IF(Table645[[#This Row],[Column10]]+Table645[[#This Row],[Column87]]=0, "--", IF($D171="", 1, $D171) * IF($J171="", 1, $J171) * $CO$3 * $CO$4 * IF(Table645[[#This Row],[Column95]]="", 1, Table645[[#This Row],[Column95]]) / (24 * 60))</f>
        <v>--</v>
      </c>
      <c r="CQ171" s="164"/>
      <c r="CR171" s="92">
        <f>IF(Table645[[#This Row],[Column94]]="--",0,Table645[[#This Row],[Column4]]*Table645[[#This Row],[Column94]])</f>
        <v>0</v>
      </c>
      <c r="CS171" s="218" t="str">
        <f>IF(Table645[[#This Row],[Column87]]="","",Table645[[#This Row],[Column87]])</f>
        <v/>
      </c>
      <c r="CT171" s="91" t="str">
        <f>IF(Table645[[#This Row],[Column97]]="","--",Table645[[#This Row],[Column97]]/$CS$3/60/24)</f>
        <v>--</v>
      </c>
      <c r="CU171" s="92">
        <f>IF(Table645[[#This Row],[Column98]]="--",0,Table645[[#This Row],[Column4]]*Table645[[#This Row],[Column98]])</f>
        <v>0</v>
      </c>
      <c r="CV171" s="93"/>
      <c r="CW171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71" s="91" t="str">
        <f>IF(OR(Table645[[#This Row],[Column74]]&gt;0,Table645[[#This Row],[Column87]]&gt;0),(Table645[[#This Row],[Column73]]+Table645[[#This Row],[Column86]]+1)*$CW$3/60/24,"--")</f>
        <v>--</v>
      </c>
      <c r="CY171" s="92">
        <f>IF(Table645[[#This Row],[Column102]]="--",0,Table645[[#This Row],[Column4]]*Table645[[#This Row],[Column102]])</f>
        <v>0</v>
      </c>
      <c r="CZ171" s="158" t="str">
        <f t="shared" si="122"/>
        <v>--</v>
      </c>
      <c r="DA171" s="153"/>
      <c r="DB171" s="160">
        <f>IF(Table645[[#This Row],[Column104]]="--",0,Table645[[#This Row],[Column4]]*Table645[[#This Row],[Column104]])</f>
        <v>0</v>
      </c>
      <c r="DC171" s="219"/>
      <c r="DD171" s="220" t="str">
        <f>IF(DC171=0,"--",1/$DC$3*1000/(60*60*24)*Table645[[#This Row],[Column107]])</f>
        <v>--</v>
      </c>
      <c r="DE171" s="160">
        <f>IF(Table645[[#This Row],[Column108]]="--",0,Table645[[#This Row],[Column4]]*Table645[[#This Row],[Column108]])</f>
        <v>0</v>
      </c>
      <c r="DF171" s="101" t="s">
        <v>70</v>
      </c>
      <c r="DG171" s="91" t="str">
        <f t="shared" si="123"/>
        <v>--</v>
      </c>
      <c r="DH171" s="89">
        <f>IF(Table645[[#This Row],[Column111]]="--",0,Table645[[#This Row],[Column4]]*Table645[[#This Row],[Column111]])</f>
        <v>0</v>
      </c>
      <c r="DI171" s="96"/>
      <c r="DJ171" s="96"/>
      <c r="DK171" s="96"/>
      <c r="DL171" s="96"/>
      <c r="DM171" s="96"/>
      <c r="DN171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71" s="89">
        <f>IF(Table645[[#This Row],[Column118]]="--",0,Table645[[#This Row],[Column4]]*Table645[[#This Row],[Column118]])</f>
        <v>0</v>
      </c>
      <c r="DP171" s="96"/>
      <c r="DQ171" s="96"/>
      <c r="DR171" s="91" t="str">
        <f t="shared" si="124"/>
        <v>--</v>
      </c>
      <c r="DS171" s="89">
        <f>IF(Table645[[#This Row],[Column122]]="--",0,Table645[[#This Row],[Column4]]*Table645[[#This Row],[Column122]])</f>
        <v>0</v>
      </c>
      <c r="DT171" t="str">
        <f>IF(Table645[[#This Row],[Column125]]=0,"--",Table645[[#This Row],[Column125]]*Table645[[#This Row],[Column126]]*Table645[[#This Row],[Column127]]/1000000000)</f>
        <v>--</v>
      </c>
      <c r="DU171" s="53"/>
      <c r="DV171" s="53"/>
      <c r="DW171" s="53"/>
      <c r="DX171" s="91" t="str">
        <f t="shared" si="125"/>
        <v>--</v>
      </c>
      <c r="DY171" s="89">
        <f>IF(Table645[[#This Row],[Column128]]="--",0,Table645[[#This Row],[Column4]]*Table645[[#This Row],[Column128]])</f>
        <v>0</v>
      </c>
      <c r="EA171" s="89">
        <f>IF(Table645[[#This Row],[Column128]]="--",0,Table645[[#This Row],[Column4]]*Table645[[#This Row],[Column128]])</f>
        <v>0</v>
      </c>
      <c r="EC171" s="89">
        <f>IF(Table645[[#This Row],[Column128]]="--",0,Table645[[#This Row],[Column4]]*Table645[[#This Row],[Column128]])</f>
        <v>0</v>
      </c>
      <c r="EE171" s="89">
        <f>IF(Table645[[#This Row],[Column128]]="--",0,Table645[[#This Row],[Column4]]*Table645[[#This Row],[Column128]])</f>
        <v>0</v>
      </c>
      <c r="EG171" s="89">
        <f>IF(Table645[[#This Row],[Column128]]="--",0,Table645[[#This Row],[Column4]]*Table645[[#This Row],[Column128]])</f>
        <v>0</v>
      </c>
      <c r="EI171" s="89">
        <f>IF(Table645[[#This Row],[Column128]]="--",0,Table645[[#This Row],[Column4]]*Table645[[#This Row],[Column128]])</f>
        <v>0</v>
      </c>
    </row>
    <row r="172" spans="1:139" x14ac:dyDescent="0.25">
      <c r="A172" s="140"/>
      <c r="B172" s="79"/>
      <c r="C172" s="140"/>
      <c r="D172" s="167"/>
      <c r="E172" s="52"/>
      <c r="F172" s="81"/>
      <c r="G172" s="81"/>
      <c r="H172" s="102" t="str">
        <f t="shared" ref="H172:H222" si="128">IF(E172&gt;0,E172*F172*G172/1000000*8*(1+$H$4),"--")</f>
        <v>--</v>
      </c>
      <c r="I172" s="100">
        <f>IF(Table645[[#This Row],[Column8]]="--",0,Table645[[#This Row],[Column4]]*Table645[[#This Row],[Column8]])</f>
        <v>0</v>
      </c>
      <c r="J172" s="169"/>
      <c r="K172" s="85">
        <f>Table645[[#This Row],[Column4]]*Table645[[#This Row],[Column10]]</f>
        <v>0</v>
      </c>
      <c r="L172" s="170" t="str">
        <f t="shared" ref="L172:L222" si="129">IF(J172=0,"--",J172/$J$3)</f>
        <v>--</v>
      </c>
      <c r="M172" s="214">
        <f>IF(Table645[[#This Row],[Column10]]=0,0,Table645[[#This Row],[Column4]]*Table645[[#This Row],[Column12]])</f>
        <v>0</v>
      </c>
      <c r="N172" s="87" t="str">
        <f t="shared" ref="N172:N222" si="130">IF(SUM(Q172:AX172)=0,"--",(Q172/$Q$4+T172/$T$4+W172/$W$4+Z172/$Z$4+AC172/$AC$4+AF172/$AF$4+AI172/$AI$4+AL172/$AL$4+AO172/$AO$4+AR172/$AR$4+AU172/$AU$4+AX172/$AX$4)/60/24)</f>
        <v>--</v>
      </c>
      <c r="O172" s="138"/>
      <c r="AZ172" s="89">
        <f>IF(Table645[[#This Row],[Column14]]="--",0,Table645[[#This Row],[Column4]]*Table645[[#This Row],[Column14]])</f>
        <v>0</v>
      </c>
      <c r="BA172" s="90"/>
      <c r="BB172" s="91" t="str">
        <f>IF(BA172=0,"--",BA172*$BA$3*IF(Table645[[#This Row],[Column5]]&lt;4.1,1,2)/60/24)</f>
        <v>--</v>
      </c>
      <c r="BC172" s="92">
        <f>IF(Table645[[#This Row],[Column54]]="--",0,Table645[[#This Row],[Column4]]*Table645[[#This Row],[Column54]])</f>
        <v>0</v>
      </c>
      <c r="BD172" s="119"/>
      <c r="BE172" s="119"/>
      <c r="BF172" s="119"/>
      <c r="BG172" s="91" t="str">
        <f>IF(BD172+Table645[[#This Row],[Column58]]=0,"--",(BD172*$BF$3*Table645[[#This Row],[Column57]]+Table645[[#This Row],[Column58]]*$BF$4)/60/24)</f>
        <v>--</v>
      </c>
      <c r="BH172" s="92">
        <f>IF(Table645[[#This Row],[Column59]]="--",0,Table645[[#This Row],[Column4]]*Table645[[#This Row],[Column59]])</f>
        <v>0</v>
      </c>
      <c r="BI172" s="119"/>
      <c r="BJ172" s="91" t="str">
        <f t="shared" si="126"/>
        <v>--</v>
      </c>
      <c r="BK172" s="92">
        <f>IF(Table645[[#This Row],[Column62]]="--",0,Table645[[#This Row],[Column4]]*Table645[[#This Row],[Column62]])</f>
        <v>0</v>
      </c>
      <c r="BL172" s="93"/>
      <c r="BM172" s="91" t="str">
        <f t="shared" ref="BM172:BM222" si="131">IF(BL172=0,"--",BL172*$BL$3/60/60/24)</f>
        <v>--</v>
      </c>
      <c r="BN172" s="89">
        <f>IF(Table645[[#This Row],[Column65]]="--",0,Table645[[#This Row],[Column4]]*Table645[[#This Row],[Column65]])</f>
        <v>0</v>
      </c>
      <c r="BO172" s="163"/>
      <c r="BP172" s="164" t="str">
        <f t="shared" ref="BP172:BP222" si="132">IF(BO172=0,"--",BO172*$BO$3/60/60/24)</f>
        <v>--</v>
      </c>
      <c r="BQ172" s="160">
        <f>IF(Table645[[#This Row],[Column68]]="--",0,Table645[[#This Row],[Column4]]*Table645[[#This Row],[Column68]])</f>
        <v>0</v>
      </c>
      <c r="BR172" s="94"/>
      <c r="BS172" s="91" t="str">
        <f t="shared" ref="BS172:BS222" si="133">IF(BR172=0,"--",BR172*$BR$3/60/60/24)</f>
        <v>--</v>
      </c>
      <c r="BT172" s="92">
        <f>IF(Table645[[#This Row],[Column71]]="--",0,Table645[[#This Row],[Column4]]*Table645[[#This Row],[Column71]])</f>
        <v>0</v>
      </c>
      <c r="BU172" s="44"/>
      <c r="BV172" s="90"/>
      <c r="BW172" s="91" t="str">
        <f>IF(BV172=0,"--",(Table645[[#This Row],[Column73]]*$BV$4*(IF(J172&lt;0.5001,1,IF(J172&lt;2.0001,2,3)))+BV172/$BV$3)/60/24)</f>
        <v>--</v>
      </c>
      <c r="BX172" s="92">
        <f>IF(Table645[[#This Row],[Column75]]="--",0,Table645[[#This Row],[Column4]]*Table645[[#This Row],[Column75]])</f>
        <v>0</v>
      </c>
      <c r="BY172" s="95" t="s">
        <v>70</v>
      </c>
      <c r="BZ172" s="91" t="str">
        <f>IF(Table645[[#This Row],[Column74]]=0,"--",BW172*$BY$3)</f>
        <v>--</v>
      </c>
      <c r="CA172" s="89">
        <f>IF(Table645[[#This Row],[Column78]]="--",0,Table645[[#This Row],[Column4]]*Table645[[#This Row],[Column78]])</f>
        <v>0</v>
      </c>
      <c r="CB172" s="95" t="s">
        <v>70</v>
      </c>
      <c r="CC172" s="91" t="str">
        <f>IF(Table645[[#This Row],[Column10]]+Table645[[#This Row],[Column74]]=0,"--",J172*$CB$4*$CB$5/(24*60)+IF(Table645[[#This Row],[Column74]]=0,0,$CB$3*Table645[[#This Row],[Column75]]))</f>
        <v>--</v>
      </c>
      <c r="CD172" s="92">
        <f>IF(Table645[[#This Row],[Column81]]="--",0,Table645[[#This Row],[Column4]]*Table645[[#This Row],[Column81]])</f>
        <v>0</v>
      </c>
      <c r="CE172" s="215"/>
      <c r="CF172" s="91" t="str">
        <f t="shared" si="127"/>
        <v>--</v>
      </c>
      <c r="CG172" s="92">
        <f>IF(Table645[[#This Row],[Column84]]="--",0,Table645[[#This Row],[Column4]]*Table645[[#This Row],[Column84]])</f>
        <v>0</v>
      </c>
      <c r="CH172" s="226"/>
      <c r="CI172" s="216"/>
      <c r="CJ172" s="91" t="str">
        <f>IF(CI172=0,"--",(Table645[[#This Row],[Column86]]*$CI$4*(IF(W172&lt;0.5001,1,IF(W172&lt;2.0001,2,3)))+CI172/$CI$3)/60/24)</f>
        <v>--</v>
      </c>
      <c r="CK172" s="92">
        <f>IF(Table645[[#This Row],[Column88]]="--",0,Table645[[#This Row],[Column4]]*Table645[[#This Row],[Column88]])</f>
        <v>0</v>
      </c>
      <c r="CL172" s="217"/>
      <c r="CM172" s="91" t="str">
        <f>IF(Table645[[#This Row],[Column87]]=0,"--",CJ172*$CL$3)</f>
        <v>--</v>
      </c>
      <c r="CN172" s="92">
        <f>IF(Table645[[#This Row],[Column91]]="--",0,Table645[[#This Row],[Column4]]*Table645[[#This Row],[Column91]])</f>
        <v>0</v>
      </c>
      <c r="CO172" s="217"/>
      <c r="CP172" s="91" t="str">
        <f>IF(Table645[[#This Row],[Column10]]+Table645[[#This Row],[Column87]]=0, "--", IF($D172="", 1, $D172) * IF($J172="", 1, $J172) * $CO$3 * $CO$4 * IF(Table645[[#This Row],[Column95]]="", 1, Table645[[#This Row],[Column95]]) / (24 * 60))</f>
        <v>--</v>
      </c>
      <c r="CQ172" s="164"/>
      <c r="CR172" s="92">
        <f>IF(Table645[[#This Row],[Column94]]="--",0,Table645[[#This Row],[Column4]]*Table645[[#This Row],[Column94]])</f>
        <v>0</v>
      </c>
      <c r="CS172" s="218" t="str">
        <f>IF(Table645[[#This Row],[Column87]]="","",Table645[[#This Row],[Column87]])</f>
        <v/>
      </c>
      <c r="CT172" s="91" t="str">
        <f>IF(Table645[[#This Row],[Column97]]="","--",Table645[[#This Row],[Column97]]/$CS$3/60/24)</f>
        <v>--</v>
      </c>
      <c r="CU172" s="92">
        <f>IF(Table645[[#This Row],[Column98]]="--",0,Table645[[#This Row],[Column4]]*Table645[[#This Row],[Column98]])</f>
        <v>0</v>
      </c>
      <c r="CV172" s="93"/>
      <c r="CW172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72" s="91" t="str">
        <f>IF(OR(Table645[[#This Row],[Column74]]&gt;0,Table645[[#This Row],[Column87]]&gt;0),(Table645[[#This Row],[Column73]]+Table645[[#This Row],[Column86]]+1)*$CW$3/60/24,"--")</f>
        <v>--</v>
      </c>
      <c r="CY172" s="92">
        <f>IF(Table645[[#This Row],[Column102]]="--",0,Table645[[#This Row],[Column4]]*Table645[[#This Row],[Column102]])</f>
        <v>0</v>
      </c>
      <c r="CZ172" s="158" t="str">
        <f t="shared" ref="CZ172:CZ222" si="134">IF(J172=0,"--",J172/$CZ$3/(24)*DA172)</f>
        <v>--</v>
      </c>
      <c r="DA172" s="153"/>
      <c r="DB172" s="160">
        <f>IF(Table645[[#This Row],[Column104]]="--",0,Table645[[#This Row],[Column4]]*Table645[[#This Row],[Column104]])</f>
        <v>0</v>
      </c>
      <c r="DC172" s="219"/>
      <c r="DD172" s="220" t="str">
        <f>IF(DC172=0,"--",1/$DC$3*1000/(60*60*24)*Table645[[#This Row],[Column107]])</f>
        <v>--</v>
      </c>
      <c r="DE172" s="160">
        <f>IF(Table645[[#This Row],[Column108]]="--",0,Table645[[#This Row],[Column4]]*Table645[[#This Row],[Column108]])</f>
        <v>0</v>
      </c>
      <c r="DF172" s="101" t="s">
        <v>70</v>
      </c>
      <c r="DG172" s="91" t="str">
        <f t="shared" ref="DG172:DG222" si="135">IF(DA172=0,"--",(J172*$DF$3)/60/24)</f>
        <v>--</v>
      </c>
      <c r="DH172" s="89">
        <f>IF(Table645[[#This Row],[Column111]]="--",0,Table645[[#This Row],[Column4]]*Table645[[#This Row],[Column111]])</f>
        <v>0</v>
      </c>
      <c r="DI172" s="96"/>
      <c r="DJ172" s="96"/>
      <c r="DK172" s="96"/>
      <c r="DL172" s="96"/>
      <c r="DM172" s="96"/>
      <c r="DN172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72" s="89">
        <f>IF(Table645[[#This Row],[Column118]]="--",0,Table645[[#This Row],[Column4]]*Table645[[#This Row],[Column118]])</f>
        <v>0</v>
      </c>
      <c r="DP172" s="96"/>
      <c r="DQ172" s="96"/>
      <c r="DR172" s="91" t="str">
        <f t="shared" ref="DR172:DR222" si="136">IF(DP172+DQ172&gt;0,(DP172*$DQ$3+DQ172*$DQ$4)/60/24,IF(DN172="--","--",(DP172*$DQ$3+DQ172*$DQ$4)/60/24))</f>
        <v>--</v>
      </c>
      <c r="DS172" s="89">
        <f>IF(Table645[[#This Row],[Column122]]="--",0,Table645[[#This Row],[Column4]]*Table645[[#This Row],[Column122]])</f>
        <v>0</v>
      </c>
      <c r="DT172" t="str">
        <f>IF(Table645[[#This Row],[Column125]]=0,"--",Table645[[#This Row],[Column125]]*Table645[[#This Row],[Column126]]*Table645[[#This Row],[Column127]]/1000000000)</f>
        <v>--</v>
      </c>
      <c r="DU172" s="53"/>
      <c r="DV172" s="53"/>
      <c r="DW172" s="53"/>
      <c r="DX172" s="91" t="str">
        <f t="shared" ref="DX172:DX222" si="137">IF(DT172="--","--",(1+DT172*$DT$3)/60/24)</f>
        <v>--</v>
      </c>
      <c r="DY172" s="89">
        <f>IF(Table645[[#This Row],[Column128]]="--",0,Table645[[#This Row],[Column4]]*Table645[[#This Row],[Column128]])</f>
        <v>0</v>
      </c>
      <c r="EA172" s="89">
        <f>IF(Table645[[#This Row],[Column128]]="--",0,Table645[[#This Row],[Column4]]*Table645[[#This Row],[Column128]])</f>
        <v>0</v>
      </c>
      <c r="EC172" s="89">
        <f>IF(Table645[[#This Row],[Column128]]="--",0,Table645[[#This Row],[Column4]]*Table645[[#This Row],[Column128]])</f>
        <v>0</v>
      </c>
      <c r="EE172" s="89">
        <f>IF(Table645[[#This Row],[Column128]]="--",0,Table645[[#This Row],[Column4]]*Table645[[#This Row],[Column128]])</f>
        <v>0</v>
      </c>
      <c r="EG172" s="89">
        <f>IF(Table645[[#This Row],[Column128]]="--",0,Table645[[#This Row],[Column4]]*Table645[[#This Row],[Column128]])</f>
        <v>0</v>
      </c>
      <c r="EI172" s="89">
        <f>IF(Table645[[#This Row],[Column128]]="--",0,Table645[[#This Row],[Column4]]*Table645[[#This Row],[Column128]])</f>
        <v>0</v>
      </c>
    </row>
    <row r="173" spans="1:139" x14ac:dyDescent="0.25">
      <c r="A173" s="140"/>
      <c r="B173" s="79"/>
      <c r="C173" s="140"/>
      <c r="D173" s="167"/>
      <c r="E173" s="52"/>
      <c r="F173" s="81"/>
      <c r="G173" s="81"/>
      <c r="H173" s="102" t="str">
        <f t="shared" si="128"/>
        <v>--</v>
      </c>
      <c r="I173" s="100">
        <f>IF(Table645[[#This Row],[Column8]]="--",0,Table645[[#This Row],[Column4]]*Table645[[#This Row],[Column8]])</f>
        <v>0</v>
      </c>
      <c r="J173" s="169"/>
      <c r="K173" s="85">
        <f>Table645[[#This Row],[Column4]]*Table645[[#This Row],[Column10]]</f>
        <v>0</v>
      </c>
      <c r="L173" s="170" t="str">
        <f t="shared" si="129"/>
        <v>--</v>
      </c>
      <c r="M173" s="214">
        <f>IF(Table645[[#This Row],[Column10]]=0,0,Table645[[#This Row],[Column4]]*Table645[[#This Row],[Column12]])</f>
        <v>0</v>
      </c>
      <c r="N173" s="87" t="str">
        <f t="shared" si="130"/>
        <v>--</v>
      </c>
      <c r="O173" s="138"/>
      <c r="AZ173" s="89">
        <f>IF(Table645[[#This Row],[Column14]]="--",0,Table645[[#This Row],[Column4]]*Table645[[#This Row],[Column14]])</f>
        <v>0</v>
      </c>
      <c r="BA173" s="90"/>
      <c r="BB173" s="91" t="str">
        <f>IF(BA173=0,"--",BA173*$BA$3*IF(Table645[[#This Row],[Column5]]&lt;4.1,1,2)/60/24)</f>
        <v>--</v>
      </c>
      <c r="BC173" s="92">
        <f>IF(Table645[[#This Row],[Column54]]="--",0,Table645[[#This Row],[Column4]]*Table645[[#This Row],[Column54]])</f>
        <v>0</v>
      </c>
      <c r="BD173" s="119"/>
      <c r="BE173" s="119"/>
      <c r="BF173" s="119"/>
      <c r="BG173" s="91" t="str">
        <f>IF(BD173+Table645[[#This Row],[Column58]]=0,"--",(BD173*$BF$3*Table645[[#This Row],[Column57]]+Table645[[#This Row],[Column58]]*$BF$4)/60/24)</f>
        <v>--</v>
      </c>
      <c r="BH173" s="92">
        <f>IF(Table645[[#This Row],[Column59]]="--",0,Table645[[#This Row],[Column4]]*Table645[[#This Row],[Column59]])</f>
        <v>0</v>
      </c>
      <c r="BI173" s="119"/>
      <c r="BJ173" s="91" t="str">
        <f t="shared" si="126"/>
        <v>--</v>
      </c>
      <c r="BK173" s="92">
        <f>IF(Table645[[#This Row],[Column62]]="--",0,Table645[[#This Row],[Column4]]*Table645[[#This Row],[Column62]])</f>
        <v>0</v>
      </c>
      <c r="BL173" s="93"/>
      <c r="BM173" s="91" t="str">
        <f t="shared" si="131"/>
        <v>--</v>
      </c>
      <c r="BN173" s="89">
        <f>IF(Table645[[#This Row],[Column65]]="--",0,Table645[[#This Row],[Column4]]*Table645[[#This Row],[Column65]])</f>
        <v>0</v>
      </c>
      <c r="BO173" s="163"/>
      <c r="BP173" s="164" t="str">
        <f t="shared" si="132"/>
        <v>--</v>
      </c>
      <c r="BQ173" s="160">
        <f>IF(Table645[[#This Row],[Column68]]="--",0,Table645[[#This Row],[Column4]]*Table645[[#This Row],[Column68]])</f>
        <v>0</v>
      </c>
      <c r="BR173" s="94"/>
      <c r="BS173" s="91" t="str">
        <f t="shared" si="133"/>
        <v>--</v>
      </c>
      <c r="BT173" s="92">
        <f>IF(Table645[[#This Row],[Column71]]="--",0,Table645[[#This Row],[Column4]]*Table645[[#This Row],[Column71]])</f>
        <v>0</v>
      </c>
      <c r="BU173" s="44"/>
      <c r="BV173" s="90"/>
      <c r="BW173" s="91" t="str">
        <f>IF(BV173=0,"--",(Table645[[#This Row],[Column73]]*$BV$4*(IF(J173&lt;0.5001,1,IF(J173&lt;2.0001,2,3)))+BV173/$BV$3)/60/24)</f>
        <v>--</v>
      </c>
      <c r="BX173" s="92">
        <f>IF(Table645[[#This Row],[Column75]]="--",0,Table645[[#This Row],[Column4]]*Table645[[#This Row],[Column75]])</f>
        <v>0</v>
      </c>
      <c r="BY173" s="95" t="s">
        <v>70</v>
      </c>
      <c r="BZ173" s="91" t="str">
        <f>IF(Table645[[#This Row],[Column74]]=0,"--",BW173*$BY$3)</f>
        <v>--</v>
      </c>
      <c r="CA173" s="89">
        <f>IF(Table645[[#This Row],[Column78]]="--",0,Table645[[#This Row],[Column4]]*Table645[[#This Row],[Column78]])</f>
        <v>0</v>
      </c>
      <c r="CB173" s="95" t="s">
        <v>70</v>
      </c>
      <c r="CC173" s="91" t="str">
        <f>IF(Table645[[#This Row],[Column10]]+Table645[[#This Row],[Column74]]=0,"--",J173*$CB$4*$CB$5/(24*60)+IF(Table645[[#This Row],[Column74]]=0,0,$CB$3*Table645[[#This Row],[Column75]]))</f>
        <v>--</v>
      </c>
      <c r="CD173" s="92">
        <f>IF(Table645[[#This Row],[Column81]]="--",0,Table645[[#This Row],[Column4]]*Table645[[#This Row],[Column81]])</f>
        <v>0</v>
      </c>
      <c r="CE173" s="215"/>
      <c r="CF173" s="91" t="str">
        <f t="shared" si="127"/>
        <v>--</v>
      </c>
      <c r="CG173" s="92">
        <f>IF(Table645[[#This Row],[Column84]]="--",0,Table645[[#This Row],[Column4]]*Table645[[#This Row],[Column84]])</f>
        <v>0</v>
      </c>
      <c r="CH173" s="226"/>
      <c r="CI173" s="216"/>
      <c r="CJ173" s="91" t="str">
        <f>IF(CI173=0,"--",(Table645[[#This Row],[Column86]]*$CI$4*(IF(W173&lt;0.5001,1,IF(W173&lt;2.0001,2,3)))+CI173/$CI$3)/60/24)</f>
        <v>--</v>
      </c>
      <c r="CK173" s="92">
        <f>IF(Table645[[#This Row],[Column88]]="--",0,Table645[[#This Row],[Column4]]*Table645[[#This Row],[Column88]])</f>
        <v>0</v>
      </c>
      <c r="CL173" s="217"/>
      <c r="CM173" s="91" t="str">
        <f>IF(Table645[[#This Row],[Column87]]=0,"--",CJ173*$CL$3)</f>
        <v>--</v>
      </c>
      <c r="CN173" s="92">
        <f>IF(Table645[[#This Row],[Column91]]="--",0,Table645[[#This Row],[Column4]]*Table645[[#This Row],[Column91]])</f>
        <v>0</v>
      </c>
      <c r="CO173" s="217"/>
      <c r="CP173" s="91" t="str">
        <f>IF(Table645[[#This Row],[Column10]]+Table645[[#This Row],[Column87]]=0, "--", IF($D173="", 1, $D173) * IF($J173="", 1, $J173) * $CO$3 * $CO$4 * IF(Table645[[#This Row],[Column95]]="", 1, Table645[[#This Row],[Column95]]) / (24 * 60))</f>
        <v>--</v>
      </c>
      <c r="CQ173" s="164"/>
      <c r="CR173" s="92">
        <f>IF(Table645[[#This Row],[Column94]]="--",0,Table645[[#This Row],[Column4]]*Table645[[#This Row],[Column94]])</f>
        <v>0</v>
      </c>
      <c r="CS173" s="218" t="str">
        <f>IF(Table645[[#This Row],[Column87]]="","",Table645[[#This Row],[Column87]])</f>
        <v/>
      </c>
      <c r="CT173" s="91" t="str">
        <f>IF(Table645[[#This Row],[Column97]]="","--",Table645[[#This Row],[Column97]]/$CS$3/60/24)</f>
        <v>--</v>
      </c>
      <c r="CU173" s="92">
        <f>IF(Table645[[#This Row],[Column98]]="--",0,Table645[[#This Row],[Column4]]*Table645[[#This Row],[Column98]])</f>
        <v>0</v>
      </c>
      <c r="CV173" s="93"/>
      <c r="CW173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73" s="91" t="str">
        <f>IF(OR(Table645[[#This Row],[Column74]]&gt;0,Table645[[#This Row],[Column87]]&gt;0),(Table645[[#This Row],[Column73]]+Table645[[#This Row],[Column86]]+1)*$CW$3/60/24,"--")</f>
        <v>--</v>
      </c>
      <c r="CY173" s="92">
        <f>IF(Table645[[#This Row],[Column102]]="--",0,Table645[[#This Row],[Column4]]*Table645[[#This Row],[Column102]])</f>
        <v>0</v>
      </c>
      <c r="CZ173" s="158" t="str">
        <f t="shared" si="134"/>
        <v>--</v>
      </c>
      <c r="DA173" s="153"/>
      <c r="DB173" s="160">
        <f>IF(Table645[[#This Row],[Column104]]="--",0,Table645[[#This Row],[Column4]]*Table645[[#This Row],[Column104]])</f>
        <v>0</v>
      </c>
      <c r="DC173" s="219"/>
      <c r="DD173" s="220" t="str">
        <f>IF(DC173=0,"--",1/$DC$3*1000/(60*60*24)*Table645[[#This Row],[Column107]])</f>
        <v>--</v>
      </c>
      <c r="DE173" s="160">
        <f>IF(Table645[[#This Row],[Column108]]="--",0,Table645[[#This Row],[Column4]]*Table645[[#This Row],[Column108]])</f>
        <v>0</v>
      </c>
      <c r="DF173" s="101" t="s">
        <v>70</v>
      </c>
      <c r="DG173" s="91" t="str">
        <f t="shared" si="135"/>
        <v>--</v>
      </c>
      <c r="DH173" s="89">
        <f>IF(Table645[[#This Row],[Column111]]="--",0,Table645[[#This Row],[Column4]]*Table645[[#This Row],[Column111]])</f>
        <v>0</v>
      </c>
      <c r="DI173" s="96"/>
      <c r="DJ173" s="96"/>
      <c r="DK173" s="96"/>
      <c r="DL173" s="96"/>
      <c r="DM173" s="96"/>
      <c r="DN173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73" s="89">
        <f>IF(Table645[[#This Row],[Column118]]="--",0,Table645[[#This Row],[Column4]]*Table645[[#This Row],[Column118]])</f>
        <v>0</v>
      </c>
      <c r="DP173" s="96"/>
      <c r="DQ173" s="96"/>
      <c r="DR173" s="91" t="str">
        <f t="shared" si="136"/>
        <v>--</v>
      </c>
      <c r="DS173" s="89">
        <f>IF(Table645[[#This Row],[Column122]]="--",0,Table645[[#This Row],[Column4]]*Table645[[#This Row],[Column122]])</f>
        <v>0</v>
      </c>
      <c r="DT173" t="str">
        <f>IF(Table645[[#This Row],[Column125]]=0,"--",Table645[[#This Row],[Column125]]*Table645[[#This Row],[Column126]]*Table645[[#This Row],[Column127]]/1000000000)</f>
        <v>--</v>
      </c>
      <c r="DU173" s="53"/>
      <c r="DV173" s="53"/>
      <c r="DW173" s="53"/>
      <c r="DX173" s="91" t="str">
        <f t="shared" si="137"/>
        <v>--</v>
      </c>
      <c r="DY173" s="89">
        <f>IF(Table645[[#This Row],[Column128]]="--",0,Table645[[#This Row],[Column4]]*Table645[[#This Row],[Column128]])</f>
        <v>0</v>
      </c>
      <c r="EA173" s="89">
        <f>IF(Table645[[#This Row],[Column128]]="--",0,Table645[[#This Row],[Column4]]*Table645[[#This Row],[Column128]])</f>
        <v>0</v>
      </c>
      <c r="EC173" s="89">
        <f>IF(Table645[[#This Row],[Column128]]="--",0,Table645[[#This Row],[Column4]]*Table645[[#This Row],[Column128]])</f>
        <v>0</v>
      </c>
      <c r="EE173" s="89">
        <f>IF(Table645[[#This Row],[Column128]]="--",0,Table645[[#This Row],[Column4]]*Table645[[#This Row],[Column128]])</f>
        <v>0</v>
      </c>
      <c r="EG173" s="89">
        <f>IF(Table645[[#This Row],[Column128]]="--",0,Table645[[#This Row],[Column4]]*Table645[[#This Row],[Column128]])</f>
        <v>0</v>
      </c>
      <c r="EI173" s="89">
        <f>IF(Table645[[#This Row],[Column128]]="--",0,Table645[[#This Row],[Column4]]*Table645[[#This Row],[Column128]])</f>
        <v>0</v>
      </c>
    </row>
    <row r="174" spans="1:139" x14ac:dyDescent="0.25">
      <c r="A174" s="140"/>
      <c r="B174" s="79"/>
      <c r="C174" s="140"/>
      <c r="D174" s="167"/>
      <c r="E174" s="52"/>
      <c r="F174" s="81"/>
      <c r="G174" s="81"/>
      <c r="H174" s="102" t="str">
        <f t="shared" si="128"/>
        <v>--</v>
      </c>
      <c r="I174" s="100">
        <f>IF(Table645[[#This Row],[Column8]]="--",0,Table645[[#This Row],[Column4]]*Table645[[#This Row],[Column8]])</f>
        <v>0</v>
      </c>
      <c r="J174" s="169"/>
      <c r="K174" s="85">
        <f>Table645[[#This Row],[Column4]]*Table645[[#This Row],[Column10]]</f>
        <v>0</v>
      </c>
      <c r="L174" s="170" t="str">
        <f t="shared" si="129"/>
        <v>--</v>
      </c>
      <c r="M174" s="214">
        <f>IF(Table645[[#This Row],[Column10]]=0,0,Table645[[#This Row],[Column4]]*Table645[[#This Row],[Column12]])</f>
        <v>0</v>
      </c>
      <c r="N174" s="87" t="str">
        <f t="shared" si="130"/>
        <v>--</v>
      </c>
      <c r="O174" s="138"/>
      <c r="AZ174" s="89">
        <f>IF(Table645[[#This Row],[Column14]]="--",0,Table645[[#This Row],[Column4]]*Table645[[#This Row],[Column14]])</f>
        <v>0</v>
      </c>
      <c r="BA174" s="90"/>
      <c r="BB174" s="91" t="str">
        <f>IF(BA174=0,"--",BA174*$BA$3*IF(Table645[[#This Row],[Column5]]&lt;4.1,1,2)/60/24)</f>
        <v>--</v>
      </c>
      <c r="BC174" s="92">
        <f>IF(Table645[[#This Row],[Column54]]="--",0,Table645[[#This Row],[Column4]]*Table645[[#This Row],[Column54]])</f>
        <v>0</v>
      </c>
      <c r="BD174" s="119"/>
      <c r="BE174" s="119"/>
      <c r="BF174" s="119"/>
      <c r="BG174" s="91" t="str">
        <f>IF(BD174+Table645[[#This Row],[Column58]]=0,"--",(BD174*$BF$3*Table645[[#This Row],[Column57]]+Table645[[#This Row],[Column58]]*$BF$4)/60/24)</f>
        <v>--</v>
      </c>
      <c r="BH174" s="92">
        <f>IF(Table645[[#This Row],[Column59]]="--",0,Table645[[#This Row],[Column4]]*Table645[[#This Row],[Column59]])</f>
        <v>0</v>
      </c>
      <c r="BI174" s="119"/>
      <c r="BJ174" s="91" t="str">
        <f t="shared" si="126"/>
        <v>--</v>
      </c>
      <c r="BK174" s="92">
        <f>IF(Table645[[#This Row],[Column62]]="--",0,Table645[[#This Row],[Column4]]*Table645[[#This Row],[Column62]])</f>
        <v>0</v>
      </c>
      <c r="BL174" s="93"/>
      <c r="BM174" s="91" t="str">
        <f t="shared" si="131"/>
        <v>--</v>
      </c>
      <c r="BN174" s="89">
        <f>IF(Table645[[#This Row],[Column65]]="--",0,Table645[[#This Row],[Column4]]*Table645[[#This Row],[Column65]])</f>
        <v>0</v>
      </c>
      <c r="BO174" s="163"/>
      <c r="BP174" s="164" t="str">
        <f t="shared" si="132"/>
        <v>--</v>
      </c>
      <c r="BQ174" s="160">
        <f>IF(Table645[[#This Row],[Column68]]="--",0,Table645[[#This Row],[Column4]]*Table645[[#This Row],[Column68]])</f>
        <v>0</v>
      </c>
      <c r="BR174" s="94"/>
      <c r="BS174" s="91" t="str">
        <f t="shared" si="133"/>
        <v>--</v>
      </c>
      <c r="BT174" s="92">
        <f>IF(Table645[[#This Row],[Column71]]="--",0,Table645[[#This Row],[Column4]]*Table645[[#This Row],[Column71]])</f>
        <v>0</v>
      </c>
      <c r="BU174" s="44"/>
      <c r="BV174" s="90"/>
      <c r="BW174" s="91" t="str">
        <f>IF(BV174=0,"--",(Table645[[#This Row],[Column73]]*$BV$4*(IF(J174&lt;0.5001,1,IF(J174&lt;2.0001,2,3)))+BV174/$BV$3)/60/24)</f>
        <v>--</v>
      </c>
      <c r="BX174" s="92">
        <f>IF(Table645[[#This Row],[Column75]]="--",0,Table645[[#This Row],[Column4]]*Table645[[#This Row],[Column75]])</f>
        <v>0</v>
      </c>
      <c r="BY174" s="95" t="s">
        <v>70</v>
      </c>
      <c r="BZ174" s="91" t="str">
        <f>IF(Table645[[#This Row],[Column74]]=0,"--",BW174*$BY$3)</f>
        <v>--</v>
      </c>
      <c r="CA174" s="89">
        <f>IF(Table645[[#This Row],[Column78]]="--",0,Table645[[#This Row],[Column4]]*Table645[[#This Row],[Column78]])</f>
        <v>0</v>
      </c>
      <c r="CB174" s="95" t="s">
        <v>70</v>
      </c>
      <c r="CC174" s="91" t="str">
        <f>IF(Table645[[#This Row],[Column10]]+Table645[[#This Row],[Column74]]=0,"--",J174*$CB$4*$CB$5/(24*60)+IF(Table645[[#This Row],[Column74]]=0,0,$CB$3*Table645[[#This Row],[Column75]]))</f>
        <v>--</v>
      </c>
      <c r="CD174" s="92">
        <f>IF(Table645[[#This Row],[Column81]]="--",0,Table645[[#This Row],[Column4]]*Table645[[#This Row],[Column81]])</f>
        <v>0</v>
      </c>
      <c r="CE174" s="215"/>
      <c r="CF174" s="91" t="str">
        <f t="shared" si="127"/>
        <v>--</v>
      </c>
      <c r="CG174" s="92">
        <f>IF(Table645[[#This Row],[Column84]]="--",0,Table645[[#This Row],[Column4]]*Table645[[#This Row],[Column84]])</f>
        <v>0</v>
      </c>
      <c r="CH174" s="226"/>
      <c r="CI174" s="216"/>
      <c r="CJ174" s="91" t="str">
        <f>IF(CI174=0,"--",(Table645[[#This Row],[Column86]]*$CI$4*(IF(W174&lt;0.5001,1,IF(W174&lt;2.0001,2,3)))+CI174/$CI$3)/60/24)</f>
        <v>--</v>
      </c>
      <c r="CK174" s="92">
        <f>IF(Table645[[#This Row],[Column88]]="--",0,Table645[[#This Row],[Column4]]*Table645[[#This Row],[Column88]])</f>
        <v>0</v>
      </c>
      <c r="CL174" s="217"/>
      <c r="CM174" s="91" t="str">
        <f>IF(Table645[[#This Row],[Column87]]=0,"--",CJ174*$CL$3)</f>
        <v>--</v>
      </c>
      <c r="CN174" s="92">
        <f>IF(Table645[[#This Row],[Column91]]="--",0,Table645[[#This Row],[Column4]]*Table645[[#This Row],[Column91]])</f>
        <v>0</v>
      </c>
      <c r="CO174" s="217"/>
      <c r="CP174" s="91" t="str">
        <f>IF(Table645[[#This Row],[Column10]]+Table645[[#This Row],[Column87]]=0, "--", IF($D174="", 1, $D174) * IF($J174="", 1, $J174) * $CO$3 * $CO$4 * IF(Table645[[#This Row],[Column95]]="", 1, Table645[[#This Row],[Column95]]) / (24 * 60))</f>
        <v>--</v>
      </c>
      <c r="CQ174" s="164"/>
      <c r="CR174" s="92">
        <f>IF(Table645[[#This Row],[Column94]]="--",0,Table645[[#This Row],[Column4]]*Table645[[#This Row],[Column94]])</f>
        <v>0</v>
      </c>
      <c r="CS174" s="218" t="str">
        <f>IF(Table645[[#This Row],[Column87]]="","",Table645[[#This Row],[Column87]])</f>
        <v/>
      </c>
      <c r="CT174" s="91" t="str">
        <f>IF(Table645[[#This Row],[Column97]]="","--",Table645[[#This Row],[Column97]]/$CS$3/60/24)</f>
        <v>--</v>
      </c>
      <c r="CU174" s="92">
        <f>IF(Table645[[#This Row],[Column98]]="--",0,Table645[[#This Row],[Column4]]*Table645[[#This Row],[Column98]])</f>
        <v>0</v>
      </c>
      <c r="CV174" s="93"/>
      <c r="CW174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74" s="91" t="str">
        <f>IF(OR(Table645[[#This Row],[Column74]]&gt;0,Table645[[#This Row],[Column87]]&gt;0),(Table645[[#This Row],[Column73]]+Table645[[#This Row],[Column86]]+1)*$CW$3/60/24,"--")</f>
        <v>--</v>
      </c>
      <c r="CY174" s="92">
        <f>IF(Table645[[#This Row],[Column102]]="--",0,Table645[[#This Row],[Column4]]*Table645[[#This Row],[Column102]])</f>
        <v>0</v>
      </c>
      <c r="CZ174" s="158" t="str">
        <f t="shared" si="134"/>
        <v>--</v>
      </c>
      <c r="DA174" s="153"/>
      <c r="DB174" s="160">
        <f>IF(Table645[[#This Row],[Column104]]="--",0,Table645[[#This Row],[Column4]]*Table645[[#This Row],[Column104]])</f>
        <v>0</v>
      </c>
      <c r="DC174" s="219"/>
      <c r="DD174" s="220" t="str">
        <f>IF(DC174=0,"--",1/$DC$3*1000/(60*60*24)*Table645[[#This Row],[Column107]])</f>
        <v>--</v>
      </c>
      <c r="DE174" s="160">
        <f>IF(Table645[[#This Row],[Column108]]="--",0,Table645[[#This Row],[Column4]]*Table645[[#This Row],[Column108]])</f>
        <v>0</v>
      </c>
      <c r="DF174" s="101" t="s">
        <v>70</v>
      </c>
      <c r="DG174" s="91" t="str">
        <f t="shared" si="135"/>
        <v>--</v>
      </c>
      <c r="DH174" s="89">
        <f>IF(Table645[[#This Row],[Column111]]="--",0,Table645[[#This Row],[Column4]]*Table645[[#This Row],[Column111]])</f>
        <v>0</v>
      </c>
      <c r="DI174" s="96"/>
      <c r="DJ174" s="96"/>
      <c r="DK174" s="96"/>
      <c r="DL174" s="96"/>
      <c r="DM174" s="96"/>
      <c r="DN174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74" s="89">
        <f>IF(Table645[[#This Row],[Column118]]="--",0,Table645[[#This Row],[Column4]]*Table645[[#This Row],[Column118]])</f>
        <v>0</v>
      </c>
      <c r="DP174" s="96"/>
      <c r="DQ174" s="96"/>
      <c r="DR174" s="91" t="str">
        <f t="shared" si="136"/>
        <v>--</v>
      </c>
      <c r="DS174" s="89">
        <f>IF(Table645[[#This Row],[Column122]]="--",0,Table645[[#This Row],[Column4]]*Table645[[#This Row],[Column122]])</f>
        <v>0</v>
      </c>
      <c r="DT174" t="str">
        <f>IF(Table645[[#This Row],[Column125]]=0,"--",Table645[[#This Row],[Column125]]*Table645[[#This Row],[Column126]]*Table645[[#This Row],[Column127]]/1000000000)</f>
        <v>--</v>
      </c>
      <c r="DU174" s="53"/>
      <c r="DV174" s="53"/>
      <c r="DW174" s="53"/>
      <c r="DX174" s="91" t="str">
        <f t="shared" si="137"/>
        <v>--</v>
      </c>
      <c r="DY174" s="89">
        <f>IF(Table645[[#This Row],[Column128]]="--",0,Table645[[#This Row],[Column4]]*Table645[[#This Row],[Column128]])</f>
        <v>0</v>
      </c>
      <c r="EA174" s="89">
        <f>IF(Table645[[#This Row],[Column128]]="--",0,Table645[[#This Row],[Column4]]*Table645[[#This Row],[Column128]])</f>
        <v>0</v>
      </c>
      <c r="EC174" s="89">
        <f>IF(Table645[[#This Row],[Column128]]="--",0,Table645[[#This Row],[Column4]]*Table645[[#This Row],[Column128]])</f>
        <v>0</v>
      </c>
      <c r="EE174" s="89">
        <f>IF(Table645[[#This Row],[Column128]]="--",0,Table645[[#This Row],[Column4]]*Table645[[#This Row],[Column128]])</f>
        <v>0</v>
      </c>
      <c r="EG174" s="89">
        <f>IF(Table645[[#This Row],[Column128]]="--",0,Table645[[#This Row],[Column4]]*Table645[[#This Row],[Column128]])</f>
        <v>0</v>
      </c>
      <c r="EI174" s="89">
        <f>IF(Table645[[#This Row],[Column128]]="--",0,Table645[[#This Row],[Column4]]*Table645[[#This Row],[Column128]])</f>
        <v>0</v>
      </c>
    </row>
    <row r="175" spans="1:139" x14ac:dyDescent="0.25">
      <c r="A175" s="140"/>
      <c r="B175" s="79"/>
      <c r="C175" s="140"/>
      <c r="D175" s="167"/>
      <c r="E175" s="52"/>
      <c r="F175" s="81"/>
      <c r="G175" s="81"/>
      <c r="H175" s="102" t="str">
        <f t="shared" si="128"/>
        <v>--</v>
      </c>
      <c r="I175" s="100">
        <f>IF(Table645[[#This Row],[Column8]]="--",0,Table645[[#This Row],[Column4]]*Table645[[#This Row],[Column8]])</f>
        <v>0</v>
      </c>
      <c r="J175" s="169"/>
      <c r="K175" s="85">
        <f>Table645[[#This Row],[Column4]]*Table645[[#This Row],[Column10]]</f>
        <v>0</v>
      </c>
      <c r="L175" s="170" t="str">
        <f t="shared" si="129"/>
        <v>--</v>
      </c>
      <c r="M175" s="214">
        <f>IF(Table645[[#This Row],[Column10]]=0,0,Table645[[#This Row],[Column4]]*Table645[[#This Row],[Column12]])</f>
        <v>0</v>
      </c>
      <c r="N175" s="87" t="str">
        <f t="shared" si="130"/>
        <v>--</v>
      </c>
      <c r="O175" s="138"/>
      <c r="AZ175" s="89">
        <f>IF(Table645[[#This Row],[Column14]]="--",0,Table645[[#This Row],[Column4]]*Table645[[#This Row],[Column14]])</f>
        <v>0</v>
      </c>
      <c r="BA175" s="90"/>
      <c r="BB175" s="91" t="str">
        <f>IF(BA175=0,"--",BA175*$BA$3*IF(Table645[[#This Row],[Column5]]&lt;4.1,1,2)/60/24)</f>
        <v>--</v>
      </c>
      <c r="BC175" s="92">
        <f>IF(Table645[[#This Row],[Column54]]="--",0,Table645[[#This Row],[Column4]]*Table645[[#This Row],[Column54]])</f>
        <v>0</v>
      </c>
      <c r="BD175" s="119"/>
      <c r="BE175" s="119"/>
      <c r="BF175" s="119"/>
      <c r="BG175" s="91" t="str">
        <f>IF(BD175+Table645[[#This Row],[Column58]]=0,"--",(BD175*$BF$3*Table645[[#This Row],[Column57]]+Table645[[#This Row],[Column58]]*$BF$4)/60/24)</f>
        <v>--</v>
      </c>
      <c r="BH175" s="92">
        <f>IF(Table645[[#This Row],[Column59]]="--",0,Table645[[#This Row],[Column4]]*Table645[[#This Row],[Column59]])</f>
        <v>0</v>
      </c>
      <c r="BI175" s="119"/>
      <c r="BJ175" s="91" t="str">
        <f t="shared" si="126"/>
        <v>--</v>
      </c>
      <c r="BK175" s="92">
        <f>IF(Table645[[#This Row],[Column62]]="--",0,Table645[[#This Row],[Column4]]*Table645[[#This Row],[Column62]])</f>
        <v>0</v>
      </c>
      <c r="BL175" s="93"/>
      <c r="BM175" s="91" t="str">
        <f t="shared" si="131"/>
        <v>--</v>
      </c>
      <c r="BN175" s="89">
        <f>IF(Table645[[#This Row],[Column65]]="--",0,Table645[[#This Row],[Column4]]*Table645[[#This Row],[Column65]])</f>
        <v>0</v>
      </c>
      <c r="BO175" s="163"/>
      <c r="BP175" s="164" t="str">
        <f t="shared" si="132"/>
        <v>--</v>
      </c>
      <c r="BQ175" s="160">
        <f>IF(Table645[[#This Row],[Column68]]="--",0,Table645[[#This Row],[Column4]]*Table645[[#This Row],[Column68]])</f>
        <v>0</v>
      </c>
      <c r="BR175" s="94"/>
      <c r="BS175" s="91" t="str">
        <f t="shared" si="133"/>
        <v>--</v>
      </c>
      <c r="BT175" s="92">
        <f>IF(Table645[[#This Row],[Column71]]="--",0,Table645[[#This Row],[Column4]]*Table645[[#This Row],[Column71]])</f>
        <v>0</v>
      </c>
      <c r="BU175" s="44"/>
      <c r="BV175" s="90"/>
      <c r="BW175" s="91" t="str">
        <f>IF(BV175=0,"--",(Table645[[#This Row],[Column73]]*$BV$4*(IF(J175&lt;0.5001,1,IF(J175&lt;2.0001,2,3)))+BV175/$BV$3)/60/24)</f>
        <v>--</v>
      </c>
      <c r="BX175" s="92">
        <f>IF(Table645[[#This Row],[Column75]]="--",0,Table645[[#This Row],[Column4]]*Table645[[#This Row],[Column75]])</f>
        <v>0</v>
      </c>
      <c r="BY175" s="95" t="s">
        <v>70</v>
      </c>
      <c r="BZ175" s="91" t="str">
        <f>IF(Table645[[#This Row],[Column74]]=0,"--",BW175*$BY$3)</f>
        <v>--</v>
      </c>
      <c r="CA175" s="89">
        <f>IF(Table645[[#This Row],[Column78]]="--",0,Table645[[#This Row],[Column4]]*Table645[[#This Row],[Column78]])</f>
        <v>0</v>
      </c>
      <c r="CB175" s="95" t="s">
        <v>70</v>
      </c>
      <c r="CC175" s="91" t="str">
        <f>IF(Table645[[#This Row],[Column10]]+Table645[[#This Row],[Column74]]=0,"--",J175*$CB$4*$CB$5/(24*60)+IF(Table645[[#This Row],[Column74]]=0,0,$CB$3*Table645[[#This Row],[Column75]]))</f>
        <v>--</v>
      </c>
      <c r="CD175" s="92">
        <f>IF(Table645[[#This Row],[Column81]]="--",0,Table645[[#This Row],[Column4]]*Table645[[#This Row],[Column81]])</f>
        <v>0</v>
      </c>
      <c r="CE175" s="215"/>
      <c r="CF175" s="91" t="str">
        <f t="shared" si="127"/>
        <v>--</v>
      </c>
      <c r="CG175" s="92">
        <f>IF(Table645[[#This Row],[Column84]]="--",0,Table645[[#This Row],[Column4]]*Table645[[#This Row],[Column84]])</f>
        <v>0</v>
      </c>
      <c r="CH175" s="226"/>
      <c r="CI175" s="216"/>
      <c r="CJ175" s="91" t="str">
        <f>IF(CI175=0,"--",(Table645[[#This Row],[Column86]]*$CI$4*(IF(W175&lt;0.5001,1,IF(W175&lt;2.0001,2,3)))+CI175/$CI$3)/60/24)</f>
        <v>--</v>
      </c>
      <c r="CK175" s="92">
        <f>IF(Table645[[#This Row],[Column88]]="--",0,Table645[[#This Row],[Column4]]*Table645[[#This Row],[Column88]])</f>
        <v>0</v>
      </c>
      <c r="CL175" s="217"/>
      <c r="CM175" s="91" t="str">
        <f>IF(Table645[[#This Row],[Column87]]=0,"--",CJ175*$CL$3)</f>
        <v>--</v>
      </c>
      <c r="CN175" s="92">
        <f>IF(Table645[[#This Row],[Column91]]="--",0,Table645[[#This Row],[Column4]]*Table645[[#This Row],[Column91]])</f>
        <v>0</v>
      </c>
      <c r="CO175" s="217"/>
      <c r="CP175" s="91" t="str">
        <f>IF(Table645[[#This Row],[Column10]]+Table645[[#This Row],[Column87]]=0, "--", IF($D175="", 1, $D175) * IF($J175="", 1, $J175) * $CO$3 * $CO$4 * IF(Table645[[#This Row],[Column95]]="", 1, Table645[[#This Row],[Column95]]) / (24 * 60))</f>
        <v>--</v>
      </c>
      <c r="CQ175" s="164"/>
      <c r="CR175" s="92">
        <f>IF(Table645[[#This Row],[Column94]]="--",0,Table645[[#This Row],[Column4]]*Table645[[#This Row],[Column94]])</f>
        <v>0</v>
      </c>
      <c r="CS175" s="218" t="str">
        <f>IF(Table645[[#This Row],[Column87]]="","",Table645[[#This Row],[Column87]])</f>
        <v/>
      </c>
      <c r="CT175" s="91" t="str">
        <f>IF(Table645[[#This Row],[Column97]]="","--",Table645[[#This Row],[Column97]]/$CS$3/60/24)</f>
        <v>--</v>
      </c>
      <c r="CU175" s="92">
        <f>IF(Table645[[#This Row],[Column98]]="--",0,Table645[[#This Row],[Column4]]*Table645[[#This Row],[Column98]])</f>
        <v>0</v>
      </c>
      <c r="CV175" s="93"/>
      <c r="CW175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75" s="91" t="str">
        <f>IF(OR(Table645[[#This Row],[Column74]]&gt;0,Table645[[#This Row],[Column87]]&gt;0),(Table645[[#This Row],[Column73]]+Table645[[#This Row],[Column86]]+1)*$CW$3/60/24,"--")</f>
        <v>--</v>
      </c>
      <c r="CY175" s="92">
        <f>IF(Table645[[#This Row],[Column102]]="--",0,Table645[[#This Row],[Column4]]*Table645[[#This Row],[Column102]])</f>
        <v>0</v>
      </c>
      <c r="CZ175" s="158" t="str">
        <f t="shared" si="134"/>
        <v>--</v>
      </c>
      <c r="DA175" s="153"/>
      <c r="DB175" s="160">
        <f>IF(Table645[[#This Row],[Column104]]="--",0,Table645[[#This Row],[Column4]]*Table645[[#This Row],[Column104]])</f>
        <v>0</v>
      </c>
      <c r="DC175" s="219"/>
      <c r="DD175" s="220" t="str">
        <f>IF(DC175=0,"--",1/$DC$3*1000/(60*60*24)*Table645[[#This Row],[Column107]])</f>
        <v>--</v>
      </c>
      <c r="DE175" s="160">
        <f>IF(Table645[[#This Row],[Column108]]="--",0,Table645[[#This Row],[Column4]]*Table645[[#This Row],[Column108]])</f>
        <v>0</v>
      </c>
      <c r="DF175" s="101" t="s">
        <v>70</v>
      </c>
      <c r="DG175" s="91" t="str">
        <f t="shared" si="135"/>
        <v>--</v>
      </c>
      <c r="DH175" s="89">
        <f>IF(Table645[[#This Row],[Column111]]="--",0,Table645[[#This Row],[Column4]]*Table645[[#This Row],[Column111]])</f>
        <v>0</v>
      </c>
      <c r="DI175" s="96"/>
      <c r="DJ175" s="96"/>
      <c r="DK175" s="96"/>
      <c r="DL175" s="96"/>
      <c r="DM175" s="96"/>
      <c r="DN175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75" s="89">
        <f>IF(Table645[[#This Row],[Column118]]="--",0,Table645[[#This Row],[Column4]]*Table645[[#This Row],[Column118]])</f>
        <v>0</v>
      </c>
      <c r="DP175" s="96"/>
      <c r="DQ175" s="96"/>
      <c r="DR175" s="91" t="str">
        <f t="shared" si="136"/>
        <v>--</v>
      </c>
      <c r="DS175" s="89">
        <f>IF(Table645[[#This Row],[Column122]]="--",0,Table645[[#This Row],[Column4]]*Table645[[#This Row],[Column122]])</f>
        <v>0</v>
      </c>
      <c r="DT175" t="str">
        <f>IF(Table645[[#This Row],[Column125]]=0,"--",Table645[[#This Row],[Column125]]*Table645[[#This Row],[Column126]]*Table645[[#This Row],[Column127]]/1000000000)</f>
        <v>--</v>
      </c>
      <c r="DU175" s="53"/>
      <c r="DV175" s="53"/>
      <c r="DW175" s="53"/>
      <c r="DX175" s="91" t="str">
        <f t="shared" si="137"/>
        <v>--</v>
      </c>
      <c r="DY175" s="89">
        <f>IF(Table645[[#This Row],[Column128]]="--",0,Table645[[#This Row],[Column4]]*Table645[[#This Row],[Column128]])</f>
        <v>0</v>
      </c>
      <c r="EA175" s="89">
        <f>IF(Table645[[#This Row],[Column128]]="--",0,Table645[[#This Row],[Column4]]*Table645[[#This Row],[Column128]])</f>
        <v>0</v>
      </c>
      <c r="EC175" s="89">
        <f>IF(Table645[[#This Row],[Column128]]="--",0,Table645[[#This Row],[Column4]]*Table645[[#This Row],[Column128]])</f>
        <v>0</v>
      </c>
      <c r="EE175" s="89">
        <f>IF(Table645[[#This Row],[Column128]]="--",0,Table645[[#This Row],[Column4]]*Table645[[#This Row],[Column128]])</f>
        <v>0</v>
      </c>
      <c r="EG175" s="89">
        <f>IF(Table645[[#This Row],[Column128]]="--",0,Table645[[#This Row],[Column4]]*Table645[[#This Row],[Column128]])</f>
        <v>0</v>
      </c>
      <c r="EI175" s="89">
        <f>IF(Table645[[#This Row],[Column128]]="--",0,Table645[[#This Row],[Column4]]*Table645[[#This Row],[Column128]])</f>
        <v>0</v>
      </c>
    </row>
    <row r="176" spans="1:139" x14ac:dyDescent="0.25">
      <c r="A176" s="140"/>
      <c r="B176" s="79"/>
      <c r="C176" s="140"/>
      <c r="D176" s="167"/>
      <c r="E176" s="52"/>
      <c r="F176" s="81"/>
      <c r="G176" s="81"/>
      <c r="H176" s="102" t="str">
        <f t="shared" si="128"/>
        <v>--</v>
      </c>
      <c r="I176" s="100">
        <f>IF(Table645[[#This Row],[Column8]]="--",0,Table645[[#This Row],[Column4]]*Table645[[#This Row],[Column8]])</f>
        <v>0</v>
      </c>
      <c r="J176" s="169"/>
      <c r="K176" s="85">
        <f>Table645[[#This Row],[Column4]]*Table645[[#This Row],[Column10]]</f>
        <v>0</v>
      </c>
      <c r="L176" s="170" t="str">
        <f t="shared" si="129"/>
        <v>--</v>
      </c>
      <c r="M176" s="214">
        <f>IF(Table645[[#This Row],[Column10]]=0,0,Table645[[#This Row],[Column4]]*Table645[[#This Row],[Column12]])</f>
        <v>0</v>
      </c>
      <c r="N176" s="87" t="str">
        <f t="shared" si="130"/>
        <v>--</v>
      </c>
      <c r="O176" s="138"/>
      <c r="AZ176" s="89">
        <f>IF(Table645[[#This Row],[Column14]]="--",0,Table645[[#This Row],[Column4]]*Table645[[#This Row],[Column14]])</f>
        <v>0</v>
      </c>
      <c r="BA176" s="90"/>
      <c r="BB176" s="91" t="str">
        <f>IF(BA176=0,"--",BA176*$BA$3*IF(Table645[[#This Row],[Column5]]&lt;4.1,1,2)/60/24)</f>
        <v>--</v>
      </c>
      <c r="BC176" s="92">
        <f>IF(Table645[[#This Row],[Column54]]="--",0,Table645[[#This Row],[Column4]]*Table645[[#This Row],[Column54]])</f>
        <v>0</v>
      </c>
      <c r="BD176" s="119"/>
      <c r="BE176" s="119"/>
      <c r="BF176" s="119"/>
      <c r="BG176" s="91" t="str">
        <f>IF(BD176+Table645[[#This Row],[Column58]]=0,"--",(BD176*$BF$3*Table645[[#This Row],[Column57]]+Table645[[#This Row],[Column58]]*$BF$4)/60/24)</f>
        <v>--</v>
      </c>
      <c r="BH176" s="92">
        <f>IF(Table645[[#This Row],[Column59]]="--",0,Table645[[#This Row],[Column4]]*Table645[[#This Row],[Column59]])</f>
        <v>0</v>
      </c>
      <c r="BI176" s="119"/>
      <c r="BJ176" s="91" t="str">
        <f t="shared" si="126"/>
        <v>--</v>
      </c>
      <c r="BK176" s="92">
        <f>IF(Table645[[#This Row],[Column62]]="--",0,Table645[[#This Row],[Column4]]*Table645[[#This Row],[Column62]])</f>
        <v>0</v>
      </c>
      <c r="BL176" s="93"/>
      <c r="BM176" s="91" t="str">
        <f t="shared" si="131"/>
        <v>--</v>
      </c>
      <c r="BN176" s="89">
        <f>IF(Table645[[#This Row],[Column65]]="--",0,Table645[[#This Row],[Column4]]*Table645[[#This Row],[Column65]])</f>
        <v>0</v>
      </c>
      <c r="BO176" s="163"/>
      <c r="BP176" s="164" t="str">
        <f t="shared" si="132"/>
        <v>--</v>
      </c>
      <c r="BQ176" s="160">
        <f>IF(Table645[[#This Row],[Column68]]="--",0,Table645[[#This Row],[Column4]]*Table645[[#This Row],[Column68]])</f>
        <v>0</v>
      </c>
      <c r="BR176" s="94"/>
      <c r="BS176" s="91" t="str">
        <f t="shared" si="133"/>
        <v>--</v>
      </c>
      <c r="BT176" s="92">
        <f>IF(Table645[[#This Row],[Column71]]="--",0,Table645[[#This Row],[Column4]]*Table645[[#This Row],[Column71]])</f>
        <v>0</v>
      </c>
      <c r="BU176" s="44"/>
      <c r="BV176" s="90"/>
      <c r="BW176" s="91" t="str">
        <f>IF(BV176=0,"--",(Table645[[#This Row],[Column73]]*$BV$4*(IF(J176&lt;0.5001,1,IF(J176&lt;2.0001,2,3)))+BV176/$BV$3)/60/24)</f>
        <v>--</v>
      </c>
      <c r="BX176" s="92">
        <f>IF(Table645[[#This Row],[Column75]]="--",0,Table645[[#This Row],[Column4]]*Table645[[#This Row],[Column75]])</f>
        <v>0</v>
      </c>
      <c r="BY176" s="95" t="s">
        <v>70</v>
      </c>
      <c r="BZ176" s="91" t="str">
        <f>IF(Table645[[#This Row],[Column74]]=0,"--",BW176*$BY$3)</f>
        <v>--</v>
      </c>
      <c r="CA176" s="89">
        <f>IF(Table645[[#This Row],[Column78]]="--",0,Table645[[#This Row],[Column4]]*Table645[[#This Row],[Column78]])</f>
        <v>0</v>
      </c>
      <c r="CB176" s="95" t="s">
        <v>70</v>
      </c>
      <c r="CC176" s="91" t="str">
        <f>IF(Table645[[#This Row],[Column10]]+Table645[[#This Row],[Column74]]=0,"--",J176*$CB$4*$CB$5/(24*60)+IF(Table645[[#This Row],[Column74]]=0,0,$CB$3*Table645[[#This Row],[Column75]]))</f>
        <v>--</v>
      </c>
      <c r="CD176" s="92">
        <f>IF(Table645[[#This Row],[Column81]]="--",0,Table645[[#This Row],[Column4]]*Table645[[#This Row],[Column81]])</f>
        <v>0</v>
      </c>
      <c r="CE176" s="215"/>
      <c r="CF176" s="91" t="str">
        <f t="shared" si="127"/>
        <v>--</v>
      </c>
      <c r="CG176" s="92">
        <f>IF(Table645[[#This Row],[Column84]]="--",0,Table645[[#This Row],[Column4]]*Table645[[#This Row],[Column84]])</f>
        <v>0</v>
      </c>
      <c r="CH176" s="226"/>
      <c r="CI176" s="216"/>
      <c r="CJ176" s="91" t="str">
        <f>IF(CI176=0,"--",(Table645[[#This Row],[Column86]]*$CI$4*(IF(W176&lt;0.5001,1,IF(W176&lt;2.0001,2,3)))+CI176/$CI$3)/60/24)</f>
        <v>--</v>
      </c>
      <c r="CK176" s="92">
        <f>IF(Table645[[#This Row],[Column88]]="--",0,Table645[[#This Row],[Column4]]*Table645[[#This Row],[Column88]])</f>
        <v>0</v>
      </c>
      <c r="CL176" s="217"/>
      <c r="CM176" s="91" t="str">
        <f>IF(Table645[[#This Row],[Column87]]=0,"--",CJ176*$CL$3)</f>
        <v>--</v>
      </c>
      <c r="CN176" s="92">
        <f>IF(Table645[[#This Row],[Column91]]="--",0,Table645[[#This Row],[Column4]]*Table645[[#This Row],[Column91]])</f>
        <v>0</v>
      </c>
      <c r="CO176" s="217"/>
      <c r="CP176" s="91" t="str">
        <f>IF(Table645[[#This Row],[Column10]]+Table645[[#This Row],[Column87]]=0, "--", IF($D176="", 1, $D176) * IF($J176="", 1, $J176) * $CO$3 * $CO$4 * IF(Table645[[#This Row],[Column95]]="", 1, Table645[[#This Row],[Column95]]) / (24 * 60))</f>
        <v>--</v>
      </c>
      <c r="CQ176" s="164"/>
      <c r="CR176" s="92">
        <f>IF(Table645[[#This Row],[Column94]]="--",0,Table645[[#This Row],[Column4]]*Table645[[#This Row],[Column94]])</f>
        <v>0</v>
      </c>
      <c r="CS176" s="218" t="str">
        <f>IF(Table645[[#This Row],[Column87]]="","",Table645[[#This Row],[Column87]])</f>
        <v/>
      </c>
      <c r="CT176" s="91" t="str">
        <f>IF(Table645[[#This Row],[Column97]]="","--",Table645[[#This Row],[Column97]]/$CS$3/60/24)</f>
        <v>--</v>
      </c>
      <c r="CU176" s="92">
        <f>IF(Table645[[#This Row],[Column98]]="--",0,Table645[[#This Row],[Column4]]*Table645[[#This Row],[Column98]])</f>
        <v>0</v>
      </c>
      <c r="CV176" s="93"/>
      <c r="CW176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76" s="91" t="str">
        <f>IF(OR(Table645[[#This Row],[Column74]]&gt;0,Table645[[#This Row],[Column87]]&gt;0),(Table645[[#This Row],[Column73]]+Table645[[#This Row],[Column86]]+1)*$CW$3/60/24,"--")</f>
        <v>--</v>
      </c>
      <c r="CY176" s="92">
        <f>IF(Table645[[#This Row],[Column102]]="--",0,Table645[[#This Row],[Column4]]*Table645[[#This Row],[Column102]])</f>
        <v>0</v>
      </c>
      <c r="CZ176" s="158" t="str">
        <f t="shared" si="134"/>
        <v>--</v>
      </c>
      <c r="DA176" s="153"/>
      <c r="DB176" s="160">
        <f>IF(Table645[[#This Row],[Column104]]="--",0,Table645[[#This Row],[Column4]]*Table645[[#This Row],[Column104]])</f>
        <v>0</v>
      </c>
      <c r="DC176" s="219"/>
      <c r="DD176" s="220" t="str">
        <f>IF(DC176=0,"--",1/$DC$3*1000/(60*60*24)*Table645[[#This Row],[Column107]])</f>
        <v>--</v>
      </c>
      <c r="DE176" s="160">
        <f>IF(Table645[[#This Row],[Column108]]="--",0,Table645[[#This Row],[Column4]]*Table645[[#This Row],[Column108]])</f>
        <v>0</v>
      </c>
      <c r="DF176" s="101" t="s">
        <v>70</v>
      </c>
      <c r="DG176" s="91" t="str">
        <f t="shared" si="135"/>
        <v>--</v>
      </c>
      <c r="DH176" s="89">
        <f>IF(Table645[[#This Row],[Column111]]="--",0,Table645[[#This Row],[Column4]]*Table645[[#This Row],[Column111]])</f>
        <v>0</v>
      </c>
      <c r="DI176" s="96"/>
      <c r="DJ176" s="96"/>
      <c r="DK176" s="96"/>
      <c r="DL176" s="96"/>
      <c r="DM176" s="96"/>
      <c r="DN176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76" s="89">
        <f>IF(Table645[[#This Row],[Column118]]="--",0,Table645[[#This Row],[Column4]]*Table645[[#This Row],[Column118]])</f>
        <v>0</v>
      </c>
      <c r="DP176" s="96"/>
      <c r="DQ176" s="96"/>
      <c r="DR176" s="91" t="str">
        <f t="shared" si="136"/>
        <v>--</v>
      </c>
      <c r="DS176" s="89">
        <f>IF(Table645[[#This Row],[Column122]]="--",0,Table645[[#This Row],[Column4]]*Table645[[#This Row],[Column122]])</f>
        <v>0</v>
      </c>
      <c r="DT176" t="str">
        <f>IF(Table645[[#This Row],[Column125]]=0,"--",Table645[[#This Row],[Column125]]*Table645[[#This Row],[Column126]]*Table645[[#This Row],[Column127]]/1000000000)</f>
        <v>--</v>
      </c>
      <c r="DU176" s="53"/>
      <c r="DV176" s="53"/>
      <c r="DW176" s="53"/>
      <c r="DX176" s="91" t="str">
        <f t="shared" si="137"/>
        <v>--</v>
      </c>
      <c r="DY176" s="89">
        <f>IF(Table645[[#This Row],[Column128]]="--",0,Table645[[#This Row],[Column4]]*Table645[[#This Row],[Column128]])</f>
        <v>0</v>
      </c>
      <c r="EA176" s="89">
        <f>IF(Table645[[#This Row],[Column128]]="--",0,Table645[[#This Row],[Column4]]*Table645[[#This Row],[Column128]])</f>
        <v>0</v>
      </c>
      <c r="EC176" s="89">
        <f>IF(Table645[[#This Row],[Column128]]="--",0,Table645[[#This Row],[Column4]]*Table645[[#This Row],[Column128]])</f>
        <v>0</v>
      </c>
      <c r="EE176" s="89">
        <f>IF(Table645[[#This Row],[Column128]]="--",0,Table645[[#This Row],[Column4]]*Table645[[#This Row],[Column128]])</f>
        <v>0</v>
      </c>
      <c r="EG176" s="89">
        <f>IF(Table645[[#This Row],[Column128]]="--",0,Table645[[#This Row],[Column4]]*Table645[[#This Row],[Column128]])</f>
        <v>0</v>
      </c>
      <c r="EI176" s="89">
        <f>IF(Table645[[#This Row],[Column128]]="--",0,Table645[[#This Row],[Column4]]*Table645[[#This Row],[Column128]])</f>
        <v>0</v>
      </c>
    </row>
    <row r="177" spans="1:139" x14ac:dyDescent="0.25">
      <c r="A177" s="140"/>
      <c r="B177" s="79"/>
      <c r="C177" s="140"/>
      <c r="D177" s="167"/>
      <c r="E177" s="52"/>
      <c r="F177" s="81"/>
      <c r="G177" s="81"/>
      <c r="H177" s="102" t="str">
        <f t="shared" si="128"/>
        <v>--</v>
      </c>
      <c r="I177" s="100">
        <f>IF(Table645[[#This Row],[Column8]]="--",0,Table645[[#This Row],[Column4]]*Table645[[#This Row],[Column8]])</f>
        <v>0</v>
      </c>
      <c r="J177" s="169"/>
      <c r="K177" s="85">
        <f>Table645[[#This Row],[Column4]]*Table645[[#This Row],[Column10]]</f>
        <v>0</v>
      </c>
      <c r="L177" s="170" t="str">
        <f t="shared" si="129"/>
        <v>--</v>
      </c>
      <c r="M177" s="214">
        <f>IF(Table645[[#This Row],[Column10]]=0,0,Table645[[#This Row],[Column4]]*Table645[[#This Row],[Column12]])</f>
        <v>0</v>
      </c>
      <c r="N177" s="87" t="str">
        <f t="shared" si="130"/>
        <v>--</v>
      </c>
      <c r="O177" s="138"/>
      <c r="AZ177" s="89">
        <f>IF(Table645[[#This Row],[Column14]]="--",0,Table645[[#This Row],[Column4]]*Table645[[#This Row],[Column14]])</f>
        <v>0</v>
      </c>
      <c r="BA177" s="90"/>
      <c r="BB177" s="91" t="str">
        <f>IF(BA177=0,"--",BA177*$BA$3*IF(Table645[[#This Row],[Column5]]&lt;4.1,1,2)/60/24)</f>
        <v>--</v>
      </c>
      <c r="BC177" s="92">
        <f>IF(Table645[[#This Row],[Column54]]="--",0,Table645[[#This Row],[Column4]]*Table645[[#This Row],[Column54]])</f>
        <v>0</v>
      </c>
      <c r="BD177" s="119"/>
      <c r="BE177" s="119"/>
      <c r="BF177" s="119"/>
      <c r="BG177" s="91" t="str">
        <f>IF(BD177+Table645[[#This Row],[Column58]]=0,"--",(BD177*$BF$3*Table645[[#This Row],[Column57]]+Table645[[#This Row],[Column58]]*$BF$4)/60/24)</f>
        <v>--</v>
      </c>
      <c r="BH177" s="92">
        <f>IF(Table645[[#This Row],[Column59]]="--",0,Table645[[#This Row],[Column4]]*Table645[[#This Row],[Column59]])</f>
        <v>0</v>
      </c>
      <c r="BI177" s="119"/>
      <c r="BJ177" s="91" t="str">
        <f t="shared" si="126"/>
        <v>--</v>
      </c>
      <c r="BK177" s="92">
        <f>IF(Table645[[#This Row],[Column62]]="--",0,Table645[[#This Row],[Column4]]*Table645[[#This Row],[Column62]])</f>
        <v>0</v>
      </c>
      <c r="BL177" s="93"/>
      <c r="BM177" s="91" t="str">
        <f t="shared" si="131"/>
        <v>--</v>
      </c>
      <c r="BN177" s="89">
        <f>IF(Table645[[#This Row],[Column65]]="--",0,Table645[[#This Row],[Column4]]*Table645[[#This Row],[Column65]])</f>
        <v>0</v>
      </c>
      <c r="BO177" s="163"/>
      <c r="BP177" s="164" t="str">
        <f t="shared" si="132"/>
        <v>--</v>
      </c>
      <c r="BQ177" s="160">
        <f>IF(Table645[[#This Row],[Column68]]="--",0,Table645[[#This Row],[Column4]]*Table645[[#This Row],[Column68]])</f>
        <v>0</v>
      </c>
      <c r="BR177" s="94"/>
      <c r="BS177" s="91" t="str">
        <f t="shared" si="133"/>
        <v>--</v>
      </c>
      <c r="BT177" s="92">
        <f>IF(Table645[[#This Row],[Column71]]="--",0,Table645[[#This Row],[Column4]]*Table645[[#This Row],[Column71]])</f>
        <v>0</v>
      </c>
      <c r="BU177" s="44"/>
      <c r="BV177" s="90"/>
      <c r="BW177" s="91" t="str">
        <f>IF(BV177=0,"--",(Table645[[#This Row],[Column73]]*$BV$4*(IF(J177&lt;0.5001,1,IF(J177&lt;2.0001,2,3)))+BV177/$BV$3)/60/24)</f>
        <v>--</v>
      </c>
      <c r="BX177" s="92">
        <f>IF(Table645[[#This Row],[Column75]]="--",0,Table645[[#This Row],[Column4]]*Table645[[#This Row],[Column75]])</f>
        <v>0</v>
      </c>
      <c r="BY177" s="95" t="s">
        <v>70</v>
      </c>
      <c r="BZ177" s="91" t="str">
        <f>IF(Table645[[#This Row],[Column74]]=0,"--",BW177*$BY$3)</f>
        <v>--</v>
      </c>
      <c r="CA177" s="89">
        <f>IF(Table645[[#This Row],[Column78]]="--",0,Table645[[#This Row],[Column4]]*Table645[[#This Row],[Column78]])</f>
        <v>0</v>
      </c>
      <c r="CB177" s="95" t="s">
        <v>70</v>
      </c>
      <c r="CC177" s="91" t="str">
        <f>IF(Table645[[#This Row],[Column10]]+Table645[[#This Row],[Column74]]=0,"--",J177*$CB$4*$CB$5/(24*60)+IF(Table645[[#This Row],[Column74]]=0,0,$CB$3*Table645[[#This Row],[Column75]]))</f>
        <v>--</v>
      </c>
      <c r="CD177" s="92">
        <f>IF(Table645[[#This Row],[Column81]]="--",0,Table645[[#This Row],[Column4]]*Table645[[#This Row],[Column81]])</f>
        <v>0</v>
      </c>
      <c r="CE177" s="215"/>
      <c r="CF177" s="91" t="str">
        <f t="shared" si="127"/>
        <v>--</v>
      </c>
      <c r="CG177" s="92">
        <f>IF(Table645[[#This Row],[Column84]]="--",0,Table645[[#This Row],[Column4]]*Table645[[#This Row],[Column84]])</f>
        <v>0</v>
      </c>
      <c r="CH177" s="226"/>
      <c r="CI177" s="216"/>
      <c r="CJ177" s="91" t="str">
        <f>IF(CI177=0,"--",(Table645[[#This Row],[Column86]]*$CI$4*(IF(W177&lt;0.5001,1,IF(W177&lt;2.0001,2,3)))+CI177/$CI$3)/60/24)</f>
        <v>--</v>
      </c>
      <c r="CK177" s="92">
        <f>IF(Table645[[#This Row],[Column88]]="--",0,Table645[[#This Row],[Column4]]*Table645[[#This Row],[Column88]])</f>
        <v>0</v>
      </c>
      <c r="CL177" s="217"/>
      <c r="CM177" s="91" t="str">
        <f>IF(Table645[[#This Row],[Column87]]=0,"--",CJ177*$CL$3)</f>
        <v>--</v>
      </c>
      <c r="CN177" s="92">
        <f>IF(Table645[[#This Row],[Column91]]="--",0,Table645[[#This Row],[Column4]]*Table645[[#This Row],[Column91]])</f>
        <v>0</v>
      </c>
      <c r="CO177" s="217"/>
      <c r="CP177" s="91" t="str">
        <f>IF(Table645[[#This Row],[Column10]]+Table645[[#This Row],[Column87]]=0, "--", IF($D177="", 1, $D177) * IF($J177="", 1, $J177) * $CO$3 * $CO$4 * IF(Table645[[#This Row],[Column95]]="", 1, Table645[[#This Row],[Column95]]) / (24 * 60))</f>
        <v>--</v>
      </c>
      <c r="CQ177" s="164"/>
      <c r="CR177" s="92">
        <f>IF(Table645[[#This Row],[Column94]]="--",0,Table645[[#This Row],[Column4]]*Table645[[#This Row],[Column94]])</f>
        <v>0</v>
      </c>
      <c r="CS177" s="218" t="str">
        <f>IF(Table645[[#This Row],[Column87]]="","",Table645[[#This Row],[Column87]])</f>
        <v/>
      </c>
      <c r="CT177" s="91" t="str">
        <f>IF(Table645[[#This Row],[Column97]]="","--",Table645[[#This Row],[Column97]]/$CS$3/60/24)</f>
        <v>--</v>
      </c>
      <c r="CU177" s="92">
        <f>IF(Table645[[#This Row],[Column98]]="--",0,Table645[[#This Row],[Column4]]*Table645[[#This Row],[Column98]])</f>
        <v>0</v>
      </c>
      <c r="CV177" s="93"/>
      <c r="CW177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77" s="91" t="str">
        <f>IF(OR(Table645[[#This Row],[Column74]]&gt;0,Table645[[#This Row],[Column87]]&gt;0),(Table645[[#This Row],[Column73]]+Table645[[#This Row],[Column86]]+1)*$CW$3/60/24,"--")</f>
        <v>--</v>
      </c>
      <c r="CY177" s="92">
        <f>IF(Table645[[#This Row],[Column102]]="--",0,Table645[[#This Row],[Column4]]*Table645[[#This Row],[Column102]])</f>
        <v>0</v>
      </c>
      <c r="CZ177" s="158" t="str">
        <f t="shared" si="134"/>
        <v>--</v>
      </c>
      <c r="DA177" s="153"/>
      <c r="DB177" s="160">
        <f>IF(Table645[[#This Row],[Column104]]="--",0,Table645[[#This Row],[Column4]]*Table645[[#This Row],[Column104]])</f>
        <v>0</v>
      </c>
      <c r="DC177" s="219"/>
      <c r="DD177" s="220" t="str">
        <f>IF(DC177=0,"--",1/$DC$3*1000/(60*60*24)*Table645[[#This Row],[Column107]])</f>
        <v>--</v>
      </c>
      <c r="DE177" s="160">
        <f>IF(Table645[[#This Row],[Column108]]="--",0,Table645[[#This Row],[Column4]]*Table645[[#This Row],[Column108]])</f>
        <v>0</v>
      </c>
      <c r="DF177" s="101" t="s">
        <v>70</v>
      </c>
      <c r="DG177" s="91" t="str">
        <f t="shared" si="135"/>
        <v>--</v>
      </c>
      <c r="DH177" s="89">
        <f>IF(Table645[[#This Row],[Column111]]="--",0,Table645[[#This Row],[Column4]]*Table645[[#This Row],[Column111]])</f>
        <v>0</v>
      </c>
      <c r="DI177" s="96"/>
      <c r="DJ177" s="96"/>
      <c r="DK177" s="96"/>
      <c r="DL177" s="96"/>
      <c r="DM177" s="96"/>
      <c r="DN177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77" s="89">
        <f>IF(Table645[[#This Row],[Column118]]="--",0,Table645[[#This Row],[Column4]]*Table645[[#This Row],[Column118]])</f>
        <v>0</v>
      </c>
      <c r="DP177" s="96"/>
      <c r="DQ177" s="96"/>
      <c r="DR177" s="91" t="str">
        <f t="shared" si="136"/>
        <v>--</v>
      </c>
      <c r="DS177" s="89">
        <f>IF(Table645[[#This Row],[Column122]]="--",0,Table645[[#This Row],[Column4]]*Table645[[#This Row],[Column122]])</f>
        <v>0</v>
      </c>
      <c r="DT177" t="str">
        <f>IF(Table645[[#This Row],[Column125]]=0,"--",Table645[[#This Row],[Column125]]*Table645[[#This Row],[Column126]]*Table645[[#This Row],[Column127]]/1000000000)</f>
        <v>--</v>
      </c>
      <c r="DU177" s="53"/>
      <c r="DV177" s="53"/>
      <c r="DW177" s="53"/>
      <c r="DX177" s="91" t="str">
        <f t="shared" si="137"/>
        <v>--</v>
      </c>
      <c r="DY177" s="89">
        <f>IF(Table645[[#This Row],[Column128]]="--",0,Table645[[#This Row],[Column4]]*Table645[[#This Row],[Column128]])</f>
        <v>0</v>
      </c>
      <c r="EA177" s="89">
        <f>IF(Table645[[#This Row],[Column128]]="--",0,Table645[[#This Row],[Column4]]*Table645[[#This Row],[Column128]])</f>
        <v>0</v>
      </c>
      <c r="EC177" s="89">
        <f>IF(Table645[[#This Row],[Column128]]="--",0,Table645[[#This Row],[Column4]]*Table645[[#This Row],[Column128]])</f>
        <v>0</v>
      </c>
      <c r="EE177" s="89">
        <f>IF(Table645[[#This Row],[Column128]]="--",0,Table645[[#This Row],[Column4]]*Table645[[#This Row],[Column128]])</f>
        <v>0</v>
      </c>
      <c r="EG177" s="89">
        <f>IF(Table645[[#This Row],[Column128]]="--",0,Table645[[#This Row],[Column4]]*Table645[[#This Row],[Column128]])</f>
        <v>0</v>
      </c>
      <c r="EI177" s="89">
        <f>IF(Table645[[#This Row],[Column128]]="--",0,Table645[[#This Row],[Column4]]*Table645[[#This Row],[Column128]])</f>
        <v>0</v>
      </c>
    </row>
    <row r="178" spans="1:139" x14ac:dyDescent="0.25">
      <c r="A178" s="140"/>
      <c r="B178" s="79"/>
      <c r="C178" s="140"/>
      <c r="D178" s="167"/>
      <c r="E178" s="52"/>
      <c r="F178" s="81"/>
      <c r="G178" s="81"/>
      <c r="H178" s="102" t="str">
        <f t="shared" si="128"/>
        <v>--</v>
      </c>
      <c r="I178" s="100">
        <f>IF(Table645[[#This Row],[Column8]]="--",0,Table645[[#This Row],[Column4]]*Table645[[#This Row],[Column8]])</f>
        <v>0</v>
      </c>
      <c r="J178" s="169"/>
      <c r="K178" s="85">
        <f>Table645[[#This Row],[Column4]]*Table645[[#This Row],[Column10]]</f>
        <v>0</v>
      </c>
      <c r="L178" s="170" t="str">
        <f t="shared" si="129"/>
        <v>--</v>
      </c>
      <c r="M178" s="214">
        <f>IF(Table645[[#This Row],[Column10]]=0,0,Table645[[#This Row],[Column4]]*Table645[[#This Row],[Column12]])</f>
        <v>0</v>
      </c>
      <c r="N178" s="87" t="str">
        <f t="shared" si="130"/>
        <v>--</v>
      </c>
      <c r="O178" s="138"/>
      <c r="AZ178" s="89">
        <f>IF(Table645[[#This Row],[Column14]]="--",0,Table645[[#This Row],[Column4]]*Table645[[#This Row],[Column14]])</f>
        <v>0</v>
      </c>
      <c r="BA178" s="90"/>
      <c r="BB178" s="91" t="str">
        <f>IF(BA178=0,"--",BA178*$BA$3*IF(Table645[[#This Row],[Column5]]&lt;4.1,1,2)/60/24)</f>
        <v>--</v>
      </c>
      <c r="BC178" s="92">
        <f>IF(Table645[[#This Row],[Column54]]="--",0,Table645[[#This Row],[Column4]]*Table645[[#This Row],[Column54]])</f>
        <v>0</v>
      </c>
      <c r="BD178" s="119"/>
      <c r="BE178" s="119"/>
      <c r="BF178" s="119"/>
      <c r="BG178" s="91" t="str">
        <f>IF(BD178+Table645[[#This Row],[Column58]]=0,"--",(BD178*$BF$3*Table645[[#This Row],[Column57]]+Table645[[#This Row],[Column58]]*$BF$4)/60/24)</f>
        <v>--</v>
      </c>
      <c r="BH178" s="92">
        <f>IF(Table645[[#This Row],[Column59]]="--",0,Table645[[#This Row],[Column4]]*Table645[[#This Row],[Column59]])</f>
        <v>0</v>
      </c>
      <c r="BI178" s="119"/>
      <c r="BJ178" s="91" t="str">
        <f t="shared" si="126"/>
        <v>--</v>
      </c>
      <c r="BK178" s="92">
        <f>IF(Table645[[#This Row],[Column62]]="--",0,Table645[[#This Row],[Column4]]*Table645[[#This Row],[Column62]])</f>
        <v>0</v>
      </c>
      <c r="BL178" s="93"/>
      <c r="BM178" s="91" t="str">
        <f t="shared" si="131"/>
        <v>--</v>
      </c>
      <c r="BN178" s="89">
        <f>IF(Table645[[#This Row],[Column65]]="--",0,Table645[[#This Row],[Column4]]*Table645[[#This Row],[Column65]])</f>
        <v>0</v>
      </c>
      <c r="BO178" s="163"/>
      <c r="BP178" s="164" t="str">
        <f t="shared" si="132"/>
        <v>--</v>
      </c>
      <c r="BQ178" s="160">
        <f>IF(Table645[[#This Row],[Column68]]="--",0,Table645[[#This Row],[Column4]]*Table645[[#This Row],[Column68]])</f>
        <v>0</v>
      </c>
      <c r="BR178" s="94"/>
      <c r="BS178" s="91" t="str">
        <f t="shared" si="133"/>
        <v>--</v>
      </c>
      <c r="BT178" s="92">
        <f>IF(Table645[[#This Row],[Column71]]="--",0,Table645[[#This Row],[Column4]]*Table645[[#This Row],[Column71]])</f>
        <v>0</v>
      </c>
      <c r="BU178" s="44"/>
      <c r="BV178" s="90"/>
      <c r="BW178" s="91" t="str">
        <f>IF(BV178=0,"--",(Table645[[#This Row],[Column73]]*$BV$4*(IF(J178&lt;0.5001,1,IF(J178&lt;2.0001,2,3)))+BV178/$BV$3)/60/24)</f>
        <v>--</v>
      </c>
      <c r="BX178" s="92">
        <f>IF(Table645[[#This Row],[Column75]]="--",0,Table645[[#This Row],[Column4]]*Table645[[#This Row],[Column75]])</f>
        <v>0</v>
      </c>
      <c r="BY178" s="95" t="s">
        <v>70</v>
      </c>
      <c r="BZ178" s="91" t="str">
        <f>IF(Table645[[#This Row],[Column74]]=0,"--",BW178*$BY$3)</f>
        <v>--</v>
      </c>
      <c r="CA178" s="89">
        <f>IF(Table645[[#This Row],[Column78]]="--",0,Table645[[#This Row],[Column4]]*Table645[[#This Row],[Column78]])</f>
        <v>0</v>
      </c>
      <c r="CB178" s="95" t="s">
        <v>70</v>
      </c>
      <c r="CC178" s="91" t="str">
        <f>IF(Table645[[#This Row],[Column10]]+Table645[[#This Row],[Column74]]=0,"--",J178*$CB$4*$CB$5/(24*60)+IF(Table645[[#This Row],[Column74]]=0,0,$CB$3*Table645[[#This Row],[Column75]]))</f>
        <v>--</v>
      </c>
      <c r="CD178" s="92">
        <f>IF(Table645[[#This Row],[Column81]]="--",0,Table645[[#This Row],[Column4]]*Table645[[#This Row],[Column81]])</f>
        <v>0</v>
      </c>
      <c r="CE178" s="215"/>
      <c r="CF178" s="91" t="str">
        <f t="shared" si="127"/>
        <v>--</v>
      </c>
      <c r="CG178" s="92">
        <f>IF(Table645[[#This Row],[Column84]]="--",0,Table645[[#This Row],[Column4]]*Table645[[#This Row],[Column84]])</f>
        <v>0</v>
      </c>
      <c r="CH178" s="226"/>
      <c r="CI178" s="216"/>
      <c r="CJ178" s="91" t="str">
        <f>IF(CI178=0,"--",(Table645[[#This Row],[Column86]]*$CI$4*(IF(W178&lt;0.5001,1,IF(W178&lt;2.0001,2,3)))+CI178/$CI$3)/60/24)</f>
        <v>--</v>
      </c>
      <c r="CK178" s="92">
        <f>IF(Table645[[#This Row],[Column88]]="--",0,Table645[[#This Row],[Column4]]*Table645[[#This Row],[Column88]])</f>
        <v>0</v>
      </c>
      <c r="CL178" s="217"/>
      <c r="CM178" s="91" t="str">
        <f>IF(Table645[[#This Row],[Column87]]=0,"--",CJ178*$CL$3)</f>
        <v>--</v>
      </c>
      <c r="CN178" s="92">
        <f>IF(Table645[[#This Row],[Column91]]="--",0,Table645[[#This Row],[Column4]]*Table645[[#This Row],[Column91]])</f>
        <v>0</v>
      </c>
      <c r="CO178" s="217"/>
      <c r="CP178" s="91" t="str">
        <f>IF(Table645[[#This Row],[Column10]]+Table645[[#This Row],[Column87]]=0, "--", IF($D178="", 1, $D178) * IF($J178="", 1, $J178) * $CO$3 * $CO$4 * IF(Table645[[#This Row],[Column95]]="", 1, Table645[[#This Row],[Column95]]) / (24 * 60))</f>
        <v>--</v>
      </c>
      <c r="CQ178" s="164"/>
      <c r="CR178" s="92">
        <f>IF(Table645[[#This Row],[Column94]]="--",0,Table645[[#This Row],[Column4]]*Table645[[#This Row],[Column94]])</f>
        <v>0</v>
      </c>
      <c r="CS178" s="218" t="str">
        <f>IF(Table645[[#This Row],[Column87]]="","",Table645[[#This Row],[Column87]])</f>
        <v/>
      </c>
      <c r="CT178" s="91" t="str">
        <f>IF(Table645[[#This Row],[Column97]]="","--",Table645[[#This Row],[Column97]]/$CS$3/60/24)</f>
        <v>--</v>
      </c>
      <c r="CU178" s="92">
        <f>IF(Table645[[#This Row],[Column98]]="--",0,Table645[[#This Row],[Column4]]*Table645[[#This Row],[Column98]])</f>
        <v>0</v>
      </c>
      <c r="CV178" s="93"/>
      <c r="CW178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78" s="91" t="str">
        <f>IF(OR(Table645[[#This Row],[Column74]]&gt;0,Table645[[#This Row],[Column87]]&gt;0),(Table645[[#This Row],[Column73]]+Table645[[#This Row],[Column86]]+1)*$CW$3/60/24,"--")</f>
        <v>--</v>
      </c>
      <c r="CY178" s="92">
        <f>IF(Table645[[#This Row],[Column102]]="--",0,Table645[[#This Row],[Column4]]*Table645[[#This Row],[Column102]])</f>
        <v>0</v>
      </c>
      <c r="CZ178" s="158" t="str">
        <f t="shared" si="134"/>
        <v>--</v>
      </c>
      <c r="DA178" s="153"/>
      <c r="DB178" s="160">
        <f>IF(Table645[[#This Row],[Column104]]="--",0,Table645[[#This Row],[Column4]]*Table645[[#This Row],[Column104]])</f>
        <v>0</v>
      </c>
      <c r="DC178" s="219"/>
      <c r="DD178" s="220" t="str">
        <f>IF(DC178=0,"--",1/$DC$3*1000/(60*60*24)*Table645[[#This Row],[Column107]])</f>
        <v>--</v>
      </c>
      <c r="DE178" s="160">
        <f>IF(Table645[[#This Row],[Column108]]="--",0,Table645[[#This Row],[Column4]]*Table645[[#This Row],[Column108]])</f>
        <v>0</v>
      </c>
      <c r="DF178" s="101" t="s">
        <v>70</v>
      </c>
      <c r="DG178" s="91" t="str">
        <f t="shared" si="135"/>
        <v>--</v>
      </c>
      <c r="DH178" s="89">
        <f>IF(Table645[[#This Row],[Column111]]="--",0,Table645[[#This Row],[Column4]]*Table645[[#This Row],[Column111]])</f>
        <v>0</v>
      </c>
      <c r="DI178" s="96"/>
      <c r="DJ178" s="96"/>
      <c r="DK178" s="96"/>
      <c r="DL178" s="96"/>
      <c r="DM178" s="96"/>
      <c r="DN178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78" s="89">
        <f>IF(Table645[[#This Row],[Column118]]="--",0,Table645[[#This Row],[Column4]]*Table645[[#This Row],[Column118]])</f>
        <v>0</v>
      </c>
      <c r="DP178" s="96"/>
      <c r="DQ178" s="96"/>
      <c r="DR178" s="91" t="str">
        <f t="shared" si="136"/>
        <v>--</v>
      </c>
      <c r="DS178" s="89">
        <f>IF(Table645[[#This Row],[Column122]]="--",0,Table645[[#This Row],[Column4]]*Table645[[#This Row],[Column122]])</f>
        <v>0</v>
      </c>
      <c r="DT178" t="str">
        <f>IF(Table645[[#This Row],[Column125]]=0,"--",Table645[[#This Row],[Column125]]*Table645[[#This Row],[Column126]]*Table645[[#This Row],[Column127]]/1000000000)</f>
        <v>--</v>
      </c>
      <c r="DU178" s="53"/>
      <c r="DV178" s="53"/>
      <c r="DW178" s="53"/>
      <c r="DX178" s="91" t="str">
        <f t="shared" si="137"/>
        <v>--</v>
      </c>
      <c r="DY178" s="89">
        <f>IF(Table645[[#This Row],[Column128]]="--",0,Table645[[#This Row],[Column4]]*Table645[[#This Row],[Column128]])</f>
        <v>0</v>
      </c>
      <c r="EA178" s="89">
        <f>IF(Table645[[#This Row],[Column128]]="--",0,Table645[[#This Row],[Column4]]*Table645[[#This Row],[Column128]])</f>
        <v>0</v>
      </c>
      <c r="EC178" s="89">
        <f>IF(Table645[[#This Row],[Column128]]="--",0,Table645[[#This Row],[Column4]]*Table645[[#This Row],[Column128]])</f>
        <v>0</v>
      </c>
      <c r="EE178" s="89">
        <f>IF(Table645[[#This Row],[Column128]]="--",0,Table645[[#This Row],[Column4]]*Table645[[#This Row],[Column128]])</f>
        <v>0</v>
      </c>
      <c r="EG178" s="89">
        <f>IF(Table645[[#This Row],[Column128]]="--",0,Table645[[#This Row],[Column4]]*Table645[[#This Row],[Column128]])</f>
        <v>0</v>
      </c>
      <c r="EI178" s="89">
        <f>IF(Table645[[#This Row],[Column128]]="--",0,Table645[[#This Row],[Column4]]*Table645[[#This Row],[Column128]])</f>
        <v>0</v>
      </c>
    </row>
    <row r="179" spans="1:139" x14ac:dyDescent="0.25">
      <c r="A179" s="140"/>
      <c r="B179" s="79"/>
      <c r="C179" s="140"/>
      <c r="D179" s="167"/>
      <c r="E179" s="52"/>
      <c r="F179" s="81"/>
      <c r="G179" s="81"/>
      <c r="H179" s="102" t="str">
        <f t="shared" si="128"/>
        <v>--</v>
      </c>
      <c r="I179" s="100">
        <f>IF(Table645[[#This Row],[Column8]]="--",0,Table645[[#This Row],[Column4]]*Table645[[#This Row],[Column8]])</f>
        <v>0</v>
      </c>
      <c r="J179" s="169"/>
      <c r="K179" s="85">
        <f>Table645[[#This Row],[Column4]]*Table645[[#This Row],[Column10]]</f>
        <v>0</v>
      </c>
      <c r="L179" s="170" t="str">
        <f t="shared" si="129"/>
        <v>--</v>
      </c>
      <c r="M179" s="214">
        <f>IF(Table645[[#This Row],[Column10]]=0,0,Table645[[#This Row],[Column4]]*Table645[[#This Row],[Column12]])</f>
        <v>0</v>
      </c>
      <c r="N179" s="87" t="str">
        <f t="shared" si="130"/>
        <v>--</v>
      </c>
      <c r="O179" s="138"/>
      <c r="AZ179" s="89">
        <f>IF(Table645[[#This Row],[Column14]]="--",0,Table645[[#This Row],[Column4]]*Table645[[#This Row],[Column14]])</f>
        <v>0</v>
      </c>
      <c r="BA179" s="90"/>
      <c r="BB179" s="91" t="str">
        <f>IF(BA179=0,"--",BA179*$BA$3*IF(Table645[[#This Row],[Column5]]&lt;4.1,1,2)/60/24)</f>
        <v>--</v>
      </c>
      <c r="BC179" s="92">
        <f>IF(Table645[[#This Row],[Column54]]="--",0,Table645[[#This Row],[Column4]]*Table645[[#This Row],[Column54]])</f>
        <v>0</v>
      </c>
      <c r="BD179" s="119"/>
      <c r="BE179" s="119"/>
      <c r="BF179" s="119"/>
      <c r="BG179" s="91" t="str">
        <f>IF(BD179+Table645[[#This Row],[Column58]]=0,"--",(BD179*$BF$3*Table645[[#This Row],[Column57]]+Table645[[#This Row],[Column58]]*$BF$4)/60/24)</f>
        <v>--</v>
      </c>
      <c r="BH179" s="92">
        <f>IF(Table645[[#This Row],[Column59]]="--",0,Table645[[#This Row],[Column4]]*Table645[[#This Row],[Column59]])</f>
        <v>0</v>
      </c>
      <c r="BI179" s="119"/>
      <c r="BJ179" s="91" t="str">
        <f t="shared" si="126"/>
        <v>--</v>
      </c>
      <c r="BK179" s="92">
        <f>IF(Table645[[#This Row],[Column62]]="--",0,Table645[[#This Row],[Column4]]*Table645[[#This Row],[Column62]])</f>
        <v>0</v>
      </c>
      <c r="BL179" s="93"/>
      <c r="BM179" s="91" t="str">
        <f t="shared" si="131"/>
        <v>--</v>
      </c>
      <c r="BN179" s="89">
        <f>IF(Table645[[#This Row],[Column65]]="--",0,Table645[[#This Row],[Column4]]*Table645[[#This Row],[Column65]])</f>
        <v>0</v>
      </c>
      <c r="BO179" s="163"/>
      <c r="BP179" s="164" t="str">
        <f t="shared" si="132"/>
        <v>--</v>
      </c>
      <c r="BQ179" s="160">
        <f>IF(Table645[[#This Row],[Column68]]="--",0,Table645[[#This Row],[Column4]]*Table645[[#This Row],[Column68]])</f>
        <v>0</v>
      </c>
      <c r="BR179" s="94"/>
      <c r="BS179" s="91" t="str">
        <f t="shared" si="133"/>
        <v>--</v>
      </c>
      <c r="BT179" s="92">
        <f>IF(Table645[[#This Row],[Column71]]="--",0,Table645[[#This Row],[Column4]]*Table645[[#This Row],[Column71]])</f>
        <v>0</v>
      </c>
      <c r="BU179" s="44"/>
      <c r="BV179" s="90"/>
      <c r="BW179" s="91" t="str">
        <f>IF(BV179=0,"--",(Table645[[#This Row],[Column73]]*$BV$4*(IF(J179&lt;0.5001,1,IF(J179&lt;2.0001,2,3)))+BV179/$BV$3)/60/24)</f>
        <v>--</v>
      </c>
      <c r="BX179" s="92">
        <f>IF(Table645[[#This Row],[Column75]]="--",0,Table645[[#This Row],[Column4]]*Table645[[#This Row],[Column75]])</f>
        <v>0</v>
      </c>
      <c r="BY179" s="95" t="s">
        <v>70</v>
      </c>
      <c r="BZ179" s="91" t="str">
        <f>IF(Table645[[#This Row],[Column74]]=0,"--",BW179*$BY$3)</f>
        <v>--</v>
      </c>
      <c r="CA179" s="89">
        <f>IF(Table645[[#This Row],[Column78]]="--",0,Table645[[#This Row],[Column4]]*Table645[[#This Row],[Column78]])</f>
        <v>0</v>
      </c>
      <c r="CB179" s="95" t="s">
        <v>70</v>
      </c>
      <c r="CC179" s="91" t="str">
        <f>IF(Table645[[#This Row],[Column10]]+Table645[[#This Row],[Column74]]=0,"--",J179*$CB$4*$CB$5/(24*60)+IF(Table645[[#This Row],[Column74]]=0,0,$CB$3*Table645[[#This Row],[Column75]]))</f>
        <v>--</v>
      </c>
      <c r="CD179" s="92">
        <f>IF(Table645[[#This Row],[Column81]]="--",0,Table645[[#This Row],[Column4]]*Table645[[#This Row],[Column81]])</f>
        <v>0</v>
      </c>
      <c r="CE179" s="215"/>
      <c r="CF179" s="91" t="str">
        <f t="shared" si="127"/>
        <v>--</v>
      </c>
      <c r="CG179" s="92">
        <f>IF(Table645[[#This Row],[Column84]]="--",0,Table645[[#This Row],[Column4]]*Table645[[#This Row],[Column84]])</f>
        <v>0</v>
      </c>
      <c r="CH179" s="226"/>
      <c r="CI179" s="216"/>
      <c r="CJ179" s="91" t="str">
        <f>IF(CI179=0,"--",(Table645[[#This Row],[Column86]]*$CI$4*(IF(W179&lt;0.5001,1,IF(W179&lt;2.0001,2,3)))+CI179/$CI$3)/60/24)</f>
        <v>--</v>
      </c>
      <c r="CK179" s="92">
        <f>IF(Table645[[#This Row],[Column88]]="--",0,Table645[[#This Row],[Column4]]*Table645[[#This Row],[Column88]])</f>
        <v>0</v>
      </c>
      <c r="CL179" s="217"/>
      <c r="CM179" s="91" t="str">
        <f>IF(Table645[[#This Row],[Column87]]=0,"--",CJ179*$CL$3)</f>
        <v>--</v>
      </c>
      <c r="CN179" s="92">
        <f>IF(Table645[[#This Row],[Column91]]="--",0,Table645[[#This Row],[Column4]]*Table645[[#This Row],[Column91]])</f>
        <v>0</v>
      </c>
      <c r="CO179" s="217"/>
      <c r="CP179" s="91" t="str">
        <f>IF(Table645[[#This Row],[Column10]]+Table645[[#This Row],[Column87]]=0, "--", IF($D179="", 1, $D179) * IF($J179="", 1, $J179) * $CO$3 * $CO$4 * IF(Table645[[#This Row],[Column95]]="", 1, Table645[[#This Row],[Column95]]) / (24 * 60))</f>
        <v>--</v>
      </c>
      <c r="CQ179" s="164"/>
      <c r="CR179" s="92">
        <f>IF(Table645[[#This Row],[Column94]]="--",0,Table645[[#This Row],[Column4]]*Table645[[#This Row],[Column94]])</f>
        <v>0</v>
      </c>
      <c r="CS179" s="218" t="str">
        <f>IF(Table645[[#This Row],[Column87]]="","",Table645[[#This Row],[Column87]])</f>
        <v/>
      </c>
      <c r="CT179" s="91" t="str">
        <f>IF(Table645[[#This Row],[Column97]]="","--",Table645[[#This Row],[Column97]]/$CS$3/60/24)</f>
        <v>--</v>
      </c>
      <c r="CU179" s="92">
        <f>IF(Table645[[#This Row],[Column98]]="--",0,Table645[[#This Row],[Column4]]*Table645[[#This Row],[Column98]])</f>
        <v>0</v>
      </c>
      <c r="CV179" s="93"/>
      <c r="CW179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79" s="91" t="str">
        <f>IF(OR(Table645[[#This Row],[Column74]]&gt;0,Table645[[#This Row],[Column87]]&gt;0),(Table645[[#This Row],[Column73]]+Table645[[#This Row],[Column86]]+1)*$CW$3/60/24,"--")</f>
        <v>--</v>
      </c>
      <c r="CY179" s="92">
        <f>IF(Table645[[#This Row],[Column102]]="--",0,Table645[[#This Row],[Column4]]*Table645[[#This Row],[Column102]])</f>
        <v>0</v>
      </c>
      <c r="CZ179" s="158" t="str">
        <f t="shared" si="134"/>
        <v>--</v>
      </c>
      <c r="DA179" s="153"/>
      <c r="DB179" s="160">
        <f>IF(Table645[[#This Row],[Column104]]="--",0,Table645[[#This Row],[Column4]]*Table645[[#This Row],[Column104]])</f>
        <v>0</v>
      </c>
      <c r="DC179" s="219"/>
      <c r="DD179" s="220" t="str">
        <f>IF(DC179=0,"--",1/$DC$3*1000/(60*60*24)*Table645[[#This Row],[Column107]])</f>
        <v>--</v>
      </c>
      <c r="DE179" s="160">
        <f>IF(Table645[[#This Row],[Column108]]="--",0,Table645[[#This Row],[Column4]]*Table645[[#This Row],[Column108]])</f>
        <v>0</v>
      </c>
      <c r="DF179" s="101" t="s">
        <v>70</v>
      </c>
      <c r="DG179" s="91" t="str">
        <f t="shared" si="135"/>
        <v>--</v>
      </c>
      <c r="DH179" s="89">
        <f>IF(Table645[[#This Row],[Column111]]="--",0,Table645[[#This Row],[Column4]]*Table645[[#This Row],[Column111]])</f>
        <v>0</v>
      </c>
      <c r="DI179" s="96"/>
      <c r="DJ179" s="96"/>
      <c r="DK179" s="96"/>
      <c r="DL179" s="96"/>
      <c r="DM179" s="96"/>
      <c r="DN179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79" s="89">
        <f>IF(Table645[[#This Row],[Column118]]="--",0,Table645[[#This Row],[Column4]]*Table645[[#This Row],[Column118]])</f>
        <v>0</v>
      </c>
      <c r="DP179" s="96"/>
      <c r="DQ179" s="96"/>
      <c r="DR179" s="91" t="str">
        <f t="shared" si="136"/>
        <v>--</v>
      </c>
      <c r="DS179" s="89">
        <f>IF(Table645[[#This Row],[Column122]]="--",0,Table645[[#This Row],[Column4]]*Table645[[#This Row],[Column122]])</f>
        <v>0</v>
      </c>
      <c r="DT179" t="str">
        <f>IF(Table645[[#This Row],[Column125]]=0,"--",Table645[[#This Row],[Column125]]*Table645[[#This Row],[Column126]]*Table645[[#This Row],[Column127]]/1000000000)</f>
        <v>--</v>
      </c>
      <c r="DU179" s="53"/>
      <c r="DV179" s="53"/>
      <c r="DW179" s="53"/>
      <c r="DX179" s="91" t="str">
        <f t="shared" si="137"/>
        <v>--</v>
      </c>
      <c r="DY179" s="89">
        <f>IF(Table645[[#This Row],[Column128]]="--",0,Table645[[#This Row],[Column4]]*Table645[[#This Row],[Column128]])</f>
        <v>0</v>
      </c>
      <c r="EA179" s="89">
        <f>IF(Table645[[#This Row],[Column128]]="--",0,Table645[[#This Row],[Column4]]*Table645[[#This Row],[Column128]])</f>
        <v>0</v>
      </c>
      <c r="EC179" s="89">
        <f>IF(Table645[[#This Row],[Column128]]="--",0,Table645[[#This Row],[Column4]]*Table645[[#This Row],[Column128]])</f>
        <v>0</v>
      </c>
      <c r="EE179" s="89">
        <f>IF(Table645[[#This Row],[Column128]]="--",0,Table645[[#This Row],[Column4]]*Table645[[#This Row],[Column128]])</f>
        <v>0</v>
      </c>
      <c r="EG179" s="89">
        <f>IF(Table645[[#This Row],[Column128]]="--",0,Table645[[#This Row],[Column4]]*Table645[[#This Row],[Column128]])</f>
        <v>0</v>
      </c>
      <c r="EI179" s="89">
        <f>IF(Table645[[#This Row],[Column128]]="--",0,Table645[[#This Row],[Column4]]*Table645[[#This Row],[Column128]])</f>
        <v>0</v>
      </c>
    </row>
    <row r="180" spans="1:139" x14ac:dyDescent="0.25">
      <c r="A180" s="140"/>
      <c r="B180" s="79"/>
      <c r="C180" s="140"/>
      <c r="D180" s="167"/>
      <c r="E180" s="52"/>
      <c r="F180" s="81"/>
      <c r="G180" s="81"/>
      <c r="H180" s="102" t="str">
        <f t="shared" si="128"/>
        <v>--</v>
      </c>
      <c r="I180" s="100">
        <f>IF(Table645[[#This Row],[Column8]]="--",0,Table645[[#This Row],[Column4]]*Table645[[#This Row],[Column8]])</f>
        <v>0</v>
      </c>
      <c r="J180" s="169"/>
      <c r="K180" s="85">
        <f>Table645[[#This Row],[Column4]]*Table645[[#This Row],[Column10]]</f>
        <v>0</v>
      </c>
      <c r="L180" s="170" t="str">
        <f t="shared" si="129"/>
        <v>--</v>
      </c>
      <c r="M180" s="214">
        <f>IF(Table645[[#This Row],[Column10]]=0,0,Table645[[#This Row],[Column4]]*Table645[[#This Row],[Column12]])</f>
        <v>0</v>
      </c>
      <c r="N180" s="87" t="str">
        <f t="shared" si="130"/>
        <v>--</v>
      </c>
      <c r="O180" s="138"/>
      <c r="AZ180" s="89">
        <f>IF(Table645[[#This Row],[Column14]]="--",0,Table645[[#This Row],[Column4]]*Table645[[#This Row],[Column14]])</f>
        <v>0</v>
      </c>
      <c r="BA180" s="90"/>
      <c r="BB180" s="91" t="str">
        <f>IF(BA180=0,"--",BA180*$BA$3*IF(Table645[[#This Row],[Column5]]&lt;4.1,1,2)/60/24)</f>
        <v>--</v>
      </c>
      <c r="BC180" s="92">
        <f>IF(Table645[[#This Row],[Column54]]="--",0,Table645[[#This Row],[Column4]]*Table645[[#This Row],[Column54]])</f>
        <v>0</v>
      </c>
      <c r="BD180" s="119"/>
      <c r="BE180" s="119"/>
      <c r="BF180" s="119"/>
      <c r="BG180" s="91" t="str">
        <f>IF(BD180+Table645[[#This Row],[Column58]]=0,"--",(BD180*$BF$3*Table645[[#This Row],[Column57]]+Table645[[#This Row],[Column58]]*$BF$4)/60/24)</f>
        <v>--</v>
      </c>
      <c r="BH180" s="92">
        <f>IF(Table645[[#This Row],[Column59]]="--",0,Table645[[#This Row],[Column4]]*Table645[[#This Row],[Column59]])</f>
        <v>0</v>
      </c>
      <c r="BI180" s="119"/>
      <c r="BJ180" s="91" t="str">
        <f t="shared" si="126"/>
        <v>--</v>
      </c>
      <c r="BK180" s="92">
        <f>IF(Table645[[#This Row],[Column62]]="--",0,Table645[[#This Row],[Column4]]*Table645[[#This Row],[Column62]])</f>
        <v>0</v>
      </c>
      <c r="BL180" s="93"/>
      <c r="BM180" s="91" t="str">
        <f t="shared" si="131"/>
        <v>--</v>
      </c>
      <c r="BN180" s="89">
        <f>IF(Table645[[#This Row],[Column65]]="--",0,Table645[[#This Row],[Column4]]*Table645[[#This Row],[Column65]])</f>
        <v>0</v>
      </c>
      <c r="BO180" s="163"/>
      <c r="BP180" s="164" t="str">
        <f t="shared" si="132"/>
        <v>--</v>
      </c>
      <c r="BQ180" s="160">
        <f>IF(Table645[[#This Row],[Column68]]="--",0,Table645[[#This Row],[Column4]]*Table645[[#This Row],[Column68]])</f>
        <v>0</v>
      </c>
      <c r="BR180" s="94"/>
      <c r="BS180" s="91" t="str">
        <f t="shared" si="133"/>
        <v>--</v>
      </c>
      <c r="BT180" s="92">
        <f>IF(Table645[[#This Row],[Column71]]="--",0,Table645[[#This Row],[Column4]]*Table645[[#This Row],[Column71]])</f>
        <v>0</v>
      </c>
      <c r="BU180" s="44"/>
      <c r="BV180" s="90"/>
      <c r="BW180" s="91" t="str">
        <f>IF(BV180=0,"--",(Table645[[#This Row],[Column73]]*$BV$4*(IF(J180&lt;0.5001,1,IF(J180&lt;2.0001,2,3)))+BV180/$BV$3)/60/24)</f>
        <v>--</v>
      </c>
      <c r="BX180" s="92">
        <f>IF(Table645[[#This Row],[Column75]]="--",0,Table645[[#This Row],[Column4]]*Table645[[#This Row],[Column75]])</f>
        <v>0</v>
      </c>
      <c r="BY180" s="95" t="s">
        <v>70</v>
      </c>
      <c r="BZ180" s="91" t="str">
        <f>IF(Table645[[#This Row],[Column74]]=0,"--",BW180*$BY$3)</f>
        <v>--</v>
      </c>
      <c r="CA180" s="89">
        <f>IF(Table645[[#This Row],[Column78]]="--",0,Table645[[#This Row],[Column4]]*Table645[[#This Row],[Column78]])</f>
        <v>0</v>
      </c>
      <c r="CB180" s="95" t="s">
        <v>70</v>
      </c>
      <c r="CC180" s="91" t="str">
        <f>IF(Table645[[#This Row],[Column10]]+Table645[[#This Row],[Column74]]=0,"--",J180*$CB$4*$CB$5/(24*60)+IF(Table645[[#This Row],[Column74]]=0,0,$CB$3*Table645[[#This Row],[Column75]]))</f>
        <v>--</v>
      </c>
      <c r="CD180" s="92">
        <f>IF(Table645[[#This Row],[Column81]]="--",0,Table645[[#This Row],[Column4]]*Table645[[#This Row],[Column81]])</f>
        <v>0</v>
      </c>
      <c r="CE180" s="215"/>
      <c r="CF180" s="91" t="str">
        <f t="shared" si="127"/>
        <v>--</v>
      </c>
      <c r="CG180" s="92">
        <f>IF(Table645[[#This Row],[Column84]]="--",0,Table645[[#This Row],[Column4]]*Table645[[#This Row],[Column84]])</f>
        <v>0</v>
      </c>
      <c r="CH180" s="226"/>
      <c r="CI180" s="216"/>
      <c r="CJ180" s="91" t="str">
        <f>IF(CI180=0,"--",(Table645[[#This Row],[Column86]]*$CI$4*(IF(W180&lt;0.5001,1,IF(W180&lt;2.0001,2,3)))+CI180/$CI$3)/60/24)</f>
        <v>--</v>
      </c>
      <c r="CK180" s="92">
        <f>IF(Table645[[#This Row],[Column88]]="--",0,Table645[[#This Row],[Column4]]*Table645[[#This Row],[Column88]])</f>
        <v>0</v>
      </c>
      <c r="CL180" s="217"/>
      <c r="CM180" s="91" t="str">
        <f>IF(Table645[[#This Row],[Column87]]=0,"--",CJ180*$CL$3)</f>
        <v>--</v>
      </c>
      <c r="CN180" s="92">
        <f>IF(Table645[[#This Row],[Column91]]="--",0,Table645[[#This Row],[Column4]]*Table645[[#This Row],[Column91]])</f>
        <v>0</v>
      </c>
      <c r="CO180" s="217"/>
      <c r="CP180" s="91" t="str">
        <f>IF(Table645[[#This Row],[Column10]]+Table645[[#This Row],[Column87]]=0, "--", IF($D180="", 1, $D180) * IF($J180="", 1, $J180) * $CO$3 * $CO$4 * IF(Table645[[#This Row],[Column95]]="", 1, Table645[[#This Row],[Column95]]) / (24 * 60))</f>
        <v>--</v>
      </c>
      <c r="CQ180" s="164"/>
      <c r="CR180" s="92">
        <f>IF(Table645[[#This Row],[Column94]]="--",0,Table645[[#This Row],[Column4]]*Table645[[#This Row],[Column94]])</f>
        <v>0</v>
      </c>
      <c r="CS180" s="218" t="str">
        <f>IF(Table645[[#This Row],[Column87]]="","",Table645[[#This Row],[Column87]])</f>
        <v/>
      </c>
      <c r="CT180" s="91" t="str">
        <f>IF(Table645[[#This Row],[Column97]]="","--",Table645[[#This Row],[Column97]]/$CS$3/60/24)</f>
        <v>--</v>
      </c>
      <c r="CU180" s="92">
        <f>IF(Table645[[#This Row],[Column98]]="--",0,Table645[[#This Row],[Column4]]*Table645[[#This Row],[Column98]])</f>
        <v>0</v>
      </c>
      <c r="CV180" s="93"/>
      <c r="CW180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80" s="91" t="str">
        <f>IF(OR(Table645[[#This Row],[Column74]]&gt;0,Table645[[#This Row],[Column87]]&gt;0),(Table645[[#This Row],[Column73]]+Table645[[#This Row],[Column86]]+1)*$CW$3/60/24,"--")</f>
        <v>--</v>
      </c>
      <c r="CY180" s="92">
        <f>IF(Table645[[#This Row],[Column102]]="--",0,Table645[[#This Row],[Column4]]*Table645[[#This Row],[Column102]])</f>
        <v>0</v>
      </c>
      <c r="CZ180" s="158" t="str">
        <f t="shared" si="134"/>
        <v>--</v>
      </c>
      <c r="DA180" s="153"/>
      <c r="DB180" s="160">
        <f>IF(Table645[[#This Row],[Column104]]="--",0,Table645[[#This Row],[Column4]]*Table645[[#This Row],[Column104]])</f>
        <v>0</v>
      </c>
      <c r="DC180" s="219"/>
      <c r="DD180" s="220" t="str">
        <f>IF(DC180=0,"--",1/$DC$3*1000/(60*60*24)*Table645[[#This Row],[Column107]])</f>
        <v>--</v>
      </c>
      <c r="DE180" s="160">
        <f>IF(Table645[[#This Row],[Column108]]="--",0,Table645[[#This Row],[Column4]]*Table645[[#This Row],[Column108]])</f>
        <v>0</v>
      </c>
      <c r="DF180" s="101" t="s">
        <v>70</v>
      </c>
      <c r="DG180" s="91" t="str">
        <f t="shared" si="135"/>
        <v>--</v>
      </c>
      <c r="DH180" s="89">
        <f>IF(Table645[[#This Row],[Column111]]="--",0,Table645[[#This Row],[Column4]]*Table645[[#This Row],[Column111]])</f>
        <v>0</v>
      </c>
      <c r="DI180" s="96"/>
      <c r="DJ180" s="96"/>
      <c r="DK180" s="96"/>
      <c r="DL180" s="96"/>
      <c r="DM180" s="96"/>
      <c r="DN180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80" s="89">
        <f>IF(Table645[[#This Row],[Column118]]="--",0,Table645[[#This Row],[Column4]]*Table645[[#This Row],[Column118]])</f>
        <v>0</v>
      </c>
      <c r="DP180" s="96"/>
      <c r="DQ180" s="96"/>
      <c r="DR180" s="91" t="str">
        <f t="shared" si="136"/>
        <v>--</v>
      </c>
      <c r="DS180" s="89">
        <f>IF(Table645[[#This Row],[Column122]]="--",0,Table645[[#This Row],[Column4]]*Table645[[#This Row],[Column122]])</f>
        <v>0</v>
      </c>
      <c r="DT180" t="str">
        <f>IF(Table645[[#This Row],[Column125]]=0,"--",Table645[[#This Row],[Column125]]*Table645[[#This Row],[Column126]]*Table645[[#This Row],[Column127]]/1000000000)</f>
        <v>--</v>
      </c>
      <c r="DU180" s="53"/>
      <c r="DV180" s="53"/>
      <c r="DW180" s="53"/>
      <c r="DX180" s="91" t="str">
        <f t="shared" si="137"/>
        <v>--</v>
      </c>
      <c r="DY180" s="89">
        <f>IF(Table645[[#This Row],[Column128]]="--",0,Table645[[#This Row],[Column4]]*Table645[[#This Row],[Column128]])</f>
        <v>0</v>
      </c>
      <c r="EA180" s="89">
        <f>IF(Table645[[#This Row],[Column128]]="--",0,Table645[[#This Row],[Column4]]*Table645[[#This Row],[Column128]])</f>
        <v>0</v>
      </c>
      <c r="EC180" s="89">
        <f>IF(Table645[[#This Row],[Column128]]="--",0,Table645[[#This Row],[Column4]]*Table645[[#This Row],[Column128]])</f>
        <v>0</v>
      </c>
      <c r="EE180" s="89">
        <f>IF(Table645[[#This Row],[Column128]]="--",0,Table645[[#This Row],[Column4]]*Table645[[#This Row],[Column128]])</f>
        <v>0</v>
      </c>
      <c r="EG180" s="89">
        <f>IF(Table645[[#This Row],[Column128]]="--",0,Table645[[#This Row],[Column4]]*Table645[[#This Row],[Column128]])</f>
        <v>0</v>
      </c>
      <c r="EI180" s="89">
        <f>IF(Table645[[#This Row],[Column128]]="--",0,Table645[[#This Row],[Column4]]*Table645[[#This Row],[Column128]])</f>
        <v>0</v>
      </c>
    </row>
    <row r="181" spans="1:139" x14ac:dyDescent="0.25">
      <c r="A181" s="140"/>
      <c r="B181" s="79"/>
      <c r="C181" s="140"/>
      <c r="D181" s="167"/>
      <c r="E181" s="52"/>
      <c r="F181" s="81"/>
      <c r="G181" s="81"/>
      <c r="H181" s="102" t="str">
        <f t="shared" si="128"/>
        <v>--</v>
      </c>
      <c r="I181" s="100">
        <f>IF(Table645[[#This Row],[Column8]]="--",0,Table645[[#This Row],[Column4]]*Table645[[#This Row],[Column8]])</f>
        <v>0</v>
      </c>
      <c r="J181" s="169"/>
      <c r="K181" s="85">
        <f>Table645[[#This Row],[Column4]]*Table645[[#This Row],[Column10]]</f>
        <v>0</v>
      </c>
      <c r="L181" s="170" t="str">
        <f t="shared" si="129"/>
        <v>--</v>
      </c>
      <c r="M181" s="214">
        <f>IF(Table645[[#This Row],[Column10]]=0,0,Table645[[#This Row],[Column4]]*Table645[[#This Row],[Column12]])</f>
        <v>0</v>
      </c>
      <c r="N181" s="87" t="str">
        <f t="shared" si="130"/>
        <v>--</v>
      </c>
      <c r="O181" s="138"/>
      <c r="AZ181" s="89">
        <f>IF(Table645[[#This Row],[Column14]]="--",0,Table645[[#This Row],[Column4]]*Table645[[#This Row],[Column14]])</f>
        <v>0</v>
      </c>
      <c r="BA181" s="90"/>
      <c r="BB181" s="91" t="str">
        <f>IF(BA181=0,"--",BA181*$BA$3*IF(Table645[[#This Row],[Column5]]&lt;4.1,1,2)/60/24)</f>
        <v>--</v>
      </c>
      <c r="BC181" s="92">
        <f>IF(Table645[[#This Row],[Column54]]="--",0,Table645[[#This Row],[Column4]]*Table645[[#This Row],[Column54]])</f>
        <v>0</v>
      </c>
      <c r="BD181" s="119"/>
      <c r="BE181" s="119"/>
      <c r="BF181" s="119"/>
      <c r="BG181" s="91" t="str">
        <f>IF(BD181+Table645[[#This Row],[Column58]]=0,"--",(BD181*$BF$3*Table645[[#This Row],[Column57]]+Table645[[#This Row],[Column58]]*$BF$4)/60/24)</f>
        <v>--</v>
      </c>
      <c r="BH181" s="92">
        <f>IF(Table645[[#This Row],[Column59]]="--",0,Table645[[#This Row],[Column4]]*Table645[[#This Row],[Column59]])</f>
        <v>0</v>
      </c>
      <c r="BI181" s="119"/>
      <c r="BJ181" s="91" t="str">
        <f t="shared" si="126"/>
        <v>--</v>
      </c>
      <c r="BK181" s="92">
        <f>IF(Table645[[#This Row],[Column62]]="--",0,Table645[[#This Row],[Column4]]*Table645[[#This Row],[Column62]])</f>
        <v>0</v>
      </c>
      <c r="BL181" s="93"/>
      <c r="BM181" s="91" t="str">
        <f t="shared" si="131"/>
        <v>--</v>
      </c>
      <c r="BN181" s="89">
        <f>IF(Table645[[#This Row],[Column65]]="--",0,Table645[[#This Row],[Column4]]*Table645[[#This Row],[Column65]])</f>
        <v>0</v>
      </c>
      <c r="BO181" s="163"/>
      <c r="BP181" s="164" t="str">
        <f t="shared" si="132"/>
        <v>--</v>
      </c>
      <c r="BQ181" s="160">
        <f>IF(Table645[[#This Row],[Column68]]="--",0,Table645[[#This Row],[Column4]]*Table645[[#This Row],[Column68]])</f>
        <v>0</v>
      </c>
      <c r="BR181" s="94"/>
      <c r="BS181" s="91" t="str">
        <f t="shared" si="133"/>
        <v>--</v>
      </c>
      <c r="BT181" s="92">
        <f>IF(Table645[[#This Row],[Column71]]="--",0,Table645[[#This Row],[Column4]]*Table645[[#This Row],[Column71]])</f>
        <v>0</v>
      </c>
      <c r="BU181" s="44"/>
      <c r="BV181" s="90"/>
      <c r="BW181" s="91" t="str">
        <f>IF(BV181=0,"--",(Table645[[#This Row],[Column73]]*$BV$4*(IF(J181&lt;0.5001,1,IF(J181&lt;2.0001,2,3)))+BV181/$BV$3)/60/24)</f>
        <v>--</v>
      </c>
      <c r="BX181" s="92">
        <f>IF(Table645[[#This Row],[Column75]]="--",0,Table645[[#This Row],[Column4]]*Table645[[#This Row],[Column75]])</f>
        <v>0</v>
      </c>
      <c r="BY181" s="95" t="s">
        <v>70</v>
      </c>
      <c r="BZ181" s="91" t="str">
        <f>IF(Table645[[#This Row],[Column74]]=0,"--",BW181*$BY$3)</f>
        <v>--</v>
      </c>
      <c r="CA181" s="89">
        <f>IF(Table645[[#This Row],[Column78]]="--",0,Table645[[#This Row],[Column4]]*Table645[[#This Row],[Column78]])</f>
        <v>0</v>
      </c>
      <c r="CB181" s="95" t="s">
        <v>70</v>
      </c>
      <c r="CC181" s="91" t="str">
        <f>IF(Table645[[#This Row],[Column10]]+Table645[[#This Row],[Column74]]=0,"--",J181*$CB$4*$CB$5/(24*60)+IF(Table645[[#This Row],[Column74]]=0,0,$CB$3*Table645[[#This Row],[Column75]]))</f>
        <v>--</v>
      </c>
      <c r="CD181" s="92">
        <f>IF(Table645[[#This Row],[Column81]]="--",0,Table645[[#This Row],[Column4]]*Table645[[#This Row],[Column81]])</f>
        <v>0</v>
      </c>
      <c r="CE181" s="215"/>
      <c r="CF181" s="91" t="str">
        <f t="shared" si="127"/>
        <v>--</v>
      </c>
      <c r="CG181" s="92">
        <f>IF(Table645[[#This Row],[Column84]]="--",0,Table645[[#This Row],[Column4]]*Table645[[#This Row],[Column84]])</f>
        <v>0</v>
      </c>
      <c r="CH181" s="226"/>
      <c r="CI181" s="216"/>
      <c r="CJ181" s="91" t="str">
        <f>IF(CI181=0,"--",(Table645[[#This Row],[Column86]]*$CI$4*(IF(W181&lt;0.5001,1,IF(W181&lt;2.0001,2,3)))+CI181/$CI$3)/60/24)</f>
        <v>--</v>
      </c>
      <c r="CK181" s="92">
        <f>IF(Table645[[#This Row],[Column88]]="--",0,Table645[[#This Row],[Column4]]*Table645[[#This Row],[Column88]])</f>
        <v>0</v>
      </c>
      <c r="CL181" s="217"/>
      <c r="CM181" s="91" t="str">
        <f>IF(Table645[[#This Row],[Column87]]=0,"--",CJ181*$CL$3)</f>
        <v>--</v>
      </c>
      <c r="CN181" s="92">
        <f>IF(Table645[[#This Row],[Column91]]="--",0,Table645[[#This Row],[Column4]]*Table645[[#This Row],[Column91]])</f>
        <v>0</v>
      </c>
      <c r="CO181" s="217"/>
      <c r="CP181" s="91" t="str">
        <f>IF(Table645[[#This Row],[Column10]]+Table645[[#This Row],[Column87]]=0, "--", IF($D181="", 1, $D181) * IF($J181="", 1, $J181) * $CO$3 * $CO$4 * IF(Table645[[#This Row],[Column95]]="", 1, Table645[[#This Row],[Column95]]) / (24 * 60))</f>
        <v>--</v>
      </c>
      <c r="CQ181" s="164"/>
      <c r="CR181" s="92">
        <f>IF(Table645[[#This Row],[Column94]]="--",0,Table645[[#This Row],[Column4]]*Table645[[#This Row],[Column94]])</f>
        <v>0</v>
      </c>
      <c r="CS181" s="218" t="str">
        <f>IF(Table645[[#This Row],[Column87]]="","",Table645[[#This Row],[Column87]])</f>
        <v/>
      </c>
      <c r="CT181" s="91" t="str">
        <f>IF(Table645[[#This Row],[Column97]]="","--",Table645[[#This Row],[Column97]]/$CS$3/60/24)</f>
        <v>--</v>
      </c>
      <c r="CU181" s="92">
        <f>IF(Table645[[#This Row],[Column98]]="--",0,Table645[[#This Row],[Column4]]*Table645[[#This Row],[Column98]])</f>
        <v>0</v>
      </c>
      <c r="CV181" s="93"/>
      <c r="CW181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81" s="91" t="str">
        <f>IF(OR(Table645[[#This Row],[Column74]]&gt;0,Table645[[#This Row],[Column87]]&gt;0),(Table645[[#This Row],[Column73]]+Table645[[#This Row],[Column86]]+1)*$CW$3/60/24,"--")</f>
        <v>--</v>
      </c>
      <c r="CY181" s="92">
        <f>IF(Table645[[#This Row],[Column102]]="--",0,Table645[[#This Row],[Column4]]*Table645[[#This Row],[Column102]])</f>
        <v>0</v>
      </c>
      <c r="CZ181" s="158" t="str">
        <f t="shared" si="134"/>
        <v>--</v>
      </c>
      <c r="DA181" s="153"/>
      <c r="DB181" s="160">
        <f>IF(Table645[[#This Row],[Column104]]="--",0,Table645[[#This Row],[Column4]]*Table645[[#This Row],[Column104]])</f>
        <v>0</v>
      </c>
      <c r="DC181" s="219"/>
      <c r="DD181" s="220" t="str">
        <f>IF(DC181=0,"--",1/$DC$3*1000/(60*60*24)*Table645[[#This Row],[Column107]])</f>
        <v>--</v>
      </c>
      <c r="DE181" s="160">
        <f>IF(Table645[[#This Row],[Column108]]="--",0,Table645[[#This Row],[Column4]]*Table645[[#This Row],[Column108]])</f>
        <v>0</v>
      </c>
      <c r="DF181" s="101" t="s">
        <v>70</v>
      </c>
      <c r="DG181" s="91" t="str">
        <f t="shared" si="135"/>
        <v>--</v>
      </c>
      <c r="DH181" s="89">
        <f>IF(Table645[[#This Row],[Column111]]="--",0,Table645[[#This Row],[Column4]]*Table645[[#This Row],[Column111]])</f>
        <v>0</v>
      </c>
      <c r="DI181" s="96"/>
      <c r="DJ181" s="96"/>
      <c r="DK181" s="96"/>
      <c r="DL181" s="96"/>
      <c r="DM181" s="96"/>
      <c r="DN181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81" s="89">
        <f>IF(Table645[[#This Row],[Column118]]="--",0,Table645[[#This Row],[Column4]]*Table645[[#This Row],[Column118]])</f>
        <v>0</v>
      </c>
      <c r="DP181" s="96"/>
      <c r="DQ181" s="96"/>
      <c r="DR181" s="91" t="str">
        <f t="shared" si="136"/>
        <v>--</v>
      </c>
      <c r="DS181" s="89">
        <f>IF(Table645[[#This Row],[Column122]]="--",0,Table645[[#This Row],[Column4]]*Table645[[#This Row],[Column122]])</f>
        <v>0</v>
      </c>
      <c r="DT181" t="str">
        <f>IF(Table645[[#This Row],[Column125]]=0,"--",Table645[[#This Row],[Column125]]*Table645[[#This Row],[Column126]]*Table645[[#This Row],[Column127]]/1000000000)</f>
        <v>--</v>
      </c>
      <c r="DU181" s="53"/>
      <c r="DV181" s="53"/>
      <c r="DW181" s="53"/>
      <c r="DX181" s="91" t="str">
        <f t="shared" si="137"/>
        <v>--</v>
      </c>
      <c r="DY181" s="89">
        <f>IF(Table645[[#This Row],[Column128]]="--",0,Table645[[#This Row],[Column4]]*Table645[[#This Row],[Column128]])</f>
        <v>0</v>
      </c>
      <c r="EA181" s="89">
        <f>IF(Table645[[#This Row],[Column128]]="--",0,Table645[[#This Row],[Column4]]*Table645[[#This Row],[Column128]])</f>
        <v>0</v>
      </c>
      <c r="EC181" s="89">
        <f>IF(Table645[[#This Row],[Column128]]="--",0,Table645[[#This Row],[Column4]]*Table645[[#This Row],[Column128]])</f>
        <v>0</v>
      </c>
      <c r="EE181" s="89">
        <f>IF(Table645[[#This Row],[Column128]]="--",0,Table645[[#This Row],[Column4]]*Table645[[#This Row],[Column128]])</f>
        <v>0</v>
      </c>
      <c r="EG181" s="89">
        <f>IF(Table645[[#This Row],[Column128]]="--",0,Table645[[#This Row],[Column4]]*Table645[[#This Row],[Column128]])</f>
        <v>0</v>
      </c>
      <c r="EI181" s="89">
        <f>IF(Table645[[#This Row],[Column128]]="--",0,Table645[[#This Row],[Column4]]*Table645[[#This Row],[Column128]])</f>
        <v>0</v>
      </c>
    </row>
    <row r="182" spans="1:139" x14ac:dyDescent="0.25">
      <c r="A182" s="140"/>
      <c r="B182" s="79"/>
      <c r="C182" s="140"/>
      <c r="D182" s="167"/>
      <c r="E182" s="52"/>
      <c r="F182" s="81"/>
      <c r="G182" s="81"/>
      <c r="H182" s="102" t="str">
        <f t="shared" si="128"/>
        <v>--</v>
      </c>
      <c r="I182" s="100">
        <f>IF(Table645[[#This Row],[Column8]]="--",0,Table645[[#This Row],[Column4]]*Table645[[#This Row],[Column8]])</f>
        <v>0</v>
      </c>
      <c r="J182" s="169"/>
      <c r="K182" s="85">
        <f>Table645[[#This Row],[Column4]]*Table645[[#This Row],[Column10]]</f>
        <v>0</v>
      </c>
      <c r="L182" s="170" t="str">
        <f t="shared" si="129"/>
        <v>--</v>
      </c>
      <c r="M182" s="214">
        <f>IF(Table645[[#This Row],[Column10]]=0,0,Table645[[#This Row],[Column4]]*Table645[[#This Row],[Column12]])</f>
        <v>0</v>
      </c>
      <c r="N182" s="87" t="str">
        <f t="shared" si="130"/>
        <v>--</v>
      </c>
      <c r="O182" s="138"/>
      <c r="AZ182" s="89">
        <f>IF(Table645[[#This Row],[Column14]]="--",0,Table645[[#This Row],[Column4]]*Table645[[#This Row],[Column14]])</f>
        <v>0</v>
      </c>
      <c r="BA182" s="90"/>
      <c r="BB182" s="91" t="str">
        <f>IF(BA182=0,"--",BA182*$BA$3*IF(Table645[[#This Row],[Column5]]&lt;4.1,1,2)/60/24)</f>
        <v>--</v>
      </c>
      <c r="BC182" s="92">
        <f>IF(Table645[[#This Row],[Column54]]="--",0,Table645[[#This Row],[Column4]]*Table645[[#This Row],[Column54]])</f>
        <v>0</v>
      </c>
      <c r="BD182" s="119"/>
      <c r="BE182" s="119"/>
      <c r="BF182" s="119"/>
      <c r="BG182" s="91" t="str">
        <f>IF(BD182+Table645[[#This Row],[Column58]]=0,"--",(BD182*$BF$3*Table645[[#This Row],[Column57]]+Table645[[#This Row],[Column58]]*$BF$4)/60/24)</f>
        <v>--</v>
      </c>
      <c r="BH182" s="92">
        <f>IF(Table645[[#This Row],[Column59]]="--",0,Table645[[#This Row],[Column4]]*Table645[[#This Row],[Column59]])</f>
        <v>0</v>
      </c>
      <c r="BI182" s="119"/>
      <c r="BJ182" s="91" t="str">
        <f t="shared" si="126"/>
        <v>--</v>
      </c>
      <c r="BK182" s="92">
        <f>IF(Table645[[#This Row],[Column62]]="--",0,Table645[[#This Row],[Column4]]*Table645[[#This Row],[Column62]])</f>
        <v>0</v>
      </c>
      <c r="BL182" s="93"/>
      <c r="BM182" s="91" t="str">
        <f t="shared" si="131"/>
        <v>--</v>
      </c>
      <c r="BN182" s="89">
        <f>IF(Table645[[#This Row],[Column65]]="--",0,Table645[[#This Row],[Column4]]*Table645[[#This Row],[Column65]])</f>
        <v>0</v>
      </c>
      <c r="BO182" s="163"/>
      <c r="BP182" s="164" t="str">
        <f t="shared" si="132"/>
        <v>--</v>
      </c>
      <c r="BQ182" s="160">
        <f>IF(Table645[[#This Row],[Column68]]="--",0,Table645[[#This Row],[Column4]]*Table645[[#This Row],[Column68]])</f>
        <v>0</v>
      </c>
      <c r="BR182" s="94"/>
      <c r="BS182" s="91" t="str">
        <f t="shared" si="133"/>
        <v>--</v>
      </c>
      <c r="BT182" s="92">
        <f>IF(Table645[[#This Row],[Column71]]="--",0,Table645[[#This Row],[Column4]]*Table645[[#This Row],[Column71]])</f>
        <v>0</v>
      </c>
      <c r="BU182" s="44"/>
      <c r="BV182" s="90"/>
      <c r="BW182" s="91" t="str">
        <f>IF(BV182=0,"--",(Table645[[#This Row],[Column73]]*$BV$4*(IF(J182&lt;0.5001,1,IF(J182&lt;2.0001,2,3)))+BV182/$BV$3)/60/24)</f>
        <v>--</v>
      </c>
      <c r="BX182" s="92">
        <f>IF(Table645[[#This Row],[Column75]]="--",0,Table645[[#This Row],[Column4]]*Table645[[#This Row],[Column75]])</f>
        <v>0</v>
      </c>
      <c r="BY182" s="95" t="s">
        <v>70</v>
      </c>
      <c r="BZ182" s="91" t="str">
        <f>IF(Table645[[#This Row],[Column74]]=0,"--",BW182*$BY$3)</f>
        <v>--</v>
      </c>
      <c r="CA182" s="89">
        <f>IF(Table645[[#This Row],[Column78]]="--",0,Table645[[#This Row],[Column4]]*Table645[[#This Row],[Column78]])</f>
        <v>0</v>
      </c>
      <c r="CB182" s="95" t="s">
        <v>70</v>
      </c>
      <c r="CC182" s="91" t="str">
        <f>IF(Table645[[#This Row],[Column10]]+Table645[[#This Row],[Column74]]=0,"--",J182*$CB$4*$CB$5/(24*60)+IF(Table645[[#This Row],[Column74]]=0,0,$CB$3*Table645[[#This Row],[Column75]]))</f>
        <v>--</v>
      </c>
      <c r="CD182" s="92">
        <f>IF(Table645[[#This Row],[Column81]]="--",0,Table645[[#This Row],[Column4]]*Table645[[#This Row],[Column81]])</f>
        <v>0</v>
      </c>
      <c r="CE182" s="215"/>
      <c r="CF182" s="91" t="str">
        <f t="shared" si="127"/>
        <v>--</v>
      </c>
      <c r="CG182" s="92">
        <f>IF(Table645[[#This Row],[Column84]]="--",0,Table645[[#This Row],[Column4]]*Table645[[#This Row],[Column84]])</f>
        <v>0</v>
      </c>
      <c r="CH182" s="226"/>
      <c r="CI182" s="216"/>
      <c r="CJ182" s="91" t="str">
        <f>IF(CI182=0,"--",(Table645[[#This Row],[Column86]]*$CI$4*(IF(W182&lt;0.5001,1,IF(W182&lt;2.0001,2,3)))+CI182/$CI$3)/60/24)</f>
        <v>--</v>
      </c>
      <c r="CK182" s="92">
        <f>IF(Table645[[#This Row],[Column88]]="--",0,Table645[[#This Row],[Column4]]*Table645[[#This Row],[Column88]])</f>
        <v>0</v>
      </c>
      <c r="CL182" s="217"/>
      <c r="CM182" s="91" t="str">
        <f>IF(Table645[[#This Row],[Column87]]=0,"--",CJ182*$CL$3)</f>
        <v>--</v>
      </c>
      <c r="CN182" s="92">
        <f>IF(Table645[[#This Row],[Column91]]="--",0,Table645[[#This Row],[Column4]]*Table645[[#This Row],[Column91]])</f>
        <v>0</v>
      </c>
      <c r="CO182" s="217"/>
      <c r="CP182" s="91" t="str">
        <f>IF(Table645[[#This Row],[Column10]]+Table645[[#This Row],[Column87]]=0, "--", IF($D182="", 1, $D182) * IF($J182="", 1, $J182) * $CO$3 * $CO$4 * IF(Table645[[#This Row],[Column95]]="", 1, Table645[[#This Row],[Column95]]) / (24 * 60))</f>
        <v>--</v>
      </c>
      <c r="CQ182" s="164"/>
      <c r="CR182" s="92">
        <f>IF(Table645[[#This Row],[Column94]]="--",0,Table645[[#This Row],[Column4]]*Table645[[#This Row],[Column94]])</f>
        <v>0</v>
      </c>
      <c r="CS182" s="218" t="str">
        <f>IF(Table645[[#This Row],[Column87]]="","",Table645[[#This Row],[Column87]])</f>
        <v/>
      </c>
      <c r="CT182" s="91" t="str">
        <f>IF(Table645[[#This Row],[Column97]]="","--",Table645[[#This Row],[Column97]]/$CS$3/60/24)</f>
        <v>--</v>
      </c>
      <c r="CU182" s="92">
        <f>IF(Table645[[#This Row],[Column98]]="--",0,Table645[[#This Row],[Column4]]*Table645[[#This Row],[Column98]])</f>
        <v>0</v>
      </c>
      <c r="CV182" s="93"/>
      <c r="CW182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82" s="91" t="str">
        <f>IF(OR(Table645[[#This Row],[Column74]]&gt;0,Table645[[#This Row],[Column87]]&gt;0),(Table645[[#This Row],[Column73]]+Table645[[#This Row],[Column86]]+1)*$CW$3/60/24,"--")</f>
        <v>--</v>
      </c>
      <c r="CY182" s="92">
        <f>IF(Table645[[#This Row],[Column102]]="--",0,Table645[[#This Row],[Column4]]*Table645[[#This Row],[Column102]])</f>
        <v>0</v>
      </c>
      <c r="CZ182" s="158" t="str">
        <f t="shared" si="134"/>
        <v>--</v>
      </c>
      <c r="DA182" s="153"/>
      <c r="DB182" s="160">
        <f>IF(Table645[[#This Row],[Column104]]="--",0,Table645[[#This Row],[Column4]]*Table645[[#This Row],[Column104]])</f>
        <v>0</v>
      </c>
      <c r="DC182" s="219"/>
      <c r="DD182" s="220" t="str">
        <f>IF(DC182=0,"--",1/$DC$3*1000/(60*60*24)*Table645[[#This Row],[Column107]])</f>
        <v>--</v>
      </c>
      <c r="DE182" s="160">
        <f>IF(Table645[[#This Row],[Column108]]="--",0,Table645[[#This Row],[Column4]]*Table645[[#This Row],[Column108]])</f>
        <v>0</v>
      </c>
      <c r="DF182" s="101" t="s">
        <v>70</v>
      </c>
      <c r="DG182" s="91" t="str">
        <f t="shared" si="135"/>
        <v>--</v>
      </c>
      <c r="DH182" s="89">
        <f>IF(Table645[[#This Row],[Column111]]="--",0,Table645[[#This Row],[Column4]]*Table645[[#This Row],[Column111]])</f>
        <v>0</v>
      </c>
      <c r="DI182" s="96"/>
      <c r="DJ182" s="96"/>
      <c r="DK182" s="96"/>
      <c r="DL182" s="96"/>
      <c r="DM182" s="96"/>
      <c r="DN182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82" s="89">
        <f>IF(Table645[[#This Row],[Column118]]="--",0,Table645[[#This Row],[Column4]]*Table645[[#This Row],[Column118]])</f>
        <v>0</v>
      </c>
      <c r="DP182" s="96"/>
      <c r="DQ182" s="96"/>
      <c r="DR182" s="91" t="str">
        <f t="shared" si="136"/>
        <v>--</v>
      </c>
      <c r="DS182" s="89">
        <f>IF(Table645[[#This Row],[Column122]]="--",0,Table645[[#This Row],[Column4]]*Table645[[#This Row],[Column122]])</f>
        <v>0</v>
      </c>
      <c r="DT182" t="str">
        <f>IF(Table645[[#This Row],[Column125]]=0,"--",Table645[[#This Row],[Column125]]*Table645[[#This Row],[Column126]]*Table645[[#This Row],[Column127]]/1000000000)</f>
        <v>--</v>
      </c>
      <c r="DU182" s="53"/>
      <c r="DV182" s="53"/>
      <c r="DW182" s="53"/>
      <c r="DX182" s="91" t="str">
        <f t="shared" si="137"/>
        <v>--</v>
      </c>
      <c r="DY182" s="89">
        <f>IF(Table645[[#This Row],[Column128]]="--",0,Table645[[#This Row],[Column4]]*Table645[[#This Row],[Column128]])</f>
        <v>0</v>
      </c>
      <c r="EA182" s="89">
        <f>IF(Table645[[#This Row],[Column128]]="--",0,Table645[[#This Row],[Column4]]*Table645[[#This Row],[Column128]])</f>
        <v>0</v>
      </c>
      <c r="EC182" s="89">
        <f>IF(Table645[[#This Row],[Column128]]="--",0,Table645[[#This Row],[Column4]]*Table645[[#This Row],[Column128]])</f>
        <v>0</v>
      </c>
      <c r="EE182" s="89">
        <f>IF(Table645[[#This Row],[Column128]]="--",0,Table645[[#This Row],[Column4]]*Table645[[#This Row],[Column128]])</f>
        <v>0</v>
      </c>
      <c r="EG182" s="89">
        <f>IF(Table645[[#This Row],[Column128]]="--",0,Table645[[#This Row],[Column4]]*Table645[[#This Row],[Column128]])</f>
        <v>0</v>
      </c>
      <c r="EI182" s="89">
        <f>IF(Table645[[#This Row],[Column128]]="--",0,Table645[[#This Row],[Column4]]*Table645[[#This Row],[Column128]])</f>
        <v>0</v>
      </c>
    </row>
    <row r="183" spans="1:139" x14ac:dyDescent="0.25">
      <c r="A183" s="140"/>
      <c r="B183" s="79"/>
      <c r="C183" s="140"/>
      <c r="D183" s="167"/>
      <c r="E183" s="52"/>
      <c r="F183" s="81"/>
      <c r="G183" s="81"/>
      <c r="H183" s="102" t="str">
        <f t="shared" si="128"/>
        <v>--</v>
      </c>
      <c r="I183" s="100">
        <f>IF(Table645[[#This Row],[Column8]]="--",0,Table645[[#This Row],[Column4]]*Table645[[#This Row],[Column8]])</f>
        <v>0</v>
      </c>
      <c r="J183" s="169"/>
      <c r="K183" s="85">
        <f>Table645[[#This Row],[Column4]]*Table645[[#This Row],[Column10]]</f>
        <v>0</v>
      </c>
      <c r="L183" s="170" t="str">
        <f t="shared" si="129"/>
        <v>--</v>
      </c>
      <c r="M183" s="214">
        <f>IF(Table645[[#This Row],[Column10]]=0,0,Table645[[#This Row],[Column4]]*Table645[[#This Row],[Column12]])</f>
        <v>0</v>
      </c>
      <c r="N183" s="87" t="str">
        <f t="shared" si="130"/>
        <v>--</v>
      </c>
      <c r="O183" s="138"/>
      <c r="AZ183" s="89">
        <f>IF(Table645[[#This Row],[Column14]]="--",0,Table645[[#This Row],[Column4]]*Table645[[#This Row],[Column14]])</f>
        <v>0</v>
      </c>
      <c r="BA183" s="90"/>
      <c r="BB183" s="91" t="str">
        <f>IF(BA183=0,"--",BA183*$BA$3*IF(Table645[[#This Row],[Column5]]&lt;4.1,1,2)/60/24)</f>
        <v>--</v>
      </c>
      <c r="BC183" s="92">
        <f>IF(Table645[[#This Row],[Column54]]="--",0,Table645[[#This Row],[Column4]]*Table645[[#This Row],[Column54]])</f>
        <v>0</v>
      </c>
      <c r="BD183" s="119"/>
      <c r="BE183" s="119"/>
      <c r="BF183" s="119"/>
      <c r="BG183" s="91" t="str">
        <f>IF(BD183+Table645[[#This Row],[Column58]]=0,"--",(BD183*$BF$3*Table645[[#This Row],[Column57]]+Table645[[#This Row],[Column58]]*$BF$4)/60/24)</f>
        <v>--</v>
      </c>
      <c r="BH183" s="92">
        <f>IF(Table645[[#This Row],[Column59]]="--",0,Table645[[#This Row],[Column4]]*Table645[[#This Row],[Column59]])</f>
        <v>0</v>
      </c>
      <c r="BI183" s="119"/>
      <c r="BJ183" s="91" t="str">
        <f t="shared" si="126"/>
        <v>--</v>
      </c>
      <c r="BK183" s="92">
        <f>IF(Table645[[#This Row],[Column62]]="--",0,Table645[[#This Row],[Column4]]*Table645[[#This Row],[Column62]])</f>
        <v>0</v>
      </c>
      <c r="BL183" s="93"/>
      <c r="BM183" s="91" t="str">
        <f t="shared" si="131"/>
        <v>--</v>
      </c>
      <c r="BN183" s="89">
        <f>IF(Table645[[#This Row],[Column65]]="--",0,Table645[[#This Row],[Column4]]*Table645[[#This Row],[Column65]])</f>
        <v>0</v>
      </c>
      <c r="BO183" s="163"/>
      <c r="BP183" s="164" t="str">
        <f t="shared" si="132"/>
        <v>--</v>
      </c>
      <c r="BQ183" s="160">
        <f>IF(Table645[[#This Row],[Column68]]="--",0,Table645[[#This Row],[Column4]]*Table645[[#This Row],[Column68]])</f>
        <v>0</v>
      </c>
      <c r="BR183" s="94"/>
      <c r="BS183" s="91" t="str">
        <f t="shared" si="133"/>
        <v>--</v>
      </c>
      <c r="BT183" s="92">
        <f>IF(Table645[[#This Row],[Column71]]="--",0,Table645[[#This Row],[Column4]]*Table645[[#This Row],[Column71]])</f>
        <v>0</v>
      </c>
      <c r="BU183" s="44"/>
      <c r="BV183" s="90"/>
      <c r="BW183" s="91" t="str">
        <f>IF(BV183=0,"--",(Table645[[#This Row],[Column73]]*$BV$4*(IF(J183&lt;0.5001,1,IF(J183&lt;2.0001,2,3)))+BV183/$BV$3)/60/24)</f>
        <v>--</v>
      </c>
      <c r="BX183" s="92">
        <f>IF(Table645[[#This Row],[Column75]]="--",0,Table645[[#This Row],[Column4]]*Table645[[#This Row],[Column75]])</f>
        <v>0</v>
      </c>
      <c r="BY183" s="95" t="s">
        <v>70</v>
      </c>
      <c r="BZ183" s="91" t="str">
        <f>IF(Table645[[#This Row],[Column74]]=0,"--",BW183*$BY$3)</f>
        <v>--</v>
      </c>
      <c r="CA183" s="89">
        <f>IF(Table645[[#This Row],[Column78]]="--",0,Table645[[#This Row],[Column4]]*Table645[[#This Row],[Column78]])</f>
        <v>0</v>
      </c>
      <c r="CB183" s="95" t="s">
        <v>70</v>
      </c>
      <c r="CC183" s="91" t="str">
        <f>IF(Table645[[#This Row],[Column10]]+Table645[[#This Row],[Column74]]=0,"--",J183*$CB$4*$CB$5/(24*60)+IF(Table645[[#This Row],[Column74]]=0,0,$CB$3*Table645[[#This Row],[Column75]]))</f>
        <v>--</v>
      </c>
      <c r="CD183" s="92">
        <f>IF(Table645[[#This Row],[Column81]]="--",0,Table645[[#This Row],[Column4]]*Table645[[#This Row],[Column81]])</f>
        <v>0</v>
      </c>
      <c r="CE183" s="215"/>
      <c r="CF183" s="91" t="str">
        <f t="shared" si="127"/>
        <v>--</v>
      </c>
      <c r="CG183" s="92">
        <f>IF(Table645[[#This Row],[Column84]]="--",0,Table645[[#This Row],[Column4]]*Table645[[#This Row],[Column84]])</f>
        <v>0</v>
      </c>
      <c r="CH183" s="226"/>
      <c r="CI183" s="216"/>
      <c r="CJ183" s="91" t="str">
        <f>IF(CI183=0,"--",(Table645[[#This Row],[Column86]]*$CI$4*(IF(W183&lt;0.5001,1,IF(W183&lt;2.0001,2,3)))+CI183/$CI$3)/60/24)</f>
        <v>--</v>
      </c>
      <c r="CK183" s="92">
        <f>IF(Table645[[#This Row],[Column88]]="--",0,Table645[[#This Row],[Column4]]*Table645[[#This Row],[Column88]])</f>
        <v>0</v>
      </c>
      <c r="CL183" s="217"/>
      <c r="CM183" s="91" t="str">
        <f>IF(Table645[[#This Row],[Column87]]=0,"--",CJ183*$CL$3)</f>
        <v>--</v>
      </c>
      <c r="CN183" s="92">
        <f>IF(Table645[[#This Row],[Column91]]="--",0,Table645[[#This Row],[Column4]]*Table645[[#This Row],[Column91]])</f>
        <v>0</v>
      </c>
      <c r="CO183" s="217"/>
      <c r="CP183" s="91" t="str">
        <f>IF(Table645[[#This Row],[Column10]]+Table645[[#This Row],[Column87]]=0, "--", IF($D183="", 1, $D183) * IF($J183="", 1, $J183) * $CO$3 * $CO$4 * IF(Table645[[#This Row],[Column95]]="", 1, Table645[[#This Row],[Column95]]) / (24 * 60))</f>
        <v>--</v>
      </c>
      <c r="CQ183" s="164"/>
      <c r="CR183" s="92">
        <f>IF(Table645[[#This Row],[Column94]]="--",0,Table645[[#This Row],[Column4]]*Table645[[#This Row],[Column94]])</f>
        <v>0</v>
      </c>
      <c r="CS183" s="218" t="str">
        <f>IF(Table645[[#This Row],[Column87]]="","",Table645[[#This Row],[Column87]])</f>
        <v/>
      </c>
      <c r="CT183" s="91" t="str">
        <f>IF(Table645[[#This Row],[Column97]]="","--",Table645[[#This Row],[Column97]]/$CS$3/60/24)</f>
        <v>--</v>
      </c>
      <c r="CU183" s="92">
        <f>IF(Table645[[#This Row],[Column98]]="--",0,Table645[[#This Row],[Column4]]*Table645[[#This Row],[Column98]])</f>
        <v>0</v>
      </c>
      <c r="CV183" s="93"/>
      <c r="CW183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83" s="91" t="str">
        <f>IF(OR(Table645[[#This Row],[Column74]]&gt;0,Table645[[#This Row],[Column87]]&gt;0),(Table645[[#This Row],[Column73]]+Table645[[#This Row],[Column86]]+1)*$CW$3/60/24,"--")</f>
        <v>--</v>
      </c>
      <c r="CY183" s="92">
        <f>IF(Table645[[#This Row],[Column102]]="--",0,Table645[[#This Row],[Column4]]*Table645[[#This Row],[Column102]])</f>
        <v>0</v>
      </c>
      <c r="CZ183" s="158" t="str">
        <f t="shared" si="134"/>
        <v>--</v>
      </c>
      <c r="DA183" s="153"/>
      <c r="DB183" s="160">
        <f>IF(Table645[[#This Row],[Column104]]="--",0,Table645[[#This Row],[Column4]]*Table645[[#This Row],[Column104]])</f>
        <v>0</v>
      </c>
      <c r="DC183" s="219"/>
      <c r="DD183" s="220" t="str">
        <f>IF(DC183=0,"--",1/$DC$3*1000/(60*60*24)*Table645[[#This Row],[Column107]])</f>
        <v>--</v>
      </c>
      <c r="DE183" s="160">
        <f>IF(Table645[[#This Row],[Column108]]="--",0,Table645[[#This Row],[Column4]]*Table645[[#This Row],[Column108]])</f>
        <v>0</v>
      </c>
      <c r="DF183" s="101" t="s">
        <v>70</v>
      </c>
      <c r="DG183" s="91" t="str">
        <f t="shared" si="135"/>
        <v>--</v>
      </c>
      <c r="DH183" s="89">
        <f>IF(Table645[[#This Row],[Column111]]="--",0,Table645[[#This Row],[Column4]]*Table645[[#This Row],[Column111]])</f>
        <v>0</v>
      </c>
      <c r="DI183" s="96"/>
      <c r="DJ183" s="96"/>
      <c r="DK183" s="96"/>
      <c r="DL183" s="96"/>
      <c r="DM183" s="96"/>
      <c r="DN183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83" s="89">
        <f>IF(Table645[[#This Row],[Column118]]="--",0,Table645[[#This Row],[Column4]]*Table645[[#This Row],[Column118]])</f>
        <v>0</v>
      </c>
      <c r="DP183" s="96"/>
      <c r="DQ183" s="96"/>
      <c r="DR183" s="91" t="str">
        <f t="shared" si="136"/>
        <v>--</v>
      </c>
      <c r="DS183" s="89">
        <f>IF(Table645[[#This Row],[Column122]]="--",0,Table645[[#This Row],[Column4]]*Table645[[#This Row],[Column122]])</f>
        <v>0</v>
      </c>
      <c r="DT183" t="str">
        <f>IF(Table645[[#This Row],[Column125]]=0,"--",Table645[[#This Row],[Column125]]*Table645[[#This Row],[Column126]]*Table645[[#This Row],[Column127]]/1000000000)</f>
        <v>--</v>
      </c>
      <c r="DU183" s="53"/>
      <c r="DV183" s="53"/>
      <c r="DW183" s="53"/>
      <c r="DX183" s="91" t="str">
        <f t="shared" si="137"/>
        <v>--</v>
      </c>
      <c r="DY183" s="89">
        <f>IF(Table645[[#This Row],[Column128]]="--",0,Table645[[#This Row],[Column4]]*Table645[[#This Row],[Column128]])</f>
        <v>0</v>
      </c>
      <c r="EA183" s="89">
        <f>IF(Table645[[#This Row],[Column128]]="--",0,Table645[[#This Row],[Column4]]*Table645[[#This Row],[Column128]])</f>
        <v>0</v>
      </c>
      <c r="EC183" s="89">
        <f>IF(Table645[[#This Row],[Column128]]="--",0,Table645[[#This Row],[Column4]]*Table645[[#This Row],[Column128]])</f>
        <v>0</v>
      </c>
      <c r="EE183" s="89">
        <f>IF(Table645[[#This Row],[Column128]]="--",0,Table645[[#This Row],[Column4]]*Table645[[#This Row],[Column128]])</f>
        <v>0</v>
      </c>
      <c r="EG183" s="89">
        <f>IF(Table645[[#This Row],[Column128]]="--",0,Table645[[#This Row],[Column4]]*Table645[[#This Row],[Column128]])</f>
        <v>0</v>
      </c>
      <c r="EI183" s="89">
        <f>IF(Table645[[#This Row],[Column128]]="--",0,Table645[[#This Row],[Column4]]*Table645[[#This Row],[Column128]])</f>
        <v>0</v>
      </c>
    </row>
    <row r="184" spans="1:139" x14ac:dyDescent="0.25">
      <c r="A184" s="140"/>
      <c r="B184" s="79"/>
      <c r="C184" s="140"/>
      <c r="D184" s="167"/>
      <c r="E184" s="52"/>
      <c r="F184" s="81"/>
      <c r="G184" s="81"/>
      <c r="H184" s="102" t="str">
        <f t="shared" si="128"/>
        <v>--</v>
      </c>
      <c r="I184" s="100">
        <f>IF(Table645[[#This Row],[Column8]]="--",0,Table645[[#This Row],[Column4]]*Table645[[#This Row],[Column8]])</f>
        <v>0</v>
      </c>
      <c r="J184" s="169"/>
      <c r="K184" s="85">
        <f>Table645[[#This Row],[Column4]]*Table645[[#This Row],[Column10]]</f>
        <v>0</v>
      </c>
      <c r="L184" s="170" t="str">
        <f t="shared" si="129"/>
        <v>--</v>
      </c>
      <c r="M184" s="214">
        <f>IF(Table645[[#This Row],[Column10]]=0,0,Table645[[#This Row],[Column4]]*Table645[[#This Row],[Column12]])</f>
        <v>0</v>
      </c>
      <c r="N184" s="87" t="str">
        <f t="shared" si="130"/>
        <v>--</v>
      </c>
      <c r="O184" s="138"/>
      <c r="AZ184" s="89">
        <f>IF(Table645[[#This Row],[Column14]]="--",0,Table645[[#This Row],[Column4]]*Table645[[#This Row],[Column14]])</f>
        <v>0</v>
      </c>
      <c r="BA184" s="90"/>
      <c r="BB184" s="91" t="str">
        <f>IF(BA184=0,"--",BA184*$BA$3*IF(Table645[[#This Row],[Column5]]&lt;4.1,1,2)/60/24)</f>
        <v>--</v>
      </c>
      <c r="BC184" s="92">
        <f>IF(Table645[[#This Row],[Column54]]="--",0,Table645[[#This Row],[Column4]]*Table645[[#This Row],[Column54]])</f>
        <v>0</v>
      </c>
      <c r="BD184" s="119"/>
      <c r="BE184" s="119"/>
      <c r="BF184" s="119"/>
      <c r="BG184" s="91" t="str">
        <f>IF(BD184+Table645[[#This Row],[Column58]]=0,"--",(BD184*$BF$3*Table645[[#This Row],[Column57]]+Table645[[#This Row],[Column58]]*$BF$4)/60/24)</f>
        <v>--</v>
      </c>
      <c r="BH184" s="92">
        <f>IF(Table645[[#This Row],[Column59]]="--",0,Table645[[#This Row],[Column4]]*Table645[[#This Row],[Column59]])</f>
        <v>0</v>
      </c>
      <c r="BI184" s="119"/>
      <c r="BJ184" s="91" t="str">
        <f t="shared" si="126"/>
        <v>--</v>
      </c>
      <c r="BK184" s="92">
        <f>IF(Table645[[#This Row],[Column62]]="--",0,Table645[[#This Row],[Column4]]*Table645[[#This Row],[Column62]])</f>
        <v>0</v>
      </c>
      <c r="BL184" s="93"/>
      <c r="BM184" s="91" t="str">
        <f t="shared" si="131"/>
        <v>--</v>
      </c>
      <c r="BN184" s="89">
        <f>IF(Table645[[#This Row],[Column65]]="--",0,Table645[[#This Row],[Column4]]*Table645[[#This Row],[Column65]])</f>
        <v>0</v>
      </c>
      <c r="BO184" s="163"/>
      <c r="BP184" s="164" t="str">
        <f t="shared" si="132"/>
        <v>--</v>
      </c>
      <c r="BQ184" s="160">
        <f>IF(Table645[[#This Row],[Column68]]="--",0,Table645[[#This Row],[Column4]]*Table645[[#This Row],[Column68]])</f>
        <v>0</v>
      </c>
      <c r="BR184" s="94"/>
      <c r="BS184" s="91" t="str">
        <f t="shared" si="133"/>
        <v>--</v>
      </c>
      <c r="BT184" s="92">
        <f>IF(Table645[[#This Row],[Column71]]="--",0,Table645[[#This Row],[Column4]]*Table645[[#This Row],[Column71]])</f>
        <v>0</v>
      </c>
      <c r="BU184" s="44"/>
      <c r="BV184" s="90"/>
      <c r="BW184" s="91" t="str">
        <f>IF(BV184=0,"--",(Table645[[#This Row],[Column73]]*$BV$4*(IF(J184&lt;0.5001,1,IF(J184&lt;2.0001,2,3)))+BV184/$BV$3)/60/24)</f>
        <v>--</v>
      </c>
      <c r="BX184" s="92">
        <f>IF(Table645[[#This Row],[Column75]]="--",0,Table645[[#This Row],[Column4]]*Table645[[#This Row],[Column75]])</f>
        <v>0</v>
      </c>
      <c r="BY184" s="95" t="s">
        <v>70</v>
      </c>
      <c r="BZ184" s="91" t="str">
        <f>IF(Table645[[#This Row],[Column74]]=0,"--",BW184*$BY$3)</f>
        <v>--</v>
      </c>
      <c r="CA184" s="89">
        <f>IF(Table645[[#This Row],[Column78]]="--",0,Table645[[#This Row],[Column4]]*Table645[[#This Row],[Column78]])</f>
        <v>0</v>
      </c>
      <c r="CB184" s="95" t="s">
        <v>70</v>
      </c>
      <c r="CC184" s="91" t="str">
        <f>IF(Table645[[#This Row],[Column10]]+Table645[[#This Row],[Column74]]=0,"--",J184*$CB$4*$CB$5/(24*60)+IF(Table645[[#This Row],[Column74]]=0,0,$CB$3*Table645[[#This Row],[Column75]]))</f>
        <v>--</v>
      </c>
      <c r="CD184" s="92">
        <f>IF(Table645[[#This Row],[Column81]]="--",0,Table645[[#This Row],[Column4]]*Table645[[#This Row],[Column81]])</f>
        <v>0</v>
      </c>
      <c r="CE184" s="215"/>
      <c r="CF184" s="91" t="str">
        <f t="shared" si="127"/>
        <v>--</v>
      </c>
      <c r="CG184" s="92">
        <f>IF(Table645[[#This Row],[Column84]]="--",0,Table645[[#This Row],[Column4]]*Table645[[#This Row],[Column84]])</f>
        <v>0</v>
      </c>
      <c r="CH184" s="226"/>
      <c r="CI184" s="216"/>
      <c r="CJ184" s="91" t="str">
        <f>IF(CI184=0,"--",(Table645[[#This Row],[Column86]]*$CI$4*(IF(W184&lt;0.5001,1,IF(W184&lt;2.0001,2,3)))+CI184/$CI$3)/60/24)</f>
        <v>--</v>
      </c>
      <c r="CK184" s="92">
        <f>IF(Table645[[#This Row],[Column88]]="--",0,Table645[[#This Row],[Column4]]*Table645[[#This Row],[Column88]])</f>
        <v>0</v>
      </c>
      <c r="CL184" s="217"/>
      <c r="CM184" s="91" t="str">
        <f>IF(Table645[[#This Row],[Column87]]=0,"--",CJ184*$CL$3)</f>
        <v>--</v>
      </c>
      <c r="CN184" s="92">
        <f>IF(Table645[[#This Row],[Column91]]="--",0,Table645[[#This Row],[Column4]]*Table645[[#This Row],[Column91]])</f>
        <v>0</v>
      </c>
      <c r="CO184" s="217"/>
      <c r="CP184" s="91" t="str">
        <f>IF(Table645[[#This Row],[Column10]]+Table645[[#This Row],[Column87]]=0, "--", IF($D184="", 1, $D184) * IF($J184="", 1, $J184) * $CO$3 * $CO$4 * IF(Table645[[#This Row],[Column95]]="", 1, Table645[[#This Row],[Column95]]) / (24 * 60))</f>
        <v>--</v>
      </c>
      <c r="CQ184" s="164"/>
      <c r="CR184" s="92">
        <f>IF(Table645[[#This Row],[Column94]]="--",0,Table645[[#This Row],[Column4]]*Table645[[#This Row],[Column94]])</f>
        <v>0</v>
      </c>
      <c r="CS184" s="218" t="str">
        <f>IF(Table645[[#This Row],[Column87]]="","",Table645[[#This Row],[Column87]])</f>
        <v/>
      </c>
      <c r="CT184" s="91" t="str">
        <f>IF(Table645[[#This Row],[Column97]]="","--",Table645[[#This Row],[Column97]]/$CS$3/60/24)</f>
        <v>--</v>
      </c>
      <c r="CU184" s="92">
        <f>IF(Table645[[#This Row],[Column98]]="--",0,Table645[[#This Row],[Column4]]*Table645[[#This Row],[Column98]])</f>
        <v>0</v>
      </c>
      <c r="CV184" s="93"/>
      <c r="CW184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84" s="91" t="str">
        <f>IF(OR(Table645[[#This Row],[Column74]]&gt;0,Table645[[#This Row],[Column87]]&gt;0),(Table645[[#This Row],[Column73]]+Table645[[#This Row],[Column86]]+1)*$CW$3/60/24,"--")</f>
        <v>--</v>
      </c>
      <c r="CY184" s="92">
        <f>IF(Table645[[#This Row],[Column102]]="--",0,Table645[[#This Row],[Column4]]*Table645[[#This Row],[Column102]])</f>
        <v>0</v>
      </c>
      <c r="CZ184" s="158" t="str">
        <f t="shared" si="134"/>
        <v>--</v>
      </c>
      <c r="DA184" s="153"/>
      <c r="DB184" s="160">
        <f>IF(Table645[[#This Row],[Column104]]="--",0,Table645[[#This Row],[Column4]]*Table645[[#This Row],[Column104]])</f>
        <v>0</v>
      </c>
      <c r="DC184" s="219"/>
      <c r="DD184" s="220" t="str">
        <f>IF(DC184=0,"--",1/$DC$3*1000/(60*60*24)*Table645[[#This Row],[Column107]])</f>
        <v>--</v>
      </c>
      <c r="DE184" s="160">
        <f>IF(Table645[[#This Row],[Column108]]="--",0,Table645[[#This Row],[Column4]]*Table645[[#This Row],[Column108]])</f>
        <v>0</v>
      </c>
      <c r="DF184" s="101" t="s">
        <v>70</v>
      </c>
      <c r="DG184" s="91" t="str">
        <f t="shared" si="135"/>
        <v>--</v>
      </c>
      <c r="DH184" s="89">
        <f>IF(Table645[[#This Row],[Column111]]="--",0,Table645[[#This Row],[Column4]]*Table645[[#This Row],[Column111]])</f>
        <v>0</v>
      </c>
      <c r="DI184" s="96"/>
      <c r="DJ184" s="96"/>
      <c r="DK184" s="96"/>
      <c r="DL184" s="96"/>
      <c r="DM184" s="96"/>
      <c r="DN184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84" s="89">
        <f>IF(Table645[[#This Row],[Column118]]="--",0,Table645[[#This Row],[Column4]]*Table645[[#This Row],[Column118]])</f>
        <v>0</v>
      </c>
      <c r="DP184" s="96"/>
      <c r="DQ184" s="96"/>
      <c r="DR184" s="91" t="str">
        <f t="shared" si="136"/>
        <v>--</v>
      </c>
      <c r="DS184" s="89">
        <f>IF(Table645[[#This Row],[Column122]]="--",0,Table645[[#This Row],[Column4]]*Table645[[#This Row],[Column122]])</f>
        <v>0</v>
      </c>
      <c r="DT184" t="str">
        <f>IF(Table645[[#This Row],[Column125]]=0,"--",Table645[[#This Row],[Column125]]*Table645[[#This Row],[Column126]]*Table645[[#This Row],[Column127]]/1000000000)</f>
        <v>--</v>
      </c>
      <c r="DU184" s="53"/>
      <c r="DV184" s="53"/>
      <c r="DW184" s="53"/>
      <c r="DX184" s="91" t="str">
        <f t="shared" si="137"/>
        <v>--</v>
      </c>
      <c r="DY184" s="89">
        <f>IF(Table645[[#This Row],[Column128]]="--",0,Table645[[#This Row],[Column4]]*Table645[[#This Row],[Column128]])</f>
        <v>0</v>
      </c>
      <c r="EA184" s="89">
        <f>IF(Table645[[#This Row],[Column128]]="--",0,Table645[[#This Row],[Column4]]*Table645[[#This Row],[Column128]])</f>
        <v>0</v>
      </c>
      <c r="EC184" s="89">
        <f>IF(Table645[[#This Row],[Column128]]="--",0,Table645[[#This Row],[Column4]]*Table645[[#This Row],[Column128]])</f>
        <v>0</v>
      </c>
      <c r="EE184" s="89">
        <f>IF(Table645[[#This Row],[Column128]]="--",0,Table645[[#This Row],[Column4]]*Table645[[#This Row],[Column128]])</f>
        <v>0</v>
      </c>
      <c r="EG184" s="89">
        <f>IF(Table645[[#This Row],[Column128]]="--",0,Table645[[#This Row],[Column4]]*Table645[[#This Row],[Column128]])</f>
        <v>0</v>
      </c>
      <c r="EI184" s="89">
        <f>IF(Table645[[#This Row],[Column128]]="--",0,Table645[[#This Row],[Column4]]*Table645[[#This Row],[Column128]])</f>
        <v>0</v>
      </c>
    </row>
    <row r="185" spans="1:139" x14ac:dyDescent="0.25">
      <c r="A185" s="140"/>
      <c r="B185" s="79"/>
      <c r="C185" s="140"/>
      <c r="D185" s="167"/>
      <c r="E185" s="52"/>
      <c r="F185" s="81"/>
      <c r="G185" s="81"/>
      <c r="H185" s="102" t="str">
        <f t="shared" si="128"/>
        <v>--</v>
      </c>
      <c r="I185" s="100">
        <f>IF(Table645[[#This Row],[Column8]]="--",0,Table645[[#This Row],[Column4]]*Table645[[#This Row],[Column8]])</f>
        <v>0</v>
      </c>
      <c r="J185" s="169"/>
      <c r="K185" s="85">
        <f>Table645[[#This Row],[Column4]]*Table645[[#This Row],[Column10]]</f>
        <v>0</v>
      </c>
      <c r="L185" s="170" t="str">
        <f t="shared" si="129"/>
        <v>--</v>
      </c>
      <c r="M185" s="214">
        <f>IF(Table645[[#This Row],[Column10]]=0,0,Table645[[#This Row],[Column4]]*Table645[[#This Row],[Column12]])</f>
        <v>0</v>
      </c>
      <c r="N185" s="87" t="str">
        <f t="shared" si="130"/>
        <v>--</v>
      </c>
      <c r="O185" s="138"/>
      <c r="AZ185" s="89">
        <f>IF(Table645[[#This Row],[Column14]]="--",0,Table645[[#This Row],[Column4]]*Table645[[#This Row],[Column14]])</f>
        <v>0</v>
      </c>
      <c r="BA185" s="90"/>
      <c r="BB185" s="91" t="str">
        <f>IF(BA185=0,"--",BA185*$BA$3*IF(Table645[[#This Row],[Column5]]&lt;4.1,1,2)/60/24)</f>
        <v>--</v>
      </c>
      <c r="BC185" s="92">
        <f>IF(Table645[[#This Row],[Column54]]="--",0,Table645[[#This Row],[Column4]]*Table645[[#This Row],[Column54]])</f>
        <v>0</v>
      </c>
      <c r="BD185" s="119"/>
      <c r="BE185" s="119"/>
      <c r="BF185" s="119"/>
      <c r="BG185" s="91" t="str">
        <f>IF(BD185+Table645[[#This Row],[Column58]]=0,"--",(BD185*$BF$3*Table645[[#This Row],[Column57]]+Table645[[#This Row],[Column58]]*$BF$4)/60/24)</f>
        <v>--</v>
      </c>
      <c r="BH185" s="92">
        <f>IF(Table645[[#This Row],[Column59]]="--",0,Table645[[#This Row],[Column4]]*Table645[[#This Row],[Column59]])</f>
        <v>0</v>
      </c>
      <c r="BI185" s="119"/>
      <c r="BJ185" s="91" t="str">
        <f t="shared" si="126"/>
        <v>--</v>
      </c>
      <c r="BK185" s="92">
        <f>IF(Table645[[#This Row],[Column62]]="--",0,Table645[[#This Row],[Column4]]*Table645[[#This Row],[Column62]])</f>
        <v>0</v>
      </c>
      <c r="BL185" s="93"/>
      <c r="BM185" s="91" t="str">
        <f t="shared" si="131"/>
        <v>--</v>
      </c>
      <c r="BN185" s="89">
        <f>IF(Table645[[#This Row],[Column65]]="--",0,Table645[[#This Row],[Column4]]*Table645[[#This Row],[Column65]])</f>
        <v>0</v>
      </c>
      <c r="BO185" s="163"/>
      <c r="BP185" s="164" t="str">
        <f t="shared" si="132"/>
        <v>--</v>
      </c>
      <c r="BQ185" s="160">
        <f>IF(Table645[[#This Row],[Column68]]="--",0,Table645[[#This Row],[Column4]]*Table645[[#This Row],[Column68]])</f>
        <v>0</v>
      </c>
      <c r="BR185" s="94"/>
      <c r="BS185" s="91" t="str">
        <f t="shared" si="133"/>
        <v>--</v>
      </c>
      <c r="BT185" s="92">
        <f>IF(Table645[[#This Row],[Column71]]="--",0,Table645[[#This Row],[Column4]]*Table645[[#This Row],[Column71]])</f>
        <v>0</v>
      </c>
      <c r="BU185" s="44"/>
      <c r="BV185" s="90"/>
      <c r="BW185" s="91" t="str">
        <f>IF(BV185=0,"--",(Table645[[#This Row],[Column73]]*$BV$4*(IF(J185&lt;0.5001,1,IF(J185&lt;2.0001,2,3)))+BV185/$BV$3)/60/24)</f>
        <v>--</v>
      </c>
      <c r="BX185" s="92">
        <f>IF(Table645[[#This Row],[Column75]]="--",0,Table645[[#This Row],[Column4]]*Table645[[#This Row],[Column75]])</f>
        <v>0</v>
      </c>
      <c r="BY185" s="95" t="s">
        <v>70</v>
      </c>
      <c r="BZ185" s="91" t="str">
        <f>IF(Table645[[#This Row],[Column74]]=0,"--",BW185*$BY$3)</f>
        <v>--</v>
      </c>
      <c r="CA185" s="89">
        <f>IF(Table645[[#This Row],[Column78]]="--",0,Table645[[#This Row],[Column4]]*Table645[[#This Row],[Column78]])</f>
        <v>0</v>
      </c>
      <c r="CB185" s="95" t="s">
        <v>70</v>
      </c>
      <c r="CC185" s="91" t="str">
        <f>IF(Table645[[#This Row],[Column10]]+Table645[[#This Row],[Column74]]=0,"--",J185*$CB$4*$CB$5/(24*60)+IF(Table645[[#This Row],[Column74]]=0,0,$CB$3*Table645[[#This Row],[Column75]]))</f>
        <v>--</v>
      </c>
      <c r="CD185" s="92">
        <f>IF(Table645[[#This Row],[Column81]]="--",0,Table645[[#This Row],[Column4]]*Table645[[#This Row],[Column81]])</f>
        <v>0</v>
      </c>
      <c r="CE185" s="215"/>
      <c r="CF185" s="91" t="str">
        <f t="shared" si="127"/>
        <v>--</v>
      </c>
      <c r="CG185" s="92">
        <f>IF(Table645[[#This Row],[Column84]]="--",0,Table645[[#This Row],[Column4]]*Table645[[#This Row],[Column84]])</f>
        <v>0</v>
      </c>
      <c r="CH185" s="226"/>
      <c r="CI185" s="216"/>
      <c r="CJ185" s="91" t="str">
        <f>IF(CI185=0,"--",(Table645[[#This Row],[Column86]]*$CI$4*(IF(W185&lt;0.5001,1,IF(W185&lt;2.0001,2,3)))+CI185/$CI$3)/60/24)</f>
        <v>--</v>
      </c>
      <c r="CK185" s="92">
        <f>IF(Table645[[#This Row],[Column88]]="--",0,Table645[[#This Row],[Column4]]*Table645[[#This Row],[Column88]])</f>
        <v>0</v>
      </c>
      <c r="CL185" s="217"/>
      <c r="CM185" s="91" t="str">
        <f>IF(Table645[[#This Row],[Column87]]=0,"--",CJ185*$CL$3)</f>
        <v>--</v>
      </c>
      <c r="CN185" s="92">
        <f>IF(Table645[[#This Row],[Column91]]="--",0,Table645[[#This Row],[Column4]]*Table645[[#This Row],[Column91]])</f>
        <v>0</v>
      </c>
      <c r="CO185" s="217"/>
      <c r="CP185" s="91" t="str">
        <f>IF(Table645[[#This Row],[Column10]]+Table645[[#This Row],[Column87]]=0, "--", IF($D185="", 1, $D185) * IF($J185="", 1, $J185) * $CO$3 * $CO$4 * IF(Table645[[#This Row],[Column95]]="", 1, Table645[[#This Row],[Column95]]) / (24 * 60))</f>
        <v>--</v>
      </c>
      <c r="CQ185" s="164"/>
      <c r="CR185" s="92">
        <f>IF(Table645[[#This Row],[Column94]]="--",0,Table645[[#This Row],[Column4]]*Table645[[#This Row],[Column94]])</f>
        <v>0</v>
      </c>
      <c r="CS185" s="218" t="str">
        <f>IF(Table645[[#This Row],[Column87]]="","",Table645[[#This Row],[Column87]])</f>
        <v/>
      </c>
      <c r="CT185" s="91" t="str">
        <f>IF(Table645[[#This Row],[Column97]]="","--",Table645[[#This Row],[Column97]]/$CS$3/60/24)</f>
        <v>--</v>
      </c>
      <c r="CU185" s="92">
        <f>IF(Table645[[#This Row],[Column98]]="--",0,Table645[[#This Row],[Column4]]*Table645[[#This Row],[Column98]])</f>
        <v>0</v>
      </c>
      <c r="CV185" s="93"/>
      <c r="CW185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85" s="91" t="str">
        <f>IF(OR(Table645[[#This Row],[Column74]]&gt;0,Table645[[#This Row],[Column87]]&gt;0),(Table645[[#This Row],[Column73]]+Table645[[#This Row],[Column86]]+1)*$CW$3/60/24,"--")</f>
        <v>--</v>
      </c>
      <c r="CY185" s="92">
        <f>IF(Table645[[#This Row],[Column102]]="--",0,Table645[[#This Row],[Column4]]*Table645[[#This Row],[Column102]])</f>
        <v>0</v>
      </c>
      <c r="CZ185" s="158" t="str">
        <f t="shared" si="134"/>
        <v>--</v>
      </c>
      <c r="DA185" s="153"/>
      <c r="DB185" s="160">
        <f>IF(Table645[[#This Row],[Column104]]="--",0,Table645[[#This Row],[Column4]]*Table645[[#This Row],[Column104]])</f>
        <v>0</v>
      </c>
      <c r="DC185" s="219"/>
      <c r="DD185" s="220" t="str">
        <f>IF(DC185=0,"--",1/$DC$3*1000/(60*60*24)*Table645[[#This Row],[Column107]])</f>
        <v>--</v>
      </c>
      <c r="DE185" s="160">
        <f>IF(Table645[[#This Row],[Column108]]="--",0,Table645[[#This Row],[Column4]]*Table645[[#This Row],[Column108]])</f>
        <v>0</v>
      </c>
      <c r="DF185" s="101" t="s">
        <v>70</v>
      </c>
      <c r="DG185" s="91" t="str">
        <f t="shared" si="135"/>
        <v>--</v>
      </c>
      <c r="DH185" s="89">
        <f>IF(Table645[[#This Row],[Column111]]="--",0,Table645[[#This Row],[Column4]]*Table645[[#This Row],[Column111]])</f>
        <v>0</v>
      </c>
      <c r="DI185" s="96"/>
      <c r="DJ185" s="96"/>
      <c r="DK185" s="96"/>
      <c r="DL185" s="96"/>
      <c r="DM185" s="96"/>
      <c r="DN185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85" s="89">
        <f>IF(Table645[[#This Row],[Column118]]="--",0,Table645[[#This Row],[Column4]]*Table645[[#This Row],[Column118]])</f>
        <v>0</v>
      </c>
      <c r="DP185" s="96"/>
      <c r="DQ185" s="96"/>
      <c r="DR185" s="91" t="str">
        <f t="shared" si="136"/>
        <v>--</v>
      </c>
      <c r="DS185" s="89">
        <f>IF(Table645[[#This Row],[Column122]]="--",0,Table645[[#This Row],[Column4]]*Table645[[#This Row],[Column122]])</f>
        <v>0</v>
      </c>
      <c r="DT185" t="str">
        <f>IF(Table645[[#This Row],[Column125]]=0,"--",Table645[[#This Row],[Column125]]*Table645[[#This Row],[Column126]]*Table645[[#This Row],[Column127]]/1000000000)</f>
        <v>--</v>
      </c>
      <c r="DU185" s="53"/>
      <c r="DV185" s="53"/>
      <c r="DW185" s="53"/>
      <c r="DX185" s="91" t="str">
        <f t="shared" si="137"/>
        <v>--</v>
      </c>
      <c r="DY185" s="89">
        <f>IF(Table645[[#This Row],[Column128]]="--",0,Table645[[#This Row],[Column4]]*Table645[[#This Row],[Column128]])</f>
        <v>0</v>
      </c>
      <c r="EA185" s="89">
        <f>IF(Table645[[#This Row],[Column128]]="--",0,Table645[[#This Row],[Column4]]*Table645[[#This Row],[Column128]])</f>
        <v>0</v>
      </c>
      <c r="EC185" s="89">
        <f>IF(Table645[[#This Row],[Column128]]="--",0,Table645[[#This Row],[Column4]]*Table645[[#This Row],[Column128]])</f>
        <v>0</v>
      </c>
      <c r="EE185" s="89">
        <f>IF(Table645[[#This Row],[Column128]]="--",0,Table645[[#This Row],[Column4]]*Table645[[#This Row],[Column128]])</f>
        <v>0</v>
      </c>
      <c r="EG185" s="89">
        <f>IF(Table645[[#This Row],[Column128]]="--",0,Table645[[#This Row],[Column4]]*Table645[[#This Row],[Column128]])</f>
        <v>0</v>
      </c>
      <c r="EI185" s="89">
        <f>IF(Table645[[#This Row],[Column128]]="--",0,Table645[[#This Row],[Column4]]*Table645[[#This Row],[Column128]])</f>
        <v>0</v>
      </c>
    </row>
    <row r="186" spans="1:139" x14ac:dyDescent="0.25">
      <c r="A186" s="140"/>
      <c r="B186" s="79"/>
      <c r="C186" s="140"/>
      <c r="D186" s="167"/>
      <c r="E186" s="52"/>
      <c r="F186" s="81"/>
      <c r="G186" s="81"/>
      <c r="H186" s="102" t="str">
        <f t="shared" si="128"/>
        <v>--</v>
      </c>
      <c r="I186" s="100">
        <f>IF(Table645[[#This Row],[Column8]]="--",0,Table645[[#This Row],[Column4]]*Table645[[#This Row],[Column8]])</f>
        <v>0</v>
      </c>
      <c r="J186" s="169"/>
      <c r="K186" s="85">
        <f>Table645[[#This Row],[Column4]]*Table645[[#This Row],[Column10]]</f>
        <v>0</v>
      </c>
      <c r="L186" s="170" t="str">
        <f t="shared" si="129"/>
        <v>--</v>
      </c>
      <c r="M186" s="214">
        <f>IF(Table645[[#This Row],[Column10]]=0,0,Table645[[#This Row],[Column4]]*Table645[[#This Row],[Column12]])</f>
        <v>0</v>
      </c>
      <c r="N186" s="87" t="str">
        <f t="shared" si="130"/>
        <v>--</v>
      </c>
      <c r="O186" s="138"/>
      <c r="AZ186" s="89">
        <f>IF(Table645[[#This Row],[Column14]]="--",0,Table645[[#This Row],[Column4]]*Table645[[#This Row],[Column14]])</f>
        <v>0</v>
      </c>
      <c r="BA186" s="90"/>
      <c r="BB186" s="91" t="str">
        <f>IF(BA186=0,"--",BA186*$BA$3*IF(Table645[[#This Row],[Column5]]&lt;4.1,1,2)/60/24)</f>
        <v>--</v>
      </c>
      <c r="BC186" s="92">
        <f>IF(Table645[[#This Row],[Column54]]="--",0,Table645[[#This Row],[Column4]]*Table645[[#This Row],[Column54]])</f>
        <v>0</v>
      </c>
      <c r="BD186" s="119"/>
      <c r="BE186" s="119"/>
      <c r="BF186" s="119"/>
      <c r="BG186" s="91" t="str">
        <f>IF(BD186+Table645[[#This Row],[Column58]]=0,"--",(BD186*$BF$3*Table645[[#This Row],[Column57]]+Table645[[#This Row],[Column58]]*$BF$4)/60/24)</f>
        <v>--</v>
      </c>
      <c r="BH186" s="92">
        <f>IF(Table645[[#This Row],[Column59]]="--",0,Table645[[#This Row],[Column4]]*Table645[[#This Row],[Column59]])</f>
        <v>0</v>
      </c>
      <c r="BI186" s="119"/>
      <c r="BJ186" s="91" t="str">
        <f t="shared" si="126"/>
        <v>--</v>
      </c>
      <c r="BK186" s="92">
        <f>IF(Table645[[#This Row],[Column62]]="--",0,Table645[[#This Row],[Column4]]*Table645[[#This Row],[Column62]])</f>
        <v>0</v>
      </c>
      <c r="BL186" s="93"/>
      <c r="BM186" s="91" t="str">
        <f t="shared" si="131"/>
        <v>--</v>
      </c>
      <c r="BN186" s="89">
        <f>IF(Table645[[#This Row],[Column65]]="--",0,Table645[[#This Row],[Column4]]*Table645[[#This Row],[Column65]])</f>
        <v>0</v>
      </c>
      <c r="BO186" s="163"/>
      <c r="BP186" s="164" t="str">
        <f t="shared" si="132"/>
        <v>--</v>
      </c>
      <c r="BQ186" s="160">
        <f>IF(Table645[[#This Row],[Column68]]="--",0,Table645[[#This Row],[Column4]]*Table645[[#This Row],[Column68]])</f>
        <v>0</v>
      </c>
      <c r="BR186" s="94"/>
      <c r="BS186" s="91" t="str">
        <f t="shared" si="133"/>
        <v>--</v>
      </c>
      <c r="BT186" s="92">
        <f>IF(Table645[[#This Row],[Column71]]="--",0,Table645[[#This Row],[Column4]]*Table645[[#This Row],[Column71]])</f>
        <v>0</v>
      </c>
      <c r="BU186" s="44"/>
      <c r="BV186" s="90"/>
      <c r="BW186" s="91" t="str">
        <f>IF(BV186=0,"--",(Table645[[#This Row],[Column73]]*$BV$4*(IF(J186&lt;0.5001,1,IF(J186&lt;2.0001,2,3)))+BV186/$BV$3)/60/24)</f>
        <v>--</v>
      </c>
      <c r="BX186" s="92">
        <f>IF(Table645[[#This Row],[Column75]]="--",0,Table645[[#This Row],[Column4]]*Table645[[#This Row],[Column75]])</f>
        <v>0</v>
      </c>
      <c r="BY186" s="95" t="s">
        <v>70</v>
      </c>
      <c r="BZ186" s="91" t="str">
        <f>IF(Table645[[#This Row],[Column74]]=0,"--",BW186*$BY$3)</f>
        <v>--</v>
      </c>
      <c r="CA186" s="89">
        <f>IF(Table645[[#This Row],[Column78]]="--",0,Table645[[#This Row],[Column4]]*Table645[[#This Row],[Column78]])</f>
        <v>0</v>
      </c>
      <c r="CB186" s="95" t="s">
        <v>70</v>
      </c>
      <c r="CC186" s="91" t="str">
        <f>IF(Table645[[#This Row],[Column10]]+Table645[[#This Row],[Column74]]=0,"--",J186*$CB$4*$CB$5/(24*60)+IF(Table645[[#This Row],[Column74]]=0,0,$CB$3*Table645[[#This Row],[Column75]]))</f>
        <v>--</v>
      </c>
      <c r="CD186" s="92">
        <f>IF(Table645[[#This Row],[Column81]]="--",0,Table645[[#This Row],[Column4]]*Table645[[#This Row],[Column81]])</f>
        <v>0</v>
      </c>
      <c r="CE186" s="215"/>
      <c r="CF186" s="91" t="str">
        <f t="shared" si="127"/>
        <v>--</v>
      </c>
      <c r="CG186" s="92">
        <f>IF(Table645[[#This Row],[Column84]]="--",0,Table645[[#This Row],[Column4]]*Table645[[#This Row],[Column84]])</f>
        <v>0</v>
      </c>
      <c r="CH186" s="226"/>
      <c r="CI186" s="216"/>
      <c r="CJ186" s="91" t="str">
        <f>IF(CI186=0,"--",(Table645[[#This Row],[Column86]]*$CI$4*(IF(W186&lt;0.5001,1,IF(W186&lt;2.0001,2,3)))+CI186/$CI$3)/60/24)</f>
        <v>--</v>
      </c>
      <c r="CK186" s="92">
        <f>IF(Table645[[#This Row],[Column88]]="--",0,Table645[[#This Row],[Column4]]*Table645[[#This Row],[Column88]])</f>
        <v>0</v>
      </c>
      <c r="CL186" s="217"/>
      <c r="CM186" s="91" t="str">
        <f>IF(Table645[[#This Row],[Column87]]=0,"--",CJ186*$CL$3)</f>
        <v>--</v>
      </c>
      <c r="CN186" s="92">
        <f>IF(Table645[[#This Row],[Column91]]="--",0,Table645[[#This Row],[Column4]]*Table645[[#This Row],[Column91]])</f>
        <v>0</v>
      </c>
      <c r="CO186" s="217"/>
      <c r="CP186" s="91" t="str">
        <f>IF(Table645[[#This Row],[Column10]]+Table645[[#This Row],[Column87]]=0, "--", IF($D186="", 1, $D186) * IF($J186="", 1, $J186) * $CO$3 * $CO$4 * IF(Table645[[#This Row],[Column95]]="", 1, Table645[[#This Row],[Column95]]) / (24 * 60))</f>
        <v>--</v>
      </c>
      <c r="CQ186" s="164"/>
      <c r="CR186" s="92">
        <f>IF(Table645[[#This Row],[Column94]]="--",0,Table645[[#This Row],[Column4]]*Table645[[#This Row],[Column94]])</f>
        <v>0</v>
      </c>
      <c r="CS186" s="218" t="str">
        <f>IF(Table645[[#This Row],[Column87]]="","",Table645[[#This Row],[Column87]])</f>
        <v/>
      </c>
      <c r="CT186" s="91" t="str">
        <f>IF(Table645[[#This Row],[Column97]]="","--",Table645[[#This Row],[Column97]]/$CS$3/60/24)</f>
        <v>--</v>
      </c>
      <c r="CU186" s="92">
        <f>IF(Table645[[#This Row],[Column98]]="--",0,Table645[[#This Row],[Column4]]*Table645[[#This Row],[Column98]])</f>
        <v>0</v>
      </c>
      <c r="CV186" s="93"/>
      <c r="CW186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86" s="91" t="str">
        <f>IF(OR(Table645[[#This Row],[Column74]]&gt;0,Table645[[#This Row],[Column87]]&gt;0),(Table645[[#This Row],[Column73]]+Table645[[#This Row],[Column86]]+1)*$CW$3/60/24,"--")</f>
        <v>--</v>
      </c>
      <c r="CY186" s="92">
        <f>IF(Table645[[#This Row],[Column102]]="--",0,Table645[[#This Row],[Column4]]*Table645[[#This Row],[Column102]])</f>
        <v>0</v>
      </c>
      <c r="CZ186" s="158" t="str">
        <f t="shared" si="134"/>
        <v>--</v>
      </c>
      <c r="DA186" s="153"/>
      <c r="DB186" s="160">
        <f>IF(Table645[[#This Row],[Column104]]="--",0,Table645[[#This Row],[Column4]]*Table645[[#This Row],[Column104]])</f>
        <v>0</v>
      </c>
      <c r="DC186" s="219"/>
      <c r="DD186" s="220" t="str">
        <f>IF(DC186=0,"--",1/$DC$3*1000/(60*60*24)*Table645[[#This Row],[Column107]])</f>
        <v>--</v>
      </c>
      <c r="DE186" s="160">
        <f>IF(Table645[[#This Row],[Column108]]="--",0,Table645[[#This Row],[Column4]]*Table645[[#This Row],[Column108]])</f>
        <v>0</v>
      </c>
      <c r="DF186" s="101" t="s">
        <v>70</v>
      </c>
      <c r="DG186" s="91" t="str">
        <f t="shared" si="135"/>
        <v>--</v>
      </c>
      <c r="DH186" s="89">
        <f>IF(Table645[[#This Row],[Column111]]="--",0,Table645[[#This Row],[Column4]]*Table645[[#This Row],[Column111]])</f>
        <v>0</v>
      </c>
      <c r="DI186" s="96"/>
      <c r="DJ186" s="96"/>
      <c r="DK186" s="96"/>
      <c r="DL186" s="96"/>
      <c r="DM186" s="96"/>
      <c r="DN186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86" s="89">
        <f>IF(Table645[[#This Row],[Column118]]="--",0,Table645[[#This Row],[Column4]]*Table645[[#This Row],[Column118]])</f>
        <v>0</v>
      </c>
      <c r="DP186" s="96"/>
      <c r="DQ186" s="96"/>
      <c r="DR186" s="91" t="str">
        <f t="shared" si="136"/>
        <v>--</v>
      </c>
      <c r="DS186" s="89">
        <f>IF(Table645[[#This Row],[Column122]]="--",0,Table645[[#This Row],[Column4]]*Table645[[#This Row],[Column122]])</f>
        <v>0</v>
      </c>
      <c r="DT186" t="str">
        <f>IF(Table645[[#This Row],[Column125]]=0,"--",Table645[[#This Row],[Column125]]*Table645[[#This Row],[Column126]]*Table645[[#This Row],[Column127]]/1000000000)</f>
        <v>--</v>
      </c>
      <c r="DU186" s="53"/>
      <c r="DV186" s="53"/>
      <c r="DW186" s="53"/>
      <c r="DX186" s="91" t="str">
        <f t="shared" si="137"/>
        <v>--</v>
      </c>
      <c r="DY186" s="89">
        <f>IF(Table645[[#This Row],[Column128]]="--",0,Table645[[#This Row],[Column4]]*Table645[[#This Row],[Column128]])</f>
        <v>0</v>
      </c>
      <c r="EA186" s="89">
        <f>IF(Table645[[#This Row],[Column128]]="--",0,Table645[[#This Row],[Column4]]*Table645[[#This Row],[Column128]])</f>
        <v>0</v>
      </c>
      <c r="EC186" s="89">
        <f>IF(Table645[[#This Row],[Column128]]="--",0,Table645[[#This Row],[Column4]]*Table645[[#This Row],[Column128]])</f>
        <v>0</v>
      </c>
      <c r="EE186" s="89">
        <f>IF(Table645[[#This Row],[Column128]]="--",0,Table645[[#This Row],[Column4]]*Table645[[#This Row],[Column128]])</f>
        <v>0</v>
      </c>
      <c r="EG186" s="89">
        <f>IF(Table645[[#This Row],[Column128]]="--",0,Table645[[#This Row],[Column4]]*Table645[[#This Row],[Column128]])</f>
        <v>0</v>
      </c>
      <c r="EI186" s="89">
        <f>IF(Table645[[#This Row],[Column128]]="--",0,Table645[[#This Row],[Column4]]*Table645[[#This Row],[Column128]])</f>
        <v>0</v>
      </c>
    </row>
    <row r="187" spans="1:139" x14ac:dyDescent="0.25">
      <c r="A187" s="140"/>
      <c r="B187" s="79"/>
      <c r="C187" s="140"/>
      <c r="D187" s="167"/>
      <c r="E187" s="52"/>
      <c r="F187" s="81"/>
      <c r="G187" s="81"/>
      <c r="H187" s="102" t="str">
        <f t="shared" si="128"/>
        <v>--</v>
      </c>
      <c r="I187" s="100">
        <f>IF(Table645[[#This Row],[Column8]]="--",0,Table645[[#This Row],[Column4]]*Table645[[#This Row],[Column8]])</f>
        <v>0</v>
      </c>
      <c r="J187" s="169"/>
      <c r="K187" s="85">
        <f>Table645[[#This Row],[Column4]]*Table645[[#This Row],[Column10]]</f>
        <v>0</v>
      </c>
      <c r="L187" s="170" t="str">
        <f t="shared" si="129"/>
        <v>--</v>
      </c>
      <c r="M187" s="214">
        <f>IF(Table645[[#This Row],[Column10]]=0,0,Table645[[#This Row],[Column4]]*Table645[[#This Row],[Column12]])</f>
        <v>0</v>
      </c>
      <c r="N187" s="87" t="str">
        <f t="shared" si="130"/>
        <v>--</v>
      </c>
      <c r="O187" s="138"/>
      <c r="AZ187" s="89">
        <f>IF(Table645[[#This Row],[Column14]]="--",0,Table645[[#This Row],[Column4]]*Table645[[#This Row],[Column14]])</f>
        <v>0</v>
      </c>
      <c r="BA187" s="90"/>
      <c r="BB187" s="91" t="str">
        <f>IF(BA187=0,"--",BA187*$BA$3*IF(Table645[[#This Row],[Column5]]&lt;4.1,1,2)/60/24)</f>
        <v>--</v>
      </c>
      <c r="BC187" s="92">
        <f>IF(Table645[[#This Row],[Column54]]="--",0,Table645[[#This Row],[Column4]]*Table645[[#This Row],[Column54]])</f>
        <v>0</v>
      </c>
      <c r="BD187" s="119"/>
      <c r="BE187" s="119"/>
      <c r="BF187" s="119"/>
      <c r="BG187" s="91" t="str">
        <f>IF(BD187+Table645[[#This Row],[Column58]]=0,"--",(BD187*$BF$3*Table645[[#This Row],[Column57]]+Table645[[#This Row],[Column58]]*$BF$4)/60/24)</f>
        <v>--</v>
      </c>
      <c r="BH187" s="92">
        <f>IF(Table645[[#This Row],[Column59]]="--",0,Table645[[#This Row],[Column4]]*Table645[[#This Row],[Column59]])</f>
        <v>0</v>
      </c>
      <c r="BI187" s="119"/>
      <c r="BJ187" s="91" t="str">
        <f t="shared" si="126"/>
        <v>--</v>
      </c>
      <c r="BK187" s="92">
        <f>IF(Table645[[#This Row],[Column62]]="--",0,Table645[[#This Row],[Column4]]*Table645[[#This Row],[Column62]])</f>
        <v>0</v>
      </c>
      <c r="BL187" s="93"/>
      <c r="BM187" s="91" t="str">
        <f t="shared" si="131"/>
        <v>--</v>
      </c>
      <c r="BN187" s="89">
        <f>IF(Table645[[#This Row],[Column65]]="--",0,Table645[[#This Row],[Column4]]*Table645[[#This Row],[Column65]])</f>
        <v>0</v>
      </c>
      <c r="BO187" s="163"/>
      <c r="BP187" s="164" t="str">
        <f t="shared" si="132"/>
        <v>--</v>
      </c>
      <c r="BQ187" s="160">
        <f>IF(Table645[[#This Row],[Column68]]="--",0,Table645[[#This Row],[Column4]]*Table645[[#This Row],[Column68]])</f>
        <v>0</v>
      </c>
      <c r="BR187" s="94"/>
      <c r="BS187" s="91" t="str">
        <f t="shared" si="133"/>
        <v>--</v>
      </c>
      <c r="BT187" s="92">
        <f>IF(Table645[[#This Row],[Column71]]="--",0,Table645[[#This Row],[Column4]]*Table645[[#This Row],[Column71]])</f>
        <v>0</v>
      </c>
      <c r="BU187" s="44"/>
      <c r="BV187" s="90"/>
      <c r="BW187" s="91" t="str">
        <f>IF(BV187=0,"--",(Table645[[#This Row],[Column73]]*$BV$4*(IF(J187&lt;0.5001,1,IF(J187&lt;2.0001,2,3)))+BV187/$BV$3)/60/24)</f>
        <v>--</v>
      </c>
      <c r="BX187" s="92">
        <f>IF(Table645[[#This Row],[Column75]]="--",0,Table645[[#This Row],[Column4]]*Table645[[#This Row],[Column75]])</f>
        <v>0</v>
      </c>
      <c r="BY187" s="95" t="s">
        <v>70</v>
      </c>
      <c r="BZ187" s="91" t="str">
        <f>IF(Table645[[#This Row],[Column74]]=0,"--",BW187*$BY$3)</f>
        <v>--</v>
      </c>
      <c r="CA187" s="89">
        <f>IF(Table645[[#This Row],[Column78]]="--",0,Table645[[#This Row],[Column4]]*Table645[[#This Row],[Column78]])</f>
        <v>0</v>
      </c>
      <c r="CB187" s="95" t="s">
        <v>70</v>
      </c>
      <c r="CC187" s="91" t="str">
        <f>IF(Table645[[#This Row],[Column10]]+Table645[[#This Row],[Column74]]=0,"--",J187*$CB$4*$CB$5/(24*60)+IF(Table645[[#This Row],[Column74]]=0,0,$CB$3*Table645[[#This Row],[Column75]]))</f>
        <v>--</v>
      </c>
      <c r="CD187" s="92">
        <f>IF(Table645[[#This Row],[Column81]]="--",0,Table645[[#This Row],[Column4]]*Table645[[#This Row],[Column81]])</f>
        <v>0</v>
      </c>
      <c r="CE187" s="215"/>
      <c r="CF187" s="91" t="str">
        <f t="shared" si="127"/>
        <v>--</v>
      </c>
      <c r="CG187" s="92">
        <f>IF(Table645[[#This Row],[Column84]]="--",0,Table645[[#This Row],[Column4]]*Table645[[#This Row],[Column84]])</f>
        <v>0</v>
      </c>
      <c r="CH187" s="226"/>
      <c r="CI187" s="216"/>
      <c r="CJ187" s="91" t="str">
        <f>IF(CI187=0,"--",(Table645[[#This Row],[Column86]]*$CI$4*(IF(W187&lt;0.5001,1,IF(W187&lt;2.0001,2,3)))+CI187/$CI$3)/60/24)</f>
        <v>--</v>
      </c>
      <c r="CK187" s="92">
        <f>IF(Table645[[#This Row],[Column88]]="--",0,Table645[[#This Row],[Column4]]*Table645[[#This Row],[Column88]])</f>
        <v>0</v>
      </c>
      <c r="CL187" s="217"/>
      <c r="CM187" s="91" t="str">
        <f>IF(Table645[[#This Row],[Column87]]=0,"--",CJ187*$CL$3)</f>
        <v>--</v>
      </c>
      <c r="CN187" s="92">
        <f>IF(Table645[[#This Row],[Column91]]="--",0,Table645[[#This Row],[Column4]]*Table645[[#This Row],[Column91]])</f>
        <v>0</v>
      </c>
      <c r="CO187" s="217"/>
      <c r="CP187" s="91" t="str">
        <f>IF(Table645[[#This Row],[Column10]]+Table645[[#This Row],[Column87]]=0, "--", IF($D187="", 1, $D187) * IF($J187="", 1, $J187) * $CO$3 * $CO$4 * IF(Table645[[#This Row],[Column95]]="", 1, Table645[[#This Row],[Column95]]) / (24 * 60))</f>
        <v>--</v>
      </c>
      <c r="CQ187" s="164"/>
      <c r="CR187" s="92">
        <f>IF(Table645[[#This Row],[Column94]]="--",0,Table645[[#This Row],[Column4]]*Table645[[#This Row],[Column94]])</f>
        <v>0</v>
      </c>
      <c r="CS187" s="218" t="str">
        <f>IF(Table645[[#This Row],[Column87]]="","",Table645[[#This Row],[Column87]])</f>
        <v/>
      </c>
      <c r="CT187" s="91" t="str">
        <f>IF(Table645[[#This Row],[Column97]]="","--",Table645[[#This Row],[Column97]]/$CS$3/60/24)</f>
        <v>--</v>
      </c>
      <c r="CU187" s="92">
        <f>IF(Table645[[#This Row],[Column98]]="--",0,Table645[[#This Row],[Column4]]*Table645[[#This Row],[Column98]])</f>
        <v>0</v>
      </c>
      <c r="CV187" s="93"/>
      <c r="CW187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87" s="91" t="str">
        <f>IF(OR(Table645[[#This Row],[Column74]]&gt;0,Table645[[#This Row],[Column87]]&gt;0),(Table645[[#This Row],[Column73]]+Table645[[#This Row],[Column86]]+1)*$CW$3/60/24,"--")</f>
        <v>--</v>
      </c>
      <c r="CY187" s="92">
        <f>IF(Table645[[#This Row],[Column102]]="--",0,Table645[[#This Row],[Column4]]*Table645[[#This Row],[Column102]])</f>
        <v>0</v>
      </c>
      <c r="CZ187" s="158" t="str">
        <f t="shared" si="134"/>
        <v>--</v>
      </c>
      <c r="DA187" s="153"/>
      <c r="DB187" s="160">
        <f>IF(Table645[[#This Row],[Column104]]="--",0,Table645[[#This Row],[Column4]]*Table645[[#This Row],[Column104]])</f>
        <v>0</v>
      </c>
      <c r="DC187" s="219"/>
      <c r="DD187" s="220" t="str">
        <f>IF(DC187=0,"--",1/$DC$3*1000/(60*60*24)*Table645[[#This Row],[Column107]])</f>
        <v>--</v>
      </c>
      <c r="DE187" s="160">
        <f>IF(Table645[[#This Row],[Column108]]="--",0,Table645[[#This Row],[Column4]]*Table645[[#This Row],[Column108]])</f>
        <v>0</v>
      </c>
      <c r="DF187" s="101" t="s">
        <v>70</v>
      </c>
      <c r="DG187" s="91" t="str">
        <f t="shared" si="135"/>
        <v>--</v>
      </c>
      <c r="DH187" s="89">
        <f>IF(Table645[[#This Row],[Column111]]="--",0,Table645[[#This Row],[Column4]]*Table645[[#This Row],[Column111]])</f>
        <v>0</v>
      </c>
      <c r="DI187" s="96"/>
      <c r="DJ187" s="96"/>
      <c r="DK187" s="96"/>
      <c r="DL187" s="96"/>
      <c r="DM187" s="96"/>
      <c r="DN187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87" s="89">
        <f>IF(Table645[[#This Row],[Column118]]="--",0,Table645[[#This Row],[Column4]]*Table645[[#This Row],[Column118]])</f>
        <v>0</v>
      </c>
      <c r="DP187" s="96"/>
      <c r="DQ187" s="96"/>
      <c r="DR187" s="91" t="str">
        <f t="shared" si="136"/>
        <v>--</v>
      </c>
      <c r="DS187" s="89">
        <f>IF(Table645[[#This Row],[Column122]]="--",0,Table645[[#This Row],[Column4]]*Table645[[#This Row],[Column122]])</f>
        <v>0</v>
      </c>
      <c r="DT187" t="str">
        <f>IF(Table645[[#This Row],[Column125]]=0,"--",Table645[[#This Row],[Column125]]*Table645[[#This Row],[Column126]]*Table645[[#This Row],[Column127]]/1000000000)</f>
        <v>--</v>
      </c>
      <c r="DU187" s="53"/>
      <c r="DV187" s="53"/>
      <c r="DW187" s="53"/>
      <c r="DX187" s="91" t="str">
        <f t="shared" si="137"/>
        <v>--</v>
      </c>
      <c r="DY187" s="89">
        <f>IF(Table645[[#This Row],[Column128]]="--",0,Table645[[#This Row],[Column4]]*Table645[[#This Row],[Column128]])</f>
        <v>0</v>
      </c>
      <c r="EA187" s="89">
        <f>IF(Table645[[#This Row],[Column128]]="--",0,Table645[[#This Row],[Column4]]*Table645[[#This Row],[Column128]])</f>
        <v>0</v>
      </c>
      <c r="EC187" s="89">
        <f>IF(Table645[[#This Row],[Column128]]="--",0,Table645[[#This Row],[Column4]]*Table645[[#This Row],[Column128]])</f>
        <v>0</v>
      </c>
      <c r="EE187" s="89">
        <f>IF(Table645[[#This Row],[Column128]]="--",0,Table645[[#This Row],[Column4]]*Table645[[#This Row],[Column128]])</f>
        <v>0</v>
      </c>
      <c r="EG187" s="89">
        <f>IF(Table645[[#This Row],[Column128]]="--",0,Table645[[#This Row],[Column4]]*Table645[[#This Row],[Column128]])</f>
        <v>0</v>
      </c>
      <c r="EI187" s="89">
        <f>IF(Table645[[#This Row],[Column128]]="--",0,Table645[[#This Row],[Column4]]*Table645[[#This Row],[Column128]])</f>
        <v>0</v>
      </c>
    </row>
    <row r="188" spans="1:139" x14ac:dyDescent="0.25">
      <c r="A188" s="140"/>
      <c r="B188" s="79"/>
      <c r="C188" s="140"/>
      <c r="D188" s="167"/>
      <c r="E188" s="52"/>
      <c r="F188" s="81"/>
      <c r="G188" s="81"/>
      <c r="H188" s="102" t="str">
        <f t="shared" si="128"/>
        <v>--</v>
      </c>
      <c r="I188" s="100">
        <f>IF(Table645[[#This Row],[Column8]]="--",0,Table645[[#This Row],[Column4]]*Table645[[#This Row],[Column8]])</f>
        <v>0</v>
      </c>
      <c r="J188" s="169"/>
      <c r="K188" s="85">
        <f>Table645[[#This Row],[Column4]]*Table645[[#This Row],[Column10]]</f>
        <v>0</v>
      </c>
      <c r="L188" s="170" t="str">
        <f t="shared" si="129"/>
        <v>--</v>
      </c>
      <c r="M188" s="214">
        <f>IF(Table645[[#This Row],[Column10]]=0,0,Table645[[#This Row],[Column4]]*Table645[[#This Row],[Column12]])</f>
        <v>0</v>
      </c>
      <c r="N188" s="87" t="str">
        <f t="shared" si="130"/>
        <v>--</v>
      </c>
      <c r="O188" s="138"/>
      <c r="AZ188" s="89">
        <f>IF(Table645[[#This Row],[Column14]]="--",0,Table645[[#This Row],[Column4]]*Table645[[#This Row],[Column14]])</f>
        <v>0</v>
      </c>
      <c r="BA188" s="90"/>
      <c r="BB188" s="91" t="str">
        <f>IF(BA188=0,"--",BA188*$BA$3*IF(Table645[[#This Row],[Column5]]&lt;4.1,1,2)/60/24)</f>
        <v>--</v>
      </c>
      <c r="BC188" s="92">
        <f>IF(Table645[[#This Row],[Column54]]="--",0,Table645[[#This Row],[Column4]]*Table645[[#This Row],[Column54]])</f>
        <v>0</v>
      </c>
      <c r="BD188" s="119"/>
      <c r="BE188" s="119"/>
      <c r="BF188" s="119"/>
      <c r="BG188" s="91" t="str">
        <f>IF(BD188+Table645[[#This Row],[Column58]]=0,"--",(BD188*$BF$3*Table645[[#This Row],[Column57]]+Table645[[#This Row],[Column58]]*$BF$4)/60/24)</f>
        <v>--</v>
      </c>
      <c r="BH188" s="92">
        <f>IF(Table645[[#This Row],[Column59]]="--",0,Table645[[#This Row],[Column4]]*Table645[[#This Row],[Column59]])</f>
        <v>0</v>
      </c>
      <c r="BI188" s="119"/>
      <c r="BJ188" s="91" t="str">
        <f t="shared" si="126"/>
        <v>--</v>
      </c>
      <c r="BK188" s="92">
        <f>IF(Table645[[#This Row],[Column62]]="--",0,Table645[[#This Row],[Column4]]*Table645[[#This Row],[Column62]])</f>
        <v>0</v>
      </c>
      <c r="BL188" s="93"/>
      <c r="BM188" s="91" t="str">
        <f t="shared" si="131"/>
        <v>--</v>
      </c>
      <c r="BN188" s="89">
        <f>IF(Table645[[#This Row],[Column65]]="--",0,Table645[[#This Row],[Column4]]*Table645[[#This Row],[Column65]])</f>
        <v>0</v>
      </c>
      <c r="BO188" s="163"/>
      <c r="BP188" s="164" t="str">
        <f t="shared" si="132"/>
        <v>--</v>
      </c>
      <c r="BQ188" s="160">
        <f>IF(Table645[[#This Row],[Column68]]="--",0,Table645[[#This Row],[Column4]]*Table645[[#This Row],[Column68]])</f>
        <v>0</v>
      </c>
      <c r="BR188" s="94"/>
      <c r="BS188" s="91" t="str">
        <f t="shared" si="133"/>
        <v>--</v>
      </c>
      <c r="BT188" s="92">
        <f>IF(Table645[[#This Row],[Column71]]="--",0,Table645[[#This Row],[Column4]]*Table645[[#This Row],[Column71]])</f>
        <v>0</v>
      </c>
      <c r="BU188" s="44"/>
      <c r="BV188" s="90"/>
      <c r="BW188" s="91" t="str">
        <f>IF(BV188=0,"--",(Table645[[#This Row],[Column73]]*$BV$4*(IF(J188&lt;0.5001,1,IF(J188&lt;2.0001,2,3)))+BV188/$BV$3)/60/24)</f>
        <v>--</v>
      </c>
      <c r="BX188" s="92">
        <f>IF(Table645[[#This Row],[Column75]]="--",0,Table645[[#This Row],[Column4]]*Table645[[#This Row],[Column75]])</f>
        <v>0</v>
      </c>
      <c r="BY188" s="95" t="s">
        <v>70</v>
      </c>
      <c r="BZ188" s="91" t="str">
        <f>IF(Table645[[#This Row],[Column74]]=0,"--",BW188*$BY$3)</f>
        <v>--</v>
      </c>
      <c r="CA188" s="89">
        <f>IF(Table645[[#This Row],[Column78]]="--",0,Table645[[#This Row],[Column4]]*Table645[[#This Row],[Column78]])</f>
        <v>0</v>
      </c>
      <c r="CB188" s="95" t="s">
        <v>70</v>
      </c>
      <c r="CC188" s="91" t="str">
        <f>IF(Table645[[#This Row],[Column10]]+Table645[[#This Row],[Column74]]=0,"--",J188*$CB$4*$CB$5/(24*60)+IF(Table645[[#This Row],[Column74]]=0,0,$CB$3*Table645[[#This Row],[Column75]]))</f>
        <v>--</v>
      </c>
      <c r="CD188" s="92">
        <f>IF(Table645[[#This Row],[Column81]]="--",0,Table645[[#This Row],[Column4]]*Table645[[#This Row],[Column81]])</f>
        <v>0</v>
      </c>
      <c r="CE188" s="215"/>
      <c r="CF188" s="91" t="str">
        <f t="shared" si="127"/>
        <v>--</v>
      </c>
      <c r="CG188" s="92">
        <f>IF(Table645[[#This Row],[Column84]]="--",0,Table645[[#This Row],[Column4]]*Table645[[#This Row],[Column84]])</f>
        <v>0</v>
      </c>
      <c r="CH188" s="226"/>
      <c r="CI188" s="216"/>
      <c r="CJ188" s="91" t="str">
        <f>IF(CI188=0,"--",(Table645[[#This Row],[Column86]]*$CI$4*(IF(W188&lt;0.5001,1,IF(W188&lt;2.0001,2,3)))+CI188/$CI$3)/60/24)</f>
        <v>--</v>
      </c>
      <c r="CK188" s="92">
        <f>IF(Table645[[#This Row],[Column88]]="--",0,Table645[[#This Row],[Column4]]*Table645[[#This Row],[Column88]])</f>
        <v>0</v>
      </c>
      <c r="CL188" s="217"/>
      <c r="CM188" s="91" t="str">
        <f>IF(Table645[[#This Row],[Column87]]=0,"--",CJ188*$CL$3)</f>
        <v>--</v>
      </c>
      <c r="CN188" s="92">
        <f>IF(Table645[[#This Row],[Column91]]="--",0,Table645[[#This Row],[Column4]]*Table645[[#This Row],[Column91]])</f>
        <v>0</v>
      </c>
      <c r="CO188" s="217"/>
      <c r="CP188" s="91" t="str">
        <f>IF(Table645[[#This Row],[Column10]]+Table645[[#This Row],[Column87]]=0, "--", IF($D188="", 1, $D188) * IF($J188="", 1, $J188) * $CO$3 * $CO$4 * IF(Table645[[#This Row],[Column95]]="", 1, Table645[[#This Row],[Column95]]) / (24 * 60))</f>
        <v>--</v>
      </c>
      <c r="CQ188" s="164"/>
      <c r="CR188" s="92">
        <f>IF(Table645[[#This Row],[Column94]]="--",0,Table645[[#This Row],[Column4]]*Table645[[#This Row],[Column94]])</f>
        <v>0</v>
      </c>
      <c r="CS188" s="218" t="str">
        <f>IF(Table645[[#This Row],[Column87]]="","",Table645[[#This Row],[Column87]])</f>
        <v/>
      </c>
      <c r="CT188" s="91" t="str">
        <f>IF(Table645[[#This Row],[Column97]]="","--",Table645[[#This Row],[Column97]]/$CS$3/60/24)</f>
        <v>--</v>
      </c>
      <c r="CU188" s="92">
        <f>IF(Table645[[#This Row],[Column98]]="--",0,Table645[[#This Row],[Column4]]*Table645[[#This Row],[Column98]])</f>
        <v>0</v>
      </c>
      <c r="CV188" s="93"/>
      <c r="CW188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88" s="91" t="str">
        <f>IF(OR(Table645[[#This Row],[Column74]]&gt;0,Table645[[#This Row],[Column87]]&gt;0),(Table645[[#This Row],[Column73]]+Table645[[#This Row],[Column86]]+1)*$CW$3/60/24,"--")</f>
        <v>--</v>
      </c>
      <c r="CY188" s="92">
        <f>IF(Table645[[#This Row],[Column102]]="--",0,Table645[[#This Row],[Column4]]*Table645[[#This Row],[Column102]])</f>
        <v>0</v>
      </c>
      <c r="CZ188" s="158" t="str">
        <f t="shared" si="134"/>
        <v>--</v>
      </c>
      <c r="DA188" s="153"/>
      <c r="DB188" s="160">
        <f>IF(Table645[[#This Row],[Column104]]="--",0,Table645[[#This Row],[Column4]]*Table645[[#This Row],[Column104]])</f>
        <v>0</v>
      </c>
      <c r="DC188" s="219"/>
      <c r="DD188" s="220" t="str">
        <f>IF(DC188=0,"--",1/$DC$3*1000/(60*60*24)*Table645[[#This Row],[Column107]])</f>
        <v>--</v>
      </c>
      <c r="DE188" s="160">
        <f>IF(Table645[[#This Row],[Column108]]="--",0,Table645[[#This Row],[Column4]]*Table645[[#This Row],[Column108]])</f>
        <v>0</v>
      </c>
      <c r="DF188" s="101" t="s">
        <v>70</v>
      </c>
      <c r="DG188" s="91" t="str">
        <f t="shared" si="135"/>
        <v>--</v>
      </c>
      <c r="DH188" s="89">
        <f>IF(Table645[[#This Row],[Column111]]="--",0,Table645[[#This Row],[Column4]]*Table645[[#This Row],[Column111]])</f>
        <v>0</v>
      </c>
      <c r="DI188" s="96"/>
      <c r="DJ188" s="96"/>
      <c r="DK188" s="96"/>
      <c r="DL188" s="96"/>
      <c r="DM188" s="96"/>
      <c r="DN188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88" s="89">
        <f>IF(Table645[[#This Row],[Column118]]="--",0,Table645[[#This Row],[Column4]]*Table645[[#This Row],[Column118]])</f>
        <v>0</v>
      </c>
      <c r="DP188" s="96"/>
      <c r="DQ188" s="96"/>
      <c r="DR188" s="91" t="str">
        <f t="shared" si="136"/>
        <v>--</v>
      </c>
      <c r="DS188" s="89">
        <f>IF(Table645[[#This Row],[Column122]]="--",0,Table645[[#This Row],[Column4]]*Table645[[#This Row],[Column122]])</f>
        <v>0</v>
      </c>
      <c r="DT188" t="str">
        <f>IF(Table645[[#This Row],[Column125]]=0,"--",Table645[[#This Row],[Column125]]*Table645[[#This Row],[Column126]]*Table645[[#This Row],[Column127]]/1000000000)</f>
        <v>--</v>
      </c>
      <c r="DU188" s="53"/>
      <c r="DV188" s="53"/>
      <c r="DW188" s="53"/>
      <c r="DX188" s="91" t="str">
        <f t="shared" si="137"/>
        <v>--</v>
      </c>
      <c r="DY188" s="89">
        <f>IF(Table645[[#This Row],[Column128]]="--",0,Table645[[#This Row],[Column4]]*Table645[[#This Row],[Column128]])</f>
        <v>0</v>
      </c>
      <c r="EA188" s="89">
        <f>IF(Table645[[#This Row],[Column128]]="--",0,Table645[[#This Row],[Column4]]*Table645[[#This Row],[Column128]])</f>
        <v>0</v>
      </c>
      <c r="EC188" s="89">
        <f>IF(Table645[[#This Row],[Column128]]="--",0,Table645[[#This Row],[Column4]]*Table645[[#This Row],[Column128]])</f>
        <v>0</v>
      </c>
      <c r="EE188" s="89">
        <f>IF(Table645[[#This Row],[Column128]]="--",0,Table645[[#This Row],[Column4]]*Table645[[#This Row],[Column128]])</f>
        <v>0</v>
      </c>
      <c r="EG188" s="89">
        <f>IF(Table645[[#This Row],[Column128]]="--",0,Table645[[#This Row],[Column4]]*Table645[[#This Row],[Column128]])</f>
        <v>0</v>
      </c>
      <c r="EI188" s="89">
        <f>IF(Table645[[#This Row],[Column128]]="--",0,Table645[[#This Row],[Column4]]*Table645[[#This Row],[Column128]])</f>
        <v>0</v>
      </c>
    </row>
    <row r="189" spans="1:139" x14ac:dyDescent="0.25">
      <c r="A189" s="140"/>
      <c r="B189" s="79"/>
      <c r="C189" s="140"/>
      <c r="D189" s="167"/>
      <c r="E189" s="52"/>
      <c r="F189" s="81"/>
      <c r="G189" s="81"/>
      <c r="H189" s="102" t="str">
        <f t="shared" si="128"/>
        <v>--</v>
      </c>
      <c r="I189" s="100">
        <f>IF(Table645[[#This Row],[Column8]]="--",0,Table645[[#This Row],[Column4]]*Table645[[#This Row],[Column8]])</f>
        <v>0</v>
      </c>
      <c r="J189" s="169"/>
      <c r="K189" s="85">
        <f>Table645[[#This Row],[Column4]]*Table645[[#This Row],[Column10]]</f>
        <v>0</v>
      </c>
      <c r="L189" s="170" t="str">
        <f t="shared" si="129"/>
        <v>--</v>
      </c>
      <c r="M189" s="214">
        <f>IF(Table645[[#This Row],[Column10]]=0,0,Table645[[#This Row],[Column4]]*Table645[[#This Row],[Column12]])</f>
        <v>0</v>
      </c>
      <c r="N189" s="87" t="str">
        <f t="shared" si="130"/>
        <v>--</v>
      </c>
      <c r="O189" s="138"/>
      <c r="AZ189" s="89">
        <f>IF(Table645[[#This Row],[Column14]]="--",0,Table645[[#This Row],[Column4]]*Table645[[#This Row],[Column14]])</f>
        <v>0</v>
      </c>
      <c r="BA189" s="90"/>
      <c r="BB189" s="91" t="str">
        <f>IF(BA189=0,"--",BA189*$BA$3*IF(Table645[[#This Row],[Column5]]&lt;4.1,1,2)/60/24)</f>
        <v>--</v>
      </c>
      <c r="BC189" s="92">
        <f>IF(Table645[[#This Row],[Column54]]="--",0,Table645[[#This Row],[Column4]]*Table645[[#This Row],[Column54]])</f>
        <v>0</v>
      </c>
      <c r="BD189" s="119"/>
      <c r="BE189" s="119"/>
      <c r="BF189" s="119"/>
      <c r="BG189" s="91" t="str">
        <f>IF(BD189+Table645[[#This Row],[Column58]]=0,"--",(BD189*$BF$3*Table645[[#This Row],[Column57]]+Table645[[#This Row],[Column58]]*$BF$4)/60/24)</f>
        <v>--</v>
      </c>
      <c r="BH189" s="92">
        <f>IF(Table645[[#This Row],[Column59]]="--",0,Table645[[#This Row],[Column4]]*Table645[[#This Row],[Column59]])</f>
        <v>0</v>
      </c>
      <c r="BI189" s="119"/>
      <c r="BJ189" s="91" t="str">
        <f t="shared" si="126"/>
        <v>--</v>
      </c>
      <c r="BK189" s="92">
        <f>IF(Table645[[#This Row],[Column62]]="--",0,Table645[[#This Row],[Column4]]*Table645[[#This Row],[Column62]])</f>
        <v>0</v>
      </c>
      <c r="BL189" s="93"/>
      <c r="BM189" s="91" t="str">
        <f t="shared" si="131"/>
        <v>--</v>
      </c>
      <c r="BN189" s="89">
        <f>IF(Table645[[#This Row],[Column65]]="--",0,Table645[[#This Row],[Column4]]*Table645[[#This Row],[Column65]])</f>
        <v>0</v>
      </c>
      <c r="BO189" s="163"/>
      <c r="BP189" s="164" t="str">
        <f t="shared" si="132"/>
        <v>--</v>
      </c>
      <c r="BQ189" s="160">
        <f>IF(Table645[[#This Row],[Column68]]="--",0,Table645[[#This Row],[Column4]]*Table645[[#This Row],[Column68]])</f>
        <v>0</v>
      </c>
      <c r="BR189" s="94"/>
      <c r="BS189" s="91" t="str">
        <f t="shared" si="133"/>
        <v>--</v>
      </c>
      <c r="BT189" s="92">
        <f>IF(Table645[[#This Row],[Column71]]="--",0,Table645[[#This Row],[Column4]]*Table645[[#This Row],[Column71]])</f>
        <v>0</v>
      </c>
      <c r="BU189" s="44"/>
      <c r="BV189" s="90"/>
      <c r="BW189" s="91" t="str">
        <f>IF(BV189=0,"--",(Table645[[#This Row],[Column73]]*$BV$4*(IF(J189&lt;0.5001,1,IF(J189&lt;2.0001,2,3)))+BV189/$BV$3)/60/24)</f>
        <v>--</v>
      </c>
      <c r="BX189" s="92">
        <f>IF(Table645[[#This Row],[Column75]]="--",0,Table645[[#This Row],[Column4]]*Table645[[#This Row],[Column75]])</f>
        <v>0</v>
      </c>
      <c r="BY189" s="95" t="s">
        <v>70</v>
      </c>
      <c r="BZ189" s="91" t="str">
        <f>IF(Table645[[#This Row],[Column74]]=0,"--",BW189*$BY$3)</f>
        <v>--</v>
      </c>
      <c r="CA189" s="89">
        <f>IF(Table645[[#This Row],[Column78]]="--",0,Table645[[#This Row],[Column4]]*Table645[[#This Row],[Column78]])</f>
        <v>0</v>
      </c>
      <c r="CB189" s="95" t="s">
        <v>70</v>
      </c>
      <c r="CC189" s="91" t="str">
        <f>IF(Table645[[#This Row],[Column10]]+Table645[[#This Row],[Column74]]=0,"--",J189*$CB$4*$CB$5/(24*60)+IF(Table645[[#This Row],[Column74]]=0,0,$CB$3*Table645[[#This Row],[Column75]]))</f>
        <v>--</v>
      </c>
      <c r="CD189" s="92">
        <f>IF(Table645[[#This Row],[Column81]]="--",0,Table645[[#This Row],[Column4]]*Table645[[#This Row],[Column81]])</f>
        <v>0</v>
      </c>
      <c r="CE189" s="215"/>
      <c r="CF189" s="91" t="str">
        <f t="shared" si="127"/>
        <v>--</v>
      </c>
      <c r="CG189" s="92">
        <f>IF(Table645[[#This Row],[Column84]]="--",0,Table645[[#This Row],[Column4]]*Table645[[#This Row],[Column84]])</f>
        <v>0</v>
      </c>
      <c r="CH189" s="226"/>
      <c r="CI189" s="216"/>
      <c r="CJ189" s="91" t="str">
        <f>IF(CI189=0,"--",(Table645[[#This Row],[Column86]]*$CI$4*(IF(W189&lt;0.5001,1,IF(W189&lt;2.0001,2,3)))+CI189/$CI$3)/60/24)</f>
        <v>--</v>
      </c>
      <c r="CK189" s="92">
        <f>IF(Table645[[#This Row],[Column88]]="--",0,Table645[[#This Row],[Column4]]*Table645[[#This Row],[Column88]])</f>
        <v>0</v>
      </c>
      <c r="CL189" s="217"/>
      <c r="CM189" s="91" t="str">
        <f>IF(Table645[[#This Row],[Column87]]=0,"--",CJ189*$CL$3)</f>
        <v>--</v>
      </c>
      <c r="CN189" s="92">
        <f>IF(Table645[[#This Row],[Column91]]="--",0,Table645[[#This Row],[Column4]]*Table645[[#This Row],[Column91]])</f>
        <v>0</v>
      </c>
      <c r="CO189" s="217"/>
      <c r="CP189" s="91" t="str">
        <f>IF(Table645[[#This Row],[Column10]]+Table645[[#This Row],[Column87]]=0, "--", IF($D189="", 1, $D189) * IF($J189="", 1, $J189) * $CO$3 * $CO$4 * IF(Table645[[#This Row],[Column95]]="", 1, Table645[[#This Row],[Column95]]) / (24 * 60))</f>
        <v>--</v>
      </c>
      <c r="CQ189" s="164"/>
      <c r="CR189" s="92">
        <f>IF(Table645[[#This Row],[Column94]]="--",0,Table645[[#This Row],[Column4]]*Table645[[#This Row],[Column94]])</f>
        <v>0</v>
      </c>
      <c r="CS189" s="218" t="str">
        <f>IF(Table645[[#This Row],[Column87]]="","",Table645[[#This Row],[Column87]])</f>
        <v/>
      </c>
      <c r="CT189" s="91" t="str">
        <f>IF(Table645[[#This Row],[Column97]]="","--",Table645[[#This Row],[Column97]]/$CS$3/60/24)</f>
        <v>--</v>
      </c>
      <c r="CU189" s="92">
        <f>IF(Table645[[#This Row],[Column98]]="--",0,Table645[[#This Row],[Column4]]*Table645[[#This Row],[Column98]])</f>
        <v>0</v>
      </c>
      <c r="CV189" s="93"/>
      <c r="CW189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89" s="91" t="str">
        <f>IF(OR(Table645[[#This Row],[Column74]]&gt;0,Table645[[#This Row],[Column87]]&gt;0),(Table645[[#This Row],[Column73]]+Table645[[#This Row],[Column86]]+1)*$CW$3/60/24,"--")</f>
        <v>--</v>
      </c>
      <c r="CY189" s="92">
        <f>IF(Table645[[#This Row],[Column102]]="--",0,Table645[[#This Row],[Column4]]*Table645[[#This Row],[Column102]])</f>
        <v>0</v>
      </c>
      <c r="CZ189" s="158" t="str">
        <f t="shared" si="134"/>
        <v>--</v>
      </c>
      <c r="DA189" s="153"/>
      <c r="DB189" s="160">
        <f>IF(Table645[[#This Row],[Column104]]="--",0,Table645[[#This Row],[Column4]]*Table645[[#This Row],[Column104]])</f>
        <v>0</v>
      </c>
      <c r="DC189" s="219"/>
      <c r="DD189" s="220" t="str">
        <f>IF(DC189=0,"--",1/$DC$3*1000/(60*60*24)*Table645[[#This Row],[Column107]])</f>
        <v>--</v>
      </c>
      <c r="DE189" s="160">
        <f>IF(Table645[[#This Row],[Column108]]="--",0,Table645[[#This Row],[Column4]]*Table645[[#This Row],[Column108]])</f>
        <v>0</v>
      </c>
      <c r="DF189" s="101" t="s">
        <v>70</v>
      </c>
      <c r="DG189" s="91" t="str">
        <f t="shared" si="135"/>
        <v>--</v>
      </c>
      <c r="DH189" s="89">
        <f>IF(Table645[[#This Row],[Column111]]="--",0,Table645[[#This Row],[Column4]]*Table645[[#This Row],[Column111]])</f>
        <v>0</v>
      </c>
      <c r="DI189" s="96"/>
      <c r="DJ189" s="96"/>
      <c r="DK189" s="96"/>
      <c r="DL189" s="96"/>
      <c r="DM189" s="96"/>
      <c r="DN189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89" s="89">
        <f>IF(Table645[[#This Row],[Column118]]="--",0,Table645[[#This Row],[Column4]]*Table645[[#This Row],[Column118]])</f>
        <v>0</v>
      </c>
      <c r="DP189" s="96"/>
      <c r="DQ189" s="96"/>
      <c r="DR189" s="91" t="str">
        <f t="shared" si="136"/>
        <v>--</v>
      </c>
      <c r="DS189" s="89">
        <f>IF(Table645[[#This Row],[Column122]]="--",0,Table645[[#This Row],[Column4]]*Table645[[#This Row],[Column122]])</f>
        <v>0</v>
      </c>
      <c r="DT189" t="str">
        <f>IF(Table645[[#This Row],[Column125]]=0,"--",Table645[[#This Row],[Column125]]*Table645[[#This Row],[Column126]]*Table645[[#This Row],[Column127]]/1000000000)</f>
        <v>--</v>
      </c>
      <c r="DU189" s="53"/>
      <c r="DV189" s="53"/>
      <c r="DW189" s="53"/>
      <c r="DX189" s="91" t="str">
        <f t="shared" si="137"/>
        <v>--</v>
      </c>
      <c r="DY189" s="89">
        <f>IF(Table645[[#This Row],[Column128]]="--",0,Table645[[#This Row],[Column4]]*Table645[[#This Row],[Column128]])</f>
        <v>0</v>
      </c>
      <c r="EA189" s="89">
        <f>IF(Table645[[#This Row],[Column128]]="--",0,Table645[[#This Row],[Column4]]*Table645[[#This Row],[Column128]])</f>
        <v>0</v>
      </c>
      <c r="EC189" s="89">
        <f>IF(Table645[[#This Row],[Column128]]="--",0,Table645[[#This Row],[Column4]]*Table645[[#This Row],[Column128]])</f>
        <v>0</v>
      </c>
      <c r="EE189" s="89">
        <f>IF(Table645[[#This Row],[Column128]]="--",0,Table645[[#This Row],[Column4]]*Table645[[#This Row],[Column128]])</f>
        <v>0</v>
      </c>
      <c r="EG189" s="89">
        <f>IF(Table645[[#This Row],[Column128]]="--",0,Table645[[#This Row],[Column4]]*Table645[[#This Row],[Column128]])</f>
        <v>0</v>
      </c>
      <c r="EI189" s="89">
        <f>IF(Table645[[#This Row],[Column128]]="--",0,Table645[[#This Row],[Column4]]*Table645[[#This Row],[Column128]])</f>
        <v>0</v>
      </c>
    </row>
    <row r="190" spans="1:139" x14ac:dyDescent="0.25">
      <c r="A190" s="140"/>
      <c r="B190" s="79"/>
      <c r="C190" s="140"/>
      <c r="D190" s="167"/>
      <c r="E190" s="52"/>
      <c r="F190" s="81"/>
      <c r="G190" s="81"/>
      <c r="H190" s="102" t="str">
        <f t="shared" ref="H190:H217" si="138">IF(E190&gt;0,E190*F190*G190/1000000*8*(1+$H$4),"--")</f>
        <v>--</v>
      </c>
      <c r="I190" s="100">
        <f>IF(Table645[[#This Row],[Column8]]="--",0,Table645[[#This Row],[Column4]]*Table645[[#This Row],[Column8]])</f>
        <v>0</v>
      </c>
      <c r="J190" s="169"/>
      <c r="K190" s="85">
        <f>Table645[[#This Row],[Column4]]*Table645[[#This Row],[Column10]]</f>
        <v>0</v>
      </c>
      <c r="L190" s="170" t="str">
        <f t="shared" ref="L190:L217" si="139">IF(J190=0,"--",J190/$J$3)</f>
        <v>--</v>
      </c>
      <c r="M190" s="214">
        <f>IF(Table645[[#This Row],[Column10]]=0,0,Table645[[#This Row],[Column4]]*Table645[[#This Row],[Column12]])</f>
        <v>0</v>
      </c>
      <c r="N190" s="87" t="str">
        <f t="shared" ref="N190:N217" si="140">IF(SUM(Q190:AX190)=0,"--",(Q190/$Q$4+T190/$T$4+W190/$W$4+Z190/$Z$4+AC190/$AC$4+AF190/$AF$4+AI190/$AI$4+AL190/$AL$4+AO190/$AO$4+AR190/$AR$4+AU190/$AU$4+AX190/$AX$4)/60/24)</f>
        <v>--</v>
      </c>
      <c r="O190" s="138"/>
      <c r="AZ190" s="89">
        <f>IF(Table645[[#This Row],[Column14]]="--",0,Table645[[#This Row],[Column4]]*Table645[[#This Row],[Column14]])</f>
        <v>0</v>
      </c>
      <c r="BA190" s="90"/>
      <c r="BB190" s="91" t="str">
        <f>IF(BA190=0,"--",BA190*$BA$3*IF(Table645[[#This Row],[Column5]]&lt;4.1,1,2)/60/24)</f>
        <v>--</v>
      </c>
      <c r="BC190" s="92">
        <f>IF(Table645[[#This Row],[Column54]]="--",0,Table645[[#This Row],[Column4]]*Table645[[#This Row],[Column54]])</f>
        <v>0</v>
      </c>
      <c r="BD190" s="119"/>
      <c r="BE190" s="119"/>
      <c r="BF190" s="119"/>
      <c r="BG190" s="91" t="str">
        <f>IF(BD190+Table645[[#This Row],[Column58]]=0,"--",(BD190*$BF$3*Table645[[#This Row],[Column57]]+Table645[[#This Row],[Column58]]*$BF$4)/60/24)</f>
        <v>--</v>
      </c>
      <c r="BH190" s="92">
        <f>IF(Table645[[#This Row],[Column59]]="--",0,Table645[[#This Row],[Column4]]*Table645[[#This Row],[Column59]])</f>
        <v>0</v>
      </c>
      <c r="BI190" s="119"/>
      <c r="BJ190" s="91" t="str">
        <f t="shared" si="126"/>
        <v>--</v>
      </c>
      <c r="BK190" s="92">
        <f>IF(Table645[[#This Row],[Column62]]="--",0,Table645[[#This Row],[Column4]]*Table645[[#This Row],[Column62]])</f>
        <v>0</v>
      </c>
      <c r="BL190" s="93"/>
      <c r="BM190" s="91" t="str">
        <f t="shared" ref="BM190:BM217" si="141">IF(BL190=0,"--",BL190*$BL$3/60/60/24)</f>
        <v>--</v>
      </c>
      <c r="BN190" s="89">
        <f>IF(Table645[[#This Row],[Column65]]="--",0,Table645[[#This Row],[Column4]]*Table645[[#This Row],[Column65]])</f>
        <v>0</v>
      </c>
      <c r="BO190" s="163"/>
      <c r="BP190" s="164" t="str">
        <f t="shared" ref="BP190:BP217" si="142">IF(BO190=0,"--",BO190*$BO$3/60/60/24)</f>
        <v>--</v>
      </c>
      <c r="BQ190" s="160">
        <f>IF(Table645[[#This Row],[Column68]]="--",0,Table645[[#This Row],[Column4]]*Table645[[#This Row],[Column68]])</f>
        <v>0</v>
      </c>
      <c r="BR190" s="94"/>
      <c r="BS190" s="91" t="str">
        <f t="shared" ref="BS190:BS217" si="143">IF(BR190=0,"--",BR190*$BR$3/60/60/24)</f>
        <v>--</v>
      </c>
      <c r="BT190" s="92">
        <f>IF(Table645[[#This Row],[Column71]]="--",0,Table645[[#This Row],[Column4]]*Table645[[#This Row],[Column71]])</f>
        <v>0</v>
      </c>
      <c r="BU190" s="44"/>
      <c r="BV190" s="90"/>
      <c r="BW190" s="91" t="str">
        <f>IF(BV190=0,"--",(Table645[[#This Row],[Column73]]*$BV$4*(IF(J190&lt;0.5001,1,IF(J190&lt;2.0001,2,3)))+BV190/$BV$3)/60/24)</f>
        <v>--</v>
      </c>
      <c r="BX190" s="92">
        <f>IF(Table645[[#This Row],[Column75]]="--",0,Table645[[#This Row],[Column4]]*Table645[[#This Row],[Column75]])</f>
        <v>0</v>
      </c>
      <c r="BY190" s="95" t="s">
        <v>70</v>
      </c>
      <c r="BZ190" s="91" t="str">
        <f>IF(Table645[[#This Row],[Column74]]=0,"--",BW190*$BY$3)</f>
        <v>--</v>
      </c>
      <c r="CA190" s="89">
        <f>IF(Table645[[#This Row],[Column78]]="--",0,Table645[[#This Row],[Column4]]*Table645[[#This Row],[Column78]])</f>
        <v>0</v>
      </c>
      <c r="CB190" s="95" t="s">
        <v>70</v>
      </c>
      <c r="CC190" s="91" t="str">
        <f>IF(Table645[[#This Row],[Column10]]+Table645[[#This Row],[Column74]]=0,"--",J190*$CB$4*$CB$5/(24*60)+IF(Table645[[#This Row],[Column74]]=0,0,$CB$3*Table645[[#This Row],[Column75]]))</f>
        <v>--</v>
      </c>
      <c r="CD190" s="92">
        <f>IF(Table645[[#This Row],[Column81]]="--",0,Table645[[#This Row],[Column4]]*Table645[[#This Row],[Column81]])</f>
        <v>0</v>
      </c>
      <c r="CE190" s="215"/>
      <c r="CF190" s="91" t="str">
        <f t="shared" si="127"/>
        <v>--</v>
      </c>
      <c r="CG190" s="92">
        <f>IF(Table645[[#This Row],[Column84]]="--",0,Table645[[#This Row],[Column4]]*Table645[[#This Row],[Column84]])</f>
        <v>0</v>
      </c>
      <c r="CH190" s="226"/>
      <c r="CI190" s="216"/>
      <c r="CJ190" s="91" t="str">
        <f>IF(CI190=0,"--",(Table645[[#This Row],[Column86]]*$CI$4*(IF(W190&lt;0.5001,1,IF(W190&lt;2.0001,2,3)))+CI190/$CI$3)/60/24)</f>
        <v>--</v>
      </c>
      <c r="CK190" s="92">
        <f>IF(Table645[[#This Row],[Column88]]="--",0,Table645[[#This Row],[Column4]]*Table645[[#This Row],[Column88]])</f>
        <v>0</v>
      </c>
      <c r="CL190" s="217"/>
      <c r="CM190" s="91" t="str">
        <f>IF(Table645[[#This Row],[Column87]]=0,"--",CJ190*$CL$3)</f>
        <v>--</v>
      </c>
      <c r="CN190" s="92">
        <f>IF(Table645[[#This Row],[Column91]]="--",0,Table645[[#This Row],[Column4]]*Table645[[#This Row],[Column91]])</f>
        <v>0</v>
      </c>
      <c r="CO190" s="217"/>
      <c r="CP190" s="91" t="str">
        <f>IF(Table645[[#This Row],[Column10]]+Table645[[#This Row],[Column87]]=0, "--", IF($D190="", 1, $D190) * IF($J190="", 1, $J190) * $CO$3 * $CO$4 * IF(Table645[[#This Row],[Column95]]="", 1, Table645[[#This Row],[Column95]]) / (24 * 60))</f>
        <v>--</v>
      </c>
      <c r="CQ190" s="164"/>
      <c r="CR190" s="92">
        <f>IF(Table645[[#This Row],[Column94]]="--",0,Table645[[#This Row],[Column4]]*Table645[[#This Row],[Column94]])</f>
        <v>0</v>
      </c>
      <c r="CS190" s="218" t="str">
        <f>IF(Table645[[#This Row],[Column87]]="","",Table645[[#This Row],[Column87]])</f>
        <v/>
      </c>
      <c r="CT190" s="91" t="str">
        <f>IF(Table645[[#This Row],[Column97]]="","--",Table645[[#This Row],[Column97]]/$CS$3/60/24)</f>
        <v>--</v>
      </c>
      <c r="CU190" s="92">
        <f>IF(Table645[[#This Row],[Column98]]="--",0,Table645[[#This Row],[Column4]]*Table645[[#This Row],[Column98]])</f>
        <v>0</v>
      </c>
      <c r="CV190" s="93"/>
      <c r="CW190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90" s="91" t="str">
        <f>IF(OR(Table645[[#This Row],[Column74]]&gt;0,Table645[[#This Row],[Column87]]&gt;0),(Table645[[#This Row],[Column73]]+Table645[[#This Row],[Column86]]+1)*$CW$3/60/24,"--")</f>
        <v>--</v>
      </c>
      <c r="CY190" s="92">
        <f>IF(Table645[[#This Row],[Column102]]="--",0,Table645[[#This Row],[Column4]]*Table645[[#This Row],[Column102]])</f>
        <v>0</v>
      </c>
      <c r="CZ190" s="158" t="str">
        <f t="shared" ref="CZ190:CZ217" si="144">IF(J190=0,"--",J190/$CZ$3/(24)*DA190)</f>
        <v>--</v>
      </c>
      <c r="DA190" s="153"/>
      <c r="DB190" s="160">
        <f>IF(Table645[[#This Row],[Column104]]="--",0,Table645[[#This Row],[Column4]]*Table645[[#This Row],[Column104]])</f>
        <v>0</v>
      </c>
      <c r="DC190" s="219"/>
      <c r="DD190" s="220" t="str">
        <f>IF(DC190=0,"--",1/$DC$3*1000/(60*60*24)*Table645[[#This Row],[Column107]])</f>
        <v>--</v>
      </c>
      <c r="DE190" s="160">
        <f>IF(Table645[[#This Row],[Column108]]="--",0,Table645[[#This Row],[Column4]]*Table645[[#This Row],[Column108]])</f>
        <v>0</v>
      </c>
      <c r="DF190" s="101" t="s">
        <v>70</v>
      </c>
      <c r="DG190" s="91" t="str">
        <f t="shared" ref="DG190:DG217" si="145">IF(DA190=0,"--",(J190*$DF$3)/60/24)</f>
        <v>--</v>
      </c>
      <c r="DH190" s="89">
        <f>IF(Table645[[#This Row],[Column111]]="--",0,Table645[[#This Row],[Column4]]*Table645[[#This Row],[Column111]])</f>
        <v>0</v>
      </c>
      <c r="DI190" s="96"/>
      <c r="DJ190" s="96"/>
      <c r="DK190" s="96"/>
      <c r="DL190" s="96"/>
      <c r="DM190" s="96"/>
      <c r="DN190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90" s="89">
        <f>IF(Table645[[#This Row],[Column118]]="--",0,Table645[[#This Row],[Column4]]*Table645[[#This Row],[Column118]])</f>
        <v>0</v>
      </c>
      <c r="DP190" s="96"/>
      <c r="DQ190" s="96"/>
      <c r="DR190" s="91" t="str">
        <f t="shared" ref="DR190:DR217" si="146">IF(DP190+DQ190&gt;0,(DP190*$DQ$3+DQ190*$DQ$4)/60/24,IF(DN190="--","--",(DP190*$DQ$3+DQ190*$DQ$4)/60/24))</f>
        <v>--</v>
      </c>
      <c r="DS190" s="89">
        <f>IF(Table645[[#This Row],[Column122]]="--",0,Table645[[#This Row],[Column4]]*Table645[[#This Row],[Column122]])</f>
        <v>0</v>
      </c>
      <c r="DT190" t="str">
        <f>IF(Table645[[#This Row],[Column125]]=0,"--",Table645[[#This Row],[Column125]]*Table645[[#This Row],[Column126]]*Table645[[#This Row],[Column127]]/1000000000)</f>
        <v>--</v>
      </c>
      <c r="DU190" s="53"/>
      <c r="DV190" s="53"/>
      <c r="DW190" s="53"/>
      <c r="DX190" s="91" t="str">
        <f t="shared" ref="DX190:DX217" si="147">IF(DT190="--","--",(1+DT190*$DT$3)/60/24)</f>
        <v>--</v>
      </c>
      <c r="DY190" s="89">
        <f>IF(Table645[[#This Row],[Column128]]="--",0,Table645[[#This Row],[Column4]]*Table645[[#This Row],[Column128]])</f>
        <v>0</v>
      </c>
      <c r="EA190" s="89">
        <f>IF(Table645[[#This Row],[Column128]]="--",0,Table645[[#This Row],[Column4]]*Table645[[#This Row],[Column128]])</f>
        <v>0</v>
      </c>
      <c r="EC190" s="89">
        <f>IF(Table645[[#This Row],[Column128]]="--",0,Table645[[#This Row],[Column4]]*Table645[[#This Row],[Column128]])</f>
        <v>0</v>
      </c>
      <c r="EE190" s="89">
        <f>IF(Table645[[#This Row],[Column128]]="--",0,Table645[[#This Row],[Column4]]*Table645[[#This Row],[Column128]])</f>
        <v>0</v>
      </c>
      <c r="EG190" s="89">
        <f>IF(Table645[[#This Row],[Column128]]="--",0,Table645[[#This Row],[Column4]]*Table645[[#This Row],[Column128]])</f>
        <v>0</v>
      </c>
      <c r="EI190" s="89">
        <f>IF(Table645[[#This Row],[Column128]]="--",0,Table645[[#This Row],[Column4]]*Table645[[#This Row],[Column128]])</f>
        <v>0</v>
      </c>
    </row>
    <row r="191" spans="1:139" x14ac:dyDescent="0.25">
      <c r="A191" s="140"/>
      <c r="B191" s="79"/>
      <c r="C191" s="140"/>
      <c r="D191" s="167"/>
      <c r="E191" s="52"/>
      <c r="F191" s="81"/>
      <c r="G191" s="81"/>
      <c r="H191" s="102" t="str">
        <f t="shared" si="138"/>
        <v>--</v>
      </c>
      <c r="I191" s="100">
        <f>IF(Table645[[#This Row],[Column8]]="--",0,Table645[[#This Row],[Column4]]*Table645[[#This Row],[Column8]])</f>
        <v>0</v>
      </c>
      <c r="J191" s="169"/>
      <c r="K191" s="85">
        <f>Table645[[#This Row],[Column4]]*Table645[[#This Row],[Column10]]</f>
        <v>0</v>
      </c>
      <c r="L191" s="170" t="str">
        <f t="shared" si="139"/>
        <v>--</v>
      </c>
      <c r="M191" s="214">
        <f>IF(Table645[[#This Row],[Column10]]=0,0,Table645[[#This Row],[Column4]]*Table645[[#This Row],[Column12]])</f>
        <v>0</v>
      </c>
      <c r="N191" s="87" t="str">
        <f t="shared" si="140"/>
        <v>--</v>
      </c>
      <c r="O191" s="138"/>
      <c r="AZ191" s="89">
        <f>IF(Table645[[#This Row],[Column14]]="--",0,Table645[[#This Row],[Column4]]*Table645[[#This Row],[Column14]])</f>
        <v>0</v>
      </c>
      <c r="BA191" s="90"/>
      <c r="BB191" s="91" t="str">
        <f>IF(BA191=0,"--",BA191*$BA$3*IF(Table645[[#This Row],[Column5]]&lt;4.1,1,2)/60/24)</f>
        <v>--</v>
      </c>
      <c r="BC191" s="92">
        <f>IF(Table645[[#This Row],[Column54]]="--",0,Table645[[#This Row],[Column4]]*Table645[[#This Row],[Column54]])</f>
        <v>0</v>
      </c>
      <c r="BD191" s="119"/>
      <c r="BE191" s="119"/>
      <c r="BF191" s="119"/>
      <c r="BG191" s="91" t="str">
        <f>IF(BD191+Table645[[#This Row],[Column58]]=0,"--",(BD191*$BF$3*Table645[[#This Row],[Column57]]+Table645[[#This Row],[Column58]]*$BF$4)/60/24)</f>
        <v>--</v>
      </c>
      <c r="BH191" s="92">
        <f>IF(Table645[[#This Row],[Column59]]="--",0,Table645[[#This Row],[Column4]]*Table645[[#This Row],[Column59]])</f>
        <v>0</v>
      </c>
      <c r="BI191" s="119"/>
      <c r="BJ191" s="91" t="str">
        <f t="shared" si="126"/>
        <v>--</v>
      </c>
      <c r="BK191" s="92">
        <f>IF(Table645[[#This Row],[Column62]]="--",0,Table645[[#This Row],[Column4]]*Table645[[#This Row],[Column62]])</f>
        <v>0</v>
      </c>
      <c r="BL191" s="93"/>
      <c r="BM191" s="91" t="str">
        <f t="shared" si="141"/>
        <v>--</v>
      </c>
      <c r="BN191" s="89">
        <f>IF(Table645[[#This Row],[Column65]]="--",0,Table645[[#This Row],[Column4]]*Table645[[#This Row],[Column65]])</f>
        <v>0</v>
      </c>
      <c r="BO191" s="163"/>
      <c r="BP191" s="164" t="str">
        <f t="shared" si="142"/>
        <v>--</v>
      </c>
      <c r="BQ191" s="160">
        <f>IF(Table645[[#This Row],[Column68]]="--",0,Table645[[#This Row],[Column4]]*Table645[[#This Row],[Column68]])</f>
        <v>0</v>
      </c>
      <c r="BR191" s="94"/>
      <c r="BS191" s="91" t="str">
        <f t="shared" si="143"/>
        <v>--</v>
      </c>
      <c r="BT191" s="92">
        <f>IF(Table645[[#This Row],[Column71]]="--",0,Table645[[#This Row],[Column4]]*Table645[[#This Row],[Column71]])</f>
        <v>0</v>
      </c>
      <c r="BU191" s="44"/>
      <c r="BV191" s="90"/>
      <c r="BW191" s="91" t="str">
        <f>IF(BV191=0,"--",(Table645[[#This Row],[Column73]]*$BV$4*(IF(J191&lt;0.5001,1,IF(J191&lt;2.0001,2,3)))+BV191/$BV$3)/60/24)</f>
        <v>--</v>
      </c>
      <c r="BX191" s="92">
        <f>IF(Table645[[#This Row],[Column75]]="--",0,Table645[[#This Row],[Column4]]*Table645[[#This Row],[Column75]])</f>
        <v>0</v>
      </c>
      <c r="BY191" s="95" t="s">
        <v>70</v>
      </c>
      <c r="BZ191" s="91" t="str">
        <f>IF(Table645[[#This Row],[Column74]]=0,"--",BW191*$BY$3)</f>
        <v>--</v>
      </c>
      <c r="CA191" s="89">
        <f>IF(Table645[[#This Row],[Column78]]="--",0,Table645[[#This Row],[Column4]]*Table645[[#This Row],[Column78]])</f>
        <v>0</v>
      </c>
      <c r="CB191" s="95" t="s">
        <v>70</v>
      </c>
      <c r="CC191" s="91" t="str">
        <f>IF(Table645[[#This Row],[Column10]]+Table645[[#This Row],[Column74]]=0,"--",J191*$CB$4*$CB$5/(24*60)+IF(Table645[[#This Row],[Column74]]=0,0,$CB$3*Table645[[#This Row],[Column75]]))</f>
        <v>--</v>
      </c>
      <c r="CD191" s="92">
        <f>IF(Table645[[#This Row],[Column81]]="--",0,Table645[[#This Row],[Column4]]*Table645[[#This Row],[Column81]])</f>
        <v>0</v>
      </c>
      <c r="CE191" s="215"/>
      <c r="CF191" s="91" t="str">
        <f t="shared" si="127"/>
        <v>--</v>
      </c>
      <c r="CG191" s="92">
        <f>IF(Table645[[#This Row],[Column84]]="--",0,Table645[[#This Row],[Column4]]*Table645[[#This Row],[Column84]])</f>
        <v>0</v>
      </c>
      <c r="CH191" s="226"/>
      <c r="CI191" s="216"/>
      <c r="CJ191" s="91" t="str">
        <f>IF(CI191=0,"--",(Table645[[#This Row],[Column86]]*$CI$4*(IF(W191&lt;0.5001,1,IF(W191&lt;2.0001,2,3)))+CI191/$CI$3)/60/24)</f>
        <v>--</v>
      </c>
      <c r="CK191" s="92">
        <f>IF(Table645[[#This Row],[Column88]]="--",0,Table645[[#This Row],[Column4]]*Table645[[#This Row],[Column88]])</f>
        <v>0</v>
      </c>
      <c r="CL191" s="217"/>
      <c r="CM191" s="91" t="str">
        <f>IF(Table645[[#This Row],[Column87]]=0,"--",CJ191*$CL$3)</f>
        <v>--</v>
      </c>
      <c r="CN191" s="92">
        <f>IF(Table645[[#This Row],[Column91]]="--",0,Table645[[#This Row],[Column4]]*Table645[[#This Row],[Column91]])</f>
        <v>0</v>
      </c>
      <c r="CO191" s="217"/>
      <c r="CP191" s="91" t="str">
        <f>IF(Table645[[#This Row],[Column10]]+Table645[[#This Row],[Column87]]=0, "--", IF($D191="", 1, $D191) * IF($J191="", 1, $J191) * $CO$3 * $CO$4 * IF(Table645[[#This Row],[Column95]]="", 1, Table645[[#This Row],[Column95]]) / (24 * 60))</f>
        <v>--</v>
      </c>
      <c r="CQ191" s="164"/>
      <c r="CR191" s="92">
        <f>IF(Table645[[#This Row],[Column94]]="--",0,Table645[[#This Row],[Column4]]*Table645[[#This Row],[Column94]])</f>
        <v>0</v>
      </c>
      <c r="CS191" s="218" t="str">
        <f>IF(Table645[[#This Row],[Column87]]="","",Table645[[#This Row],[Column87]])</f>
        <v/>
      </c>
      <c r="CT191" s="91" t="str">
        <f>IF(Table645[[#This Row],[Column97]]="","--",Table645[[#This Row],[Column97]]/$CS$3/60/24)</f>
        <v>--</v>
      </c>
      <c r="CU191" s="92">
        <f>IF(Table645[[#This Row],[Column98]]="--",0,Table645[[#This Row],[Column4]]*Table645[[#This Row],[Column98]])</f>
        <v>0</v>
      </c>
      <c r="CV191" s="93"/>
      <c r="CW191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91" s="91" t="str">
        <f>IF(OR(Table645[[#This Row],[Column74]]&gt;0,Table645[[#This Row],[Column87]]&gt;0),(Table645[[#This Row],[Column73]]+Table645[[#This Row],[Column86]]+1)*$CW$3/60/24,"--")</f>
        <v>--</v>
      </c>
      <c r="CY191" s="92">
        <f>IF(Table645[[#This Row],[Column102]]="--",0,Table645[[#This Row],[Column4]]*Table645[[#This Row],[Column102]])</f>
        <v>0</v>
      </c>
      <c r="CZ191" s="158" t="str">
        <f t="shared" si="144"/>
        <v>--</v>
      </c>
      <c r="DA191" s="153"/>
      <c r="DB191" s="160">
        <f>IF(Table645[[#This Row],[Column104]]="--",0,Table645[[#This Row],[Column4]]*Table645[[#This Row],[Column104]])</f>
        <v>0</v>
      </c>
      <c r="DC191" s="219"/>
      <c r="DD191" s="220" t="str">
        <f>IF(DC191=0,"--",1/$DC$3*1000/(60*60*24)*Table645[[#This Row],[Column107]])</f>
        <v>--</v>
      </c>
      <c r="DE191" s="160">
        <f>IF(Table645[[#This Row],[Column108]]="--",0,Table645[[#This Row],[Column4]]*Table645[[#This Row],[Column108]])</f>
        <v>0</v>
      </c>
      <c r="DF191" s="101" t="s">
        <v>70</v>
      </c>
      <c r="DG191" s="91" t="str">
        <f t="shared" si="145"/>
        <v>--</v>
      </c>
      <c r="DH191" s="89">
        <f>IF(Table645[[#This Row],[Column111]]="--",0,Table645[[#This Row],[Column4]]*Table645[[#This Row],[Column111]])</f>
        <v>0</v>
      </c>
      <c r="DI191" s="96"/>
      <c r="DJ191" s="96"/>
      <c r="DK191" s="96"/>
      <c r="DL191" s="96"/>
      <c r="DM191" s="96"/>
      <c r="DN191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91" s="89">
        <f>IF(Table645[[#This Row],[Column118]]="--",0,Table645[[#This Row],[Column4]]*Table645[[#This Row],[Column118]])</f>
        <v>0</v>
      </c>
      <c r="DP191" s="96"/>
      <c r="DQ191" s="96"/>
      <c r="DR191" s="91" t="str">
        <f t="shared" si="146"/>
        <v>--</v>
      </c>
      <c r="DS191" s="89">
        <f>IF(Table645[[#This Row],[Column122]]="--",0,Table645[[#This Row],[Column4]]*Table645[[#This Row],[Column122]])</f>
        <v>0</v>
      </c>
      <c r="DT191" t="str">
        <f>IF(Table645[[#This Row],[Column125]]=0,"--",Table645[[#This Row],[Column125]]*Table645[[#This Row],[Column126]]*Table645[[#This Row],[Column127]]/1000000000)</f>
        <v>--</v>
      </c>
      <c r="DU191" s="53"/>
      <c r="DV191" s="53"/>
      <c r="DW191" s="53"/>
      <c r="DX191" s="91" t="str">
        <f t="shared" si="147"/>
        <v>--</v>
      </c>
      <c r="DY191" s="89">
        <f>IF(Table645[[#This Row],[Column128]]="--",0,Table645[[#This Row],[Column4]]*Table645[[#This Row],[Column128]])</f>
        <v>0</v>
      </c>
      <c r="EA191" s="89">
        <f>IF(Table645[[#This Row],[Column128]]="--",0,Table645[[#This Row],[Column4]]*Table645[[#This Row],[Column128]])</f>
        <v>0</v>
      </c>
      <c r="EC191" s="89">
        <f>IF(Table645[[#This Row],[Column128]]="--",0,Table645[[#This Row],[Column4]]*Table645[[#This Row],[Column128]])</f>
        <v>0</v>
      </c>
      <c r="EE191" s="89">
        <f>IF(Table645[[#This Row],[Column128]]="--",0,Table645[[#This Row],[Column4]]*Table645[[#This Row],[Column128]])</f>
        <v>0</v>
      </c>
      <c r="EG191" s="89">
        <f>IF(Table645[[#This Row],[Column128]]="--",0,Table645[[#This Row],[Column4]]*Table645[[#This Row],[Column128]])</f>
        <v>0</v>
      </c>
      <c r="EI191" s="89">
        <f>IF(Table645[[#This Row],[Column128]]="--",0,Table645[[#This Row],[Column4]]*Table645[[#This Row],[Column128]])</f>
        <v>0</v>
      </c>
    </row>
    <row r="192" spans="1:139" x14ac:dyDescent="0.25">
      <c r="A192" s="140"/>
      <c r="B192" s="79"/>
      <c r="C192" s="140"/>
      <c r="D192" s="167"/>
      <c r="E192" s="52"/>
      <c r="F192" s="81"/>
      <c r="G192" s="81"/>
      <c r="H192" s="102" t="str">
        <f t="shared" si="138"/>
        <v>--</v>
      </c>
      <c r="I192" s="100">
        <f>IF(Table645[[#This Row],[Column8]]="--",0,Table645[[#This Row],[Column4]]*Table645[[#This Row],[Column8]])</f>
        <v>0</v>
      </c>
      <c r="J192" s="169"/>
      <c r="K192" s="85">
        <f>Table645[[#This Row],[Column4]]*Table645[[#This Row],[Column10]]</f>
        <v>0</v>
      </c>
      <c r="L192" s="170" t="str">
        <f t="shared" si="139"/>
        <v>--</v>
      </c>
      <c r="M192" s="214">
        <f>IF(Table645[[#This Row],[Column10]]=0,0,Table645[[#This Row],[Column4]]*Table645[[#This Row],[Column12]])</f>
        <v>0</v>
      </c>
      <c r="N192" s="87" t="str">
        <f t="shared" si="140"/>
        <v>--</v>
      </c>
      <c r="O192" s="138"/>
      <c r="AZ192" s="89">
        <f>IF(Table645[[#This Row],[Column14]]="--",0,Table645[[#This Row],[Column4]]*Table645[[#This Row],[Column14]])</f>
        <v>0</v>
      </c>
      <c r="BA192" s="90"/>
      <c r="BB192" s="91" t="str">
        <f>IF(BA192=0,"--",BA192*$BA$3*IF(Table645[[#This Row],[Column5]]&lt;4.1,1,2)/60/24)</f>
        <v>--</v>
      </c>
      <c r="BC192" s="92">
        <f>IF(Table645[[#This Row],[Column54]]="--",0,Table645[[#This Row],[Column4]]*Table645[[#This Row],[Column54]])</f>
        <v>0</v>
      </c>
      <c r="BD192" s="119"/>
      <c r="BE192" s="119"/>
      <c r="BF192" s="119"/>
      <c r="BG192" s="91" t="str">
        <f>IF(BD192+Table645[[#This Row],[Column58]]=0,"--",(BD192*$BF$3*Table645[[#This Row],[Column57]]+Table645[[#This Row],[Column58]]*$BF$4)/60/24)</f>
        <v>--</v>
      </c>
      <c r="BH192" s="92">
        <f>IF(Table645[[#This Row],[Column59]]="--",0,Table645[[#This Row],[Column4]]*Table645[[#This Row],[Column59]])</f>
        <v>0</v>
      </c>
      <c r="BI192" s="119"/>
      <c r="BJ192" s="91" t="str">
        <f t="shared" si="126"/>
        <v>--</v>
      </c>
      <c r="BK192" s="92">
        <f>IF(Table645[[#This Row],[Column62]]="--",0,Table645[[#This Row],[Column4]]*Table645[[#This Row],[Column62]])</f>
        <v>0</v>
      </c>
      <c r="BL192" s="93"/>
      <c r="BM192" s="91" t="str">
        <f t="shared" si="141"/>
        <v>--</v>
      </c>
      <c r="BN192" s="89">
        <f>IF(Table645[[#This Row],[Column65]]="--",0,Table645[[#This Row],[Column4]]*Table645[[#This Row],[Column65]])</f>
        <v>0</v>
      </c>
      <c r="BO192" s="163"/>
      <c r="BP192" s="164" t="str">
        <f t="shared" si="142"/>
        <v>--</v>
      </c>
      <c r="BQ192" s="160">
        <f>IF(Table645[[#This Row],[Column68]]="--",0,Table645[[#This Row],[Column4]]*Table645[[#This Row],[Column68]])</f>
        <v>0</v>
      </c>
      <c r="BR192" s="94"/>
      <c r="BS192" s="91" t="str">
        <f t="shared" si="143"/>
        <v>--</v>
      </c>
      <c r="BT192" s="92">
        <f>IF(Table645[[#This Row],[Column71]]="--",0,Table645[[#This Row],[Column4]]*Table645[[#This Row],[Column71]])</f>
        <v>0</v>
      </c>
      <c r="BU192" s="44"/>
      <c r="BV192" s="90"/>
      <c r="BW192" s="91" t="str">
        <f>IF(BV192=0,"--",(Table645[[#This Row],[Column73]]*$BV$4*(IF(J192&lt;0.5001,1,IF(J192&lt;2.0001,2,3)))+BV192/$BV$3)/60/24)</f>
        <v>--</v>
      </c>
      <c r="BX192" s="92">
        <f>IF(Table645[[#This Row],[Column75]]="--",0,Table645[[#This Row],[Column4]]*Table645[[#This Row],[Column75]])</f>
        <v>0</v>
      </c>
      <c r="BY192" s="95" t="s">
        <v>70</v>
      </c>
      <c r="BZ192" s="91" t="str">
        <f>IF(Table645[[#This Row],[Column74]]=0,"--",BW192*$BY$3)</f>
        <v>--</v>
      </c>
      <c r="CA192" s="89">
        <f>IF(Table645[[#This Row],[Column78]]="--",0,Table645[[#This Row],[Column4]]*Table645[[#This Row],[Column78]])</f>
        <v>0</v>
      </c>
      <c r="CB192" s="95" t="s">
        <v>70</v>
      </c>
      <c r="CC192" s="91" t="str">
        <f>IF(Table645[[#This Row],[Column10]]+Table645[[#This Row],[Column74]]=0,"--",J192*$CB$4*$CB$5/(24*60)+IF(Table645[[#This Row],[Column74]]=0,0,$CB$3*Table645[[#This Row],[Column75]]))</f>
        <v>--</v>
      </c>
      <c r="CD192" s="92">
        <f>IF(Table645[[#This Row],[Column81]]="--",0,Table645[[#This Row],[Column4]]*Table645[[#This Row],[Column81]])</f>
        <v>0</v>
      </c>
      <c r="CE192" s="215"/>
      <c r="CF192" s="91" t="str">
        <f t="shared" si="127"/>
        <v>--</v>
      </c>
      <c r="CG192" s="92">
        <f>IF(Table645[[#This Row],[Column84]]="--",0,Table645[[#This Row],[Column4]]*Table645[[#This Row],[Column84]])</f>
        <v>0</v>
      </c>
      <c r="CH192" s="226"/>
      <c r="CI192" s="216"/>
      <c r="CJ192" s="91" t="str">
        <f>IF(CI192=0,"--",(Table645[[#This Row],[Column86]]*$CI$4*(IF(W192&lt;0.5001,1,IF(W192&lt;2.0001,2,3)))+CI192/$CI$3)/60/24)</f>
        <v>--</v>
      </c>
      <c r="CK192" s="92">
        <f>IF(Table645[[#This Row],[Column88]]="--",0,Table645[[#This Row],[Column4]]*Table645[[#This Row],[Column88]])</f>
        <v>0</v>
      </c>
      <c r="CL192" s="217"/>
      <c r="CM192" s="91" t="str">
        <f>IF(Table645[[#This Row],[Column87]]=0,"--",CJ192*$CL$3)</f>
        <v>--</v>
      </c>
      <c r="CN192" s="92">
        <f>IF(Table645[[#This Row],[Column91]]="--",0,Table645[[#This Row],[Column4]]*Table645[[#This Row],[Column91]])</f>
        <v>0</v>
      </c>
      <c r="CO192" s="217"/>
      <c r="CP192" s="91" t="str">
        <f>IF(Table645[[#This Row],[Column10]]+Table645[[#This Row],[Column87]]=0, "--", IF($D192="", 1, $D192) * IF($J192="", 1, $J192) * $CO$3 * $CO$4 * IF(Table645[[#This Row],[Column95]]="", 1, Table645[[#This Row],[Column95]]) / (24 * 60))</f>
        <v>--</v>
      </c>
      <c r="CQ192" s="164"/>
      <c r="CR192" s="92">
        <f>IF(Table645[[#This Row],[Column94]]="--",0,Table645[[#This Row],[Column4]]*Table645[[#This Row],[Column94]])</f>
        <v>0</v>
      </c>
      <c r="CS192" s="218" t="str">
        <f>IF(Table645[[#This Row],[Column87]]="","",Table645[[#This Row],[Column87]])</f>
        <v/>
      </c>
      <c r="CT192" s="91" t="str">
        <f>IF(Table645[[#This Row],[Column97]]="","--",Table645[[#This Row],[Column97]]/$CS$3/60/24)</f>
        <v>--</v>
      </c>
      <c r="CU192" s="92">
        <f>IF(Table645[[#This Row],[Column98]]="--",0,Table645[[#This Row],[Column4]]*Table645[[#This Row],[Column98]])</f>
        <v>0</v>
      </c>
      <c r="CV192" s="93"/>
      <c r="CW192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92" s="91" t="str">
        <f>IF(OR(Table645[[#This Row],[Column74]]&gt;0,Table645[[#This Row],[Column87]]&gt;0),(Table645[[#This Row],[Column73]]+Table645[[#This Row],[Column86]]+1)*$CW$3/60/24,"--")</f>
        <v>--</v>
      </c>
      <c r="CY192" s="92">
        <f>IF(Table645[[#This Row],[Column102]]="--",0,Table645[[#This Row],[Column4]]*Table645[[#This Row],[Column102]])</f>
        <v>0</v>
      </c>
      <c r="CZ192" s="158" t="str">
        <f t="shared" si="144"/>
        <v>--</v>
      </c>
      <c r="DA192" s="153"/>
      <c r="DB192" s="160">
        <f>IF(Table645[[#This Row],[Column104]]="--",0,Table645[[#This Row],[Column4]]*Table645[[#This Row],[Column104]])</f>
        <v>0</v>
      </c>
      <c r="DC192" s="219"/>
      <c r="DD192" s="220" t="str">
        <f>IF(DC192=0,"--",1/$DC$3*1000/(60*60*24)*Table645[[#This Row],[Column107]])</f>
        <v>--</v>
      </c>
      <c r="DE192" s="160">
        <f>IF(Table645[[#This Row],[Column108]]="--",0,Table645[[#This Row],[Column4]]*Table645[[#This Row],[Column108]])</f>
        <v>0</v>
      </c>
      <c r="DF192" s="101" t="s">
        <v>70</v>
      </c>
      <c r="DG192" s="91" t="str">
        <f t="shared" si="145"/>
        <v>--</v>
      </c>
      <c r="DH192" s="89">
        <f>IF(Table645[[#This Row],[Column111]]="--",0,Table645[[#This Row],[Column4]]*Table645[[#This Row],[Column111]])</f>
        <v>0</v>
      </c>
      <c r="DI192" s="96"/>
      <c r="DJ192" s="96"/>
      <c r="DK192" s="96"/>
      <c r="DL192" s="96"/>
      <c r="DM192" s="96"/>
      <c r="DN192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92" s="89">
        <f>IF(Table645[[#This Row],[Column118]]="--",0,Table645[[#This Row],[Column4]]*Table645[[#This Row],[Column118]])</f>
        <v>0</v>
      </c>
      <c r="DP192" s="96"/>
      <c r="DQ192" s="96"/>
      <c r="DR192" s="91" t="str">
        <f t="shared" si="146"/>
        <v>--</v>
      </c>
      <c r="DS192" s="89">
        <f>IF(Table645[[#This Row],[Column122]]="--",0,Table645[[#This Row],[Column4]]*Table645[[#This Row],[Column122]])</f>
        <v>0</v>
      </c>
      <c r="DT192" t="str">
        <f>IF(Table645[[#This Row],[Column125]]=0,"--",Table645[[#This Row],[Column125]]*Table645[[#This Row],[Column126]]*Table645[[#This Row],[Column127]]/1000000000)</f>
        <v>--</v>
      </c>
      <c r="DU192" s="53"/>
      <c r="DV192" s="53"/>
      <c r="DW192" s="53"/>
      <c r="DX192" s="91" t="str">
        <f t="shared" si="147"/>
        <v>--</v>
      </c>
      <c r="DY192" s="89">
        <f>IF(Table645[[#This Row],[Column128]]="--",0,Table645[[#This Row],[Column4]]*Table645[[#This Row],[Column128]])</f>
        <v>0</v>
      </c>
      <c r="EA192" s="89">
        <f>IF(Table645[[#This Row],[Column128]]="--",0,Table645[[#This Row],[Column4]]*Table645[[#This Row],[Column128]])</f>
        <v>0</v>
      </c>
      <c r="EC192" s="89">
        <f>IF(Table645[[#This Row],[Column128]]="--",0,Table645[[#This Row],[Column4]]*Table645[[#This Row],[Column128]])</f>
        <v>0</v>
      </c>
      <c r="EE192" s="89">
        <f>IF(Table645[[#This Row],[Column128]]="--",0,Table645[[#This Row],[Column4]]*Table645[[#This Row],[Column128]])</f>
        <v>0</v>
      </c>
      <c r="EG192" s="89">
        <f>IF(Table645[[#This Row],[Column128]]="--",0,Table645[[#This Row],[Column4]]*Table645[[#This Row],[Column128]])</f>
        <v>0</v>
      </c>
      <c r="EI192" s="89">
        <f>IF(Table645[[#This Row],[Column128]]="--",0,Table645[[#This Row],[Column4]]*Table645[[#This Row],[Column128]])</f>
        <v>0</v>
      </c>
    </row>
    <row r="193" spans="1:139" x14ac:dyDescent="0.25">
      <c r="A193" s="140"/>
      <c r="B193" s="79"/>
      <c r="C193" s="140"/>
      <c r="D193" s="167"/>
      <c r="E193" s="52"/>
      <c r="F193" s="81"/>
      <c r="G193" s="81"/>
      <c r="H193" s="102" t="str">
        <f t="shared" si="138"/>
        <v>--</v>
      </c>
      <c r="I193" s="100">
        <f>IF(Table645[[#This Row],[Column8]]="--",0,Table645[[#This Row],[Column4]]*Table645[[#This Row],[Column8]])</f>
        <v>0</v>
      </c>
      <c r="J193" s="169"/>
      <c r="K193" s="85">
        <f>Table645[[#This Row],[Column4]]*Table645[[#This Row],[Column10]]</f>
        <v>0</v>
      </c>
      <c r="L193" s="170" t="str">
        <f t="shared" si="139"/>
        <v>--</v>
      </c>
      <c r="M193" s="214">
        <f>IF(Table645[[#This Row],[Column10]]=0,0,Table645[[#This Row],[Column4]]*Table645[[#This Row],[Column12]])</f>
        <v>0</v>
      </c>
      <c r="N193" s="87" t="str">
        <f t="shared" si="140"/>
        <v>--</v>
      </c>
      <c r="O193" s="138"/>
      <c r="AZ193" s="89">
        <f>IF(Table645[[#This Row],[Column14]]="--",0,Table645[[#This Row],[Column4]]*Table645[[#This Row],[Column14]])</f>
        <v>0</v>
      </c>
      <c r="BA193" s="90"/>
      <c r="BB193" s="91" t="str">
        <f>IF(BA193=0,"--",BA193*$BA$3*IF(Table645[[#This Row],[Column5]]&lt;4.1,1,2)/60/24)</f>
        <v>--</v>
      </c>
      <c r="BC193" s="92">
        <f>IF(Table645[[#This Row],[Column54]]="--",0,Table645[[#This Row],[Column4]]*Table645[[#This Row],[Column54]])</f>
        <v>0</v>
      </c>
      <c r="BD193" s="119"/>
      <c r="BE193" s="119"/>
      <c r="BF193" s="119"/>
      <c r="BG193" s="91" t="str">
        <f>IF(BD193+Table645[[#This Row],[Column58]]=0,"--",(BD193*$BF$3*Table645[[#This Row],[Column57]]+Table645[[#This Row],[Column58]]*$BF$4)/60/24)</f>
        <v>--</v>
      </c>
      <c r="BH193" s="92">
        <f>IF(Table645[[#This Row],[Column59]]="--",0,Table645[[#This Row],[Column4]]*Table645[[#This Row],[Column59]])</f>
        <v>0</v>
      </c>
      <c r="BI193" s="119"/>
      <c r="BJ193" s="91" t="str">
        <f t="shared" si="126"/>
        <v>--</v>
      </c>
      <c r="BK193" s="92">
        <f>IF(Table645[[#This Row],[Column62]]="--",0,Table645[[#This Row],[Column4]]*Table645[[#This Row],[Column62]])</f>
        <v>0</v>
      </c>
      <c r="BL193" s="93"/>
      <c r="BM193" s="91" t="str">
        <f t="shared" si="141"/>
        <v>--</v>
      </c>
      <c r="BN193" s="89">
        <f>IF(Table645[[#This Row],[Column65]]="--",0,Table645[[#This Row],[Column4]]*Table645[[#This Row],[Column65]])</f>
        <v>0</v>
      </c>
      <c r="BO193" s="163"/>
      <c r="BP193" s="164" t="str">
        <f t="shared" si="142"/>
        <v>--</v>
      </c>
      <c r="BQ193" s="160">
        <f>IF(Table645[[#This Row],[Column68]]="--",0,Table645[[#This Row],[Column4]]*Table645[[#This Row],[Column68]])</f>
        <v>0</v>
      </c>
      <c r="BR193" s="94"/>
      <c r="BS193" s="91" t="str">
        <f t="shared" si="143"/>
        <v>--</v>
      </c>
      <c r="BT193" s="92">
        <f>IF(Table645[[#This Row],[Column71]]="--",0,Table645[[#This Row],[Column4]]*Table645[[#This Row],[Column71]])</f>
        <v>0</v>
      </c>
      <c r="BU193" s="44"/>
      <c r="BV193" s="90"/>
      <c r="BW193" s="91" t="str">
        <f>IF(BV193=0,"--",(Table645[[#This Row],[Column73]]*$BV$4*(IF(J193&lt;0.5001,1,IF(J193&lt;2.0001,2,3)))+BV193/$BV$3)/60/24)</f>
        <v>--</v>
      </c>
      <c r="BX193" s="92">
        <f>IF(Table645[[#This Row],[Column75]]="--",0,Table645[[#This Row],[Column4]]*Table645[[#This Row],[Column75]])</f>
        <v>0</v>
      </c>
      <c r="BY193" s="95" t="s">
        <v>70</v>
      </c>
      <c r="BZ193" s="91" t="str">
        <f>IF(Table645[[#This Row],[Column74]]=0,"--",BW193*$BY$3)</f>
        <v>--</v>
      </c>
      <c r="CA193" s="89">
        <f>IF(Table645[[#This Row],[Column78]]="--",0,Table645[[#This Row],[Column4]]*Table645[[#This Row],[Column78]])</f>
        <v>0</v>
      </c>
      <c r="CB193" s="95" t="s">
        <v>70</v>
      </c>
      <c r="CC193" s="91" t="str">
        <f>IF(Table645[[#This Row],[Column10]]+Table645[[#This Row],[Column74]]=0,"--",J193*$CB$4*$CB$5/(24*60)+IF(Table645[[#This Row],[Column74]]=0,0,$CB$3*Table645[[#This Row],[Column75]]))</f>
        <v>--</v>
      </c>
      <c r="CD193" s="92">
        <f>IF(Table645[[#This Row],[Column81]]="--",0,Table645[[#This Row],[Column4]]*Table645[[#This Row],[Column81]])</f>
        <v>0</v>
      </c>
      <c r="CE193" s="215"/>
      <c r="CF193" s="91" t="str">
        <f t="shared" si="127"/>
        <v>--</v>
      </c>
      <c r="CG193" s="92">
        <f>IF(Table645[[#This Row],[Column84]]="--",0,Table645[[#This Row],[Column4]]*Table645[[#This Row],[Column84]])</f>
        <v>0</v>
      </c>
      <c r="CH193" s="226"/>
      <c r="CI193" s="216"/>
      <c r="CJ193" s="91" t="str">
        <f>IF(CI193=0,"--",(Table645[[#This Row],[Column86]]*$CI$4*(IF(W193&lt;0.5001,1,IF(W193&lt;2.0001,2,3)))+CI193/$CI$3)/60/24)</f>
        <v>--</v>
      </c>
      <c r="CK193" s="92">
        <f>IF(Table645[[#This Row],[Column88]]="--",0,Table645[[#This Row],[Column4]]*Table645[[#This Row],[Column88]])</f>
        <v>0</v>
      </c>
      <c r="CL193" s="217"/>
      <c r="CM193" s="91" t="str">
        <f>IF(Table645[[#This Row],[Column87]]=0,"--",CJ193*$CL$3)</f>
        <v>--</v>
      </c>
      <c r="CN193" s="92">
        <f>IF(Table645[[#This Row],[Column91]]="--",0,Table645[[#This Row],[Column4]]*Table645[[#This Row],[Column91]])</f>
        <v>0</v>
      </c>
      <c r="CO193" s="217"/>
      <c r="CP193" s="91" t="str">
        <f>IF(Table645[[#This Row],[Column10]]+Table645[[#This Row],[Column87]]=0, "--", IF($D193="", 1, $D193) * IF($J193="", 1, $J193) * $CO$3 * $CO$4 * IF(Table645[[#This Row],[Column95]]="", 1, Table645[[#This Row],[Column95]]) / (24 * 60))</f>
        <v>--</v>
      </c>
      <c r="CQ193" s="164"/>
      <c r="CR193" s="92">
        <f>IF(Table645[[#This Row],[Column94]]="--",0,Table645[[#This Row],[Column4]]*Table645[[#This Row],[Column94]])</f>
        <v>0</v>
      </c>
      <c r="CS193" s="218" t="str">
        <f>IF(Table645[[#This Row],[Column87]]="","",Table645[[#This Row],[Column87]])</f>
        <v/>
      </c>
      <c r="CT193" s="91" t="str">
        <f>IF(Table645[[#This Row],[Column97]]="","--",Table645[[#This Row],[Column97]]/$CS$3/60/24)</f>
        <v>--</v>
      </c>
      <c r="CU193" s="92">
        <f>IF(Table645[[#This Row],[Column98]]="--",0,Table645[[#This Row],[Column4]]*Table645[[#This Row],[Column98]])</f>
        <v>0</v>
      </c>
      <c r="CV193" s="93"/>
      <c r="CW193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93" s="91" t="str">
        <f>IF(OR(Table645[[#This Row],[Column74]]&gt;0,Table645[[#This Row],[Column87]]&gt;0),(Table645[[#This Row],[Column73]]+Table645[[#This Row],[Column86]]+1)*$CW$3/60/24,"--")</f>
        <v>--</v>
      </c>
      <c r="CY193" s="92">
        <f>IF(Table645[[#This Row],[Column102]]="--",0,Table645[[#This Row],[Column4]]*Table645[[#This Row],[Column102]])</f>
        <v>0</v>
      </c>
      <c r="CZ193" s="158" t="str">
        <f t="shared" si="144"/>
        <v>--</v>
      </c>
      <c r="DA193" s="153"/>
      <c r="DB193" s="160">
        <f>IF(Table645[[#This Row],[Column104]]="--",0,Table645[[#This Row],[Column4]]*Table645[[#This Row],[Column104]])</f>
        <v>0</v>
      </c>
      <c r="DC193" s="219"/>
      <c r="DD193" s="220" t="str">
        <f>IF(DC193=0,"--",1/$DC$3*1000/(60*60*24)*Table645[[#This Row],[Column107]])</f>
        <v>--</v>
      </c>
      <c r="DE193" s="160">
        <f>IF(Table645[[#This Row],[Column108]]="--",0,Table645[[#This Row],[Column4]]*Table645[[#This Row],[Column108]])</f>
        <v>0</v>
      </c>
      <c r="DF193" s="101" t="s">
        <v>70</v>
      </c>
      <c r="DG193" s="91" t="str">
        <f t="shared" si="145"/>
        <v>--</v>
      </c>
      <c r="DH193" s="89">
        <f>IF(Table645[[#This Row],[Column111]]="--",0,Table645[[#This Row],[Column4]]*Table645[[#This Row],[Column111]])</f>
        <v>0</v>
      </c>
      <c r="DI193" s="96"/>
      <c r="DJ193" s="96"/>
      <c r="DK193" s="96"/>
      <c r="DL193" s="96"/>
      <c r="DM193" s="96"/>
      <c r="DN193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93" s="89">
        <f>IF(Table645[[#This Row],[Column118]]="--",0,Table645[[#This Row],[Column4]]*Table645[[#This Row],[Column118]])</f>
        <v>0</v>
      </c>
      <c r="DP193" s="96"/>
      <c r="DQ193" s="96"/>
      <c r="DR193" s="91" t="str">
        <f t="shared" si="146"/>
        <v>--</v>
      </c>
      <c r="DS193" s="89">
        <f>IF(Table645[[#This Row],[Column122]]="--",0,Table645[[#This Row],[Column4]]*Table645[[#This Row],[Column122]])</f>
        <v>0</v>
      </c>
      <c r="DT193" t="str">
        <f>IF(Table645[[#This Row],[Column125]]=0,"--",Table645[[#This Row],[Column125]]*Table645[[#This Row],[Column126]]*Table645[[#This Row],[Column127]]/1000000000)</f>
        <v>--</v>
      </c>
      <c r="DU193" s="53"/>
      <c r="DV193" s="53"/>
      <c r="DW193" s="53"/>
      <c r="DX193" s="91" t="str">
        <f t="shared" si="147"/>
        <v>--</v>
      </c>
      <c r="DY193" s="89">
        <f>IF(Table645[[#This Row],[Column128]]="--",0,Table645[[#This Row],[Column4]]*Table645[[#This Row],[Column128]])</f>
        <v>0</v>
      </c>
      <c r="EA193" s="89">
        <f>IF(Table645[[#This Row],[Column128]]="--",0,Table645[[#This Row],[Column4]]*Table645[[#This Row],[Column128]])</f>
        <v>0</v>
      </c>
      <c r="EC193" s="89">
        <f>IF(Table645[[#This Row],[Column128]]="--",0,Table645[[#This Row],[Column4]]*Table645[[#This Row],[Column128]])</f>
        <v>0</v>
      </c>
      <c r="EE193" s="89">
        <f>IF(Table645[[#This Row],[Column128]]="--",0,Table645[[#This Row],[Column4]]*Table645[[#This Row],[Column128]])</f>
        <v>0</v>
      </c>
      <c r="EG193" s="89">
        <f>IF(Table645[[#This Row],[Column128]]="--",0,Table645[[#This Row],[Column4]]*Table645[[#This Row],[Column128]])</f>
        <v>0</v>
      </c>
      <c r="EI193" s="89">
        <f>IF(Table645[[#This Row],[Column128]]="--",0,Table645[[#This Row],[Column4]]*Table645[[#This Row],[Column128]])</f>
        <v>0</v>
      </c>
    </row>
    <row r="194" spans="1:139" x14ac:dyDescent="0.25">
      <c r="A194" s="140"/>
      <c r="B194" s="79"/>
      <c r="C194" s="140"/>
      <c r="D194" s="167"/>
      <c r="E194" s="52"/>
      <c r="F194" s="81"/>
      <c r="G194" s="81"/>
      <c r="H194" s="102" t="str">
        <f t="shared" si="138"/>
        <v>--</v>
      </c>
      <c r="I194" s="100">
        <f>IF(Table645[[#This Row],[Column8]]="--",0,Table645[[#This Row],[Column4]]*Table645[[#This Row],[Column8]])</f>
        <v>0</v>
      </c>
      <c r="J194" s="169"/>
      <c r="K194" s="85">
        <f>Table645[[#This Row],[Column4]]*Table645[[#This Row],[Column10]]</f>
        <v>0</v>
      </c>
      <c r="L194" s="170" t="str">
        <f t="shared" si="139"/>
        <v>--</v>
      </c>
      <c r="M194" s="214">
        <f>IF(Table645[[#This Row],[Column10]]=0,0,Table645[[#This Row],[Column4]]*Table645[[#This Row],[Column12]])</f>
        <v>0</v>
      </c>
      <c r="N194" s="87" t="str">
        <f t="shared" si="140"/>
        <v>--</v>
      </c>
      <c r="O194" s="138"/>
      <c r="AZ194" s="89">
        <f>IF(Table645[[#This Row],[Column14]]="--",0,Table645[[#This Row],[Column4]]*Table645[[#This Row],[Column14]])</f>
        <v>0</v>
      </c>
      <c r="BA194" s="90"/>
      <c r="BB194" s="91" t="str">
        <f>IF(BA194=0,"--",BA194*$BA$3*IF(Table645[[#This Row],[Column5]]&lt;4.1,1,2)/60/24)</f>
        <v>--</v>
      </c>
      <c r="BC194" s="92">
        <f>IF(Table645[[#This Row],[Column54]]="--",0,Table645[[#This Row],[Column4]]*Table645[[#This Row],[Column54]])</f>
        <v>0</v>
      </c>
      <c r="BD194" s="119"/>
      <c r="BE194" s="119"/>
      <c r="BF194" s="119"/>
      <c r="BG194" s="91" t="str">
        <f>IF(BD194+Table645[[#This Row],[Column58]]=0,"--",(BD194*$BF$3*Table645[[#This Row],[Column57]]+Table645[[#This Row],[Column58]]*$BF$4)/60/24)</f>
        <v>--</v>
      </c>
      <c r="BH194" s="92">
        <f>IF(Table645[[#This Row],[Column59]]="--",0,Table645[[#This Row],[Column4]]*Table645[[#This Row],[Column59]])</f>
        <v>0</v>
      </c>
      <c r="BI194" s="119"/>
      <c r="BJ194" s="91" t="str">
        <f t="shared" si="126"/>
        <v>--</v>
      </c>
      <c r="BK194" s="92">
        <f>IF(Table645[[#This Row],[Column62]]="--",0,Table645[[#This Row],[Column4]]*Table645[[#This Row],[Column62]])</f>
        <v>0</v>
      </c>
      <c r="BL194" s="93"/>
      <c r="BM194" s="91" t="str">
        <f t="shared" si="141"/>
        <v>--</v>
      </c>
      <c r="BN194" s="89">
        <f>IF(Table645[[#This Row],[Column65]]="--",0,Table645[[#This Row],[Column4]]*Table645[[#This Row],[Column65]])</f>
        <v>0</v>
      </c>
      <c r="BO194" s="163"/>
      <c r="BP194" s="164" t="str">
        <f t="shared" si="142"/>
        <v>--</v>
      </c>
      <c r="BQ194" s="160">
        <f>IF(Table645[[#This Row],[Column68]]="--",0,Table645[[#This Row],[Column4]]*Table645[[#This Row],[Column68]])</f>
        <v>0</v>
      </c>
      <c r="BR194" s="94"/>
      <c r="BS194" s="91" t="str">
        <f t="shared" si="143"/>
        <v>--</v>
      </c>
      <c r="BT194" s="92">
        <f>IF(Table645[[#This Row],[Column71]]="--",0,Table645[[#This Row],[Column4]]*Table645[[#This Row],[Column71]])</f>
        <v>0</v>
      </c>
      <c r="BU194" s="44"/>
      <c r="BV194" s="90"/>
      <c r="BW194" s="91" t="str">
        <f>IF(BV194=0,"--",(Table645[[#This Row],[Column73]]*$BV$4*(IF(J194&lt;0.5001,1,IF(J194&lt;2.0001,2,3)))+BV194/$BV$3)/60/24)</f>
        <v>--</v>
      </c>
      <c r="BX194" s="92">
        <f>IF(Table645[[#This Row],[Column75]]="--",0,Table645[[#This Row],[Column4]]*Table645[[#This Row],[Column75]])</f>
        <v>0</v>
      </c>
      <c r="BY194" s="95" t="s">
        <v>70</v>
      </c>
      <c r="BZ194" s="91" t="str">
        <f>IF(Table645[[#This Row],[Column74]]=0,"--",BW194*$BY$3)</f>
        <v>--</v>
      </c>
      <c r="CA194" s="89">
        <f>IF(Table645[[#This Row],[Column78]]="--",0,Table645[[#This Row],[Column4]]*Table645[[#This Row],[Column78]])</f>
        <v>0</v>
      </c>
      <c r="CB194" s="95" t="s">
        <v>70</v>
      </c>
      <c r="CC194" s="91" t="str">
        <f>IF(Table645[[#This Row],[Column10]]+Table645[[#This Row],[Column74]]=0,"--",J194*$CB$4*$CB$5/(24*60)+IF(Table645[[#This Row],[Column74]]=0,0,$CB$3*Table645[[#This Row],[Column75]]))</f>
        <v>--</v>
      </c>
      <c r="CD194" s="92">
        <f>IF(Table645[[#This Row],[Column81]]="--",0,Table645[[#This Row],[Column4]]*Table645[[#This Row],[Column81]])</f>
        <v>0</v>
      </c>
      <c r="CE194" s="215"/>
      <c r="CF194" s="91" t="str">
        <f t="shared" si="127"/>
        <v>--</v>
      </c>
      <c r="CG194" s="92">
        <f>IF(Table645[[#This Row],[Column84]]="--",0,Table645[[#This Row],[Column4]]*Table645[[#This Row],[Column84]])</f>
        <v>0</v>
      </c>
      <c r="CH194" s="226"/>
      <c r="CI194" s="216"/>
      <c r="CJ194" s="91" t="str">
        <f>IF(CI194=0,"--",(Table645[[#This Row],[Column86]]*$CI$4*(IF(W194&lt;0.5001,1,IF(W194&lt;2.0001,2,3)))+CI194/$CI$3)/60/24)</f>
        <v>--</v>
      </c>
      <c r="CK194" s="92">
        <f>IF(Table645[[#This Row],[Column88]]="--",0,Table645[[#This Row],[Column4]]*Table645[[#This Row],[Column88]])</f>
        <v>0</v>
      </c>
      <c r="CL194" s="217"/>
      <c r="CM194" s="91" t="str">
        <f>IF(Table645[[#This Row],[Column87]]=0,"--",CJ194*$CL$3)</f>
        <v>--</v>
      </c>
      <c r="CN194" s="92">
        <f>IF(Table645[[#This Row],[Column91]]="--",0,Table645[[#This Row],[Column4]]*Table645[[#This Row],[Column91]])</f>
        <v>0</v>
      </c>
      <c r="CO194" s="217"/>
      <c r="CP194" s="91" t="str">
        <f>IF(Table645[[#This Row],[Column10]]+Table645[[#This Row],[Column87]]=0, "--", IF($D194="", 1, $D194) * IF($J194="", 1, $J194) * $CO$3 * $CO$4 * IF(Table645[[#This Row],[Column95]]="", 1, Table645[[#This Row],[Column95]]) / (24 * 60))</f>
        <v>--</v>
      </c>
      <c r="CQ194" s="164"/>
      <c r="CR194" s="92">
        <f>IF(Table645[[#This Row],[Column94]]="--",0,Table645[[#This Row],[Column4]]*Table645[[#This Row],[Column94]])</f>
        <v>0</v>
      </c>
      <c r="CS194" s="218" t="str">
        <f>IF(Table645[[#This Row],[Column87]]="","",Table645[[#This Row],[Column87]])</f>
        <v/>
      </c>
      <c r="CT194" s="91" t="str">
        <f>IF(Table645[[#This Row],[Column97]]="","--",Table645[[#This Row],[Column97]]/$CS$3/60/24)</f>
        <v>--</v>
      </c>
      <c r="CU194" s="92">
        <f>IF(Table645[[#This Row],[Column98]]="--",0,Table645[[#This Row],[Column4]]*Table645[[#This Row],[Column98]])</f>
        <v>0</v>
      </c>
      <c r="CV194" s="93"/>
      <c r="CW194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94" s="91" t="str">
        <f>IF(OR(Table645[[#This Row],[Column74]]&gt;0,Table645[[#This Row],[Column87]]&gt;0),(Table645[[#This Row],[Column73]]+Table645[[#This Row],[Column86]]+1)*$CW$3/60/24,"--")</f>
        <v>--</v>
      </c>
      <c r="CY194" s="92">
        <f>IF(Table645[[#This Row],[Column102]]="--",0,Table645[[#This Row],[Column4]]*Table645[[#This Row],[Column102]])</f>
        <v>0</v>
      </c>
      <c r="CZ194" s="158" t="str">
        <f t="shared" si="144"/>
        <v>--</v>
      </c>
      <c r="DA194" s="153"/>
      <c r="DB194" s="160">
        <f>IF(Table645[[#This Row],[Column104]]="--",0,Table645[[#This Row],[Column4]]*Table645[[#This Row],[Column104]])</f>
        <v>0</v>
      </c>
      <c r="DC194" s="219"/>
      <c r="DD194" s="220" t="str">
        <f>IF(DC194=0,"--",1/$DC$3*1000/(60*60*24)*Table645[[#This Row],[Column107]])</f>
        <v>--</v>
      </c>
      <c r="DE194" s="160">
        <f>IF(Table645[[#This Row],[Column108]]="--",0,Table645[[#This Row],[Column4]]*Table645[[#This Row],[Column108]])</f>
        <v>0</v>
      </c>
      <c r="DF194" s="101" t="s">
        <v>70</v>
      </c>
      <c r="DG194" s="91" t="str">
        <f t="shared" si="145"/>
        <v>--</v>
      </c>
      <c r="DH194" s="89">
        <f>IF(Table645[[#This Row],[Column111]]="--",0,Table645[[#This Row],[Column4]]*Table645[[#This Row],[Column111]])</f>
        <v>0</v>
      </c>
      <c r="DI194" s="96"/>
      <c r="DJ194" s="96"/>
      <c r="DK194" s="96"/>
      <c r="DL194" s="96"/>
      <c r="DM194" s="96"/>
      <c r="DN194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94" s="89">
        <f>IF(Table645[[#This Row],[Column118]]="--",0,Table645[[#This Row],[Column4]]*Table645[[#This Row],[Column118]])</f>
        <v>0</v>
      </c>
      <c r="DP194" s="96"/>
      <c r="DQ194" s="96"/>
      <c r="DR194" s="91" t="str">
        <f t="shared" si="146"/>
        <v>--</v>
      </c>
      <c r="DS194" s="89">
        <f>IF(Table645[[#This Row],[Column122]]="--",0,Table645[[#This Row],[Column4]]*Table645[[#This Row],[Column122]])</f>
        <v>0</v>
      </c>
      <c r="DT194" t="str">
        <f>IF(Table645[[#This Row],[Column125]]=0,"--",Table645[[#This Row],[Column125]]*Table645[[#This Row],[Column126]]*Table645[[#This Row],[Column127]]/1000000000)</f>
        <v>--</v>
      </c>
      <c r="DU194" s="53"/>
      <c r="DV194" s="53"/>
      <c r="DW194" s="53"/>
      <c r="DX194" s="91" t="str">
        <f t="shared" si="147"/>
        <v>--</v>
      </c>
      <c r="DY194" s="89">
        <f>IF(Table645[[#This Row],[Column128]]="--",0,Table645[[#This Row],[Column4]]*Table645[[#This Row],[Column128]])</f>
        <v>0</v>
      </c>
      <c r="EA194" s="89">
        <f>IF(Table645[[#This Row],[Column128]]="--",0,Table645[[#This Row],[Column4]]*Table645[[#This Row],[Column128]])</f>
        <v>0</v>
      </c>
      <c r="EC194" s="89">
        <f>IF(Table645[[#This Row],[Column128]]="--",0,Table645[[#This Row],[Column4]]*Table645[[#This Row],[Column128]])</f>
        <v>0</v>
      </c>
      <c r="EE194" s="89">
        <f>IF(Table645[[#This Row],[Column128]]="--",0,Table645[[#This Row],[Column4]]*Table645[[#This Row],[Column128]])</f>
        <v>0</v>
      </c>
      <c r="EG194" s="89">
        <f>IF(Table645[[#This Row],[Column128]]="--",0,Table645[[#This Row],[Column4]]*Table645[[#This Row],[Column128]])</f>
        <v>0</v>
      </c>
      <c r="EI194" s="89">
        <f>IF(Table645[[#This Row],[Column128]]="--",0,Table645[[#This Row],[Column4]]*Table645[[#This Row],[Column128]])</f>
        <v>0</v>
      </c>
    </row>
    <row r="195" spans="1:139" x14ac:dyDescent="0.25">
      <c r="A195" s="140"/>
      <c r="B195" s="79"/>
      <c r="C195" s="140"/>
      <c r="D195" s="167"/>
      <c r="E195" s="52"/>
      <c r="F195" s="81"/>
      <c r="G195" s="81"/>
      <c r="H195" s="102" t="str">
        <f t="shared" si="138"/>
        <v>--</v>
      </c>
      <c r="I195" s="100">
        <f>IF(Table645[[#This Row],[Column8]]="--",0,Table645[[#This Row],[Column4]]*Table645[[#This Row],[Column8]])</f>
        <v>0</v>
      </c>
      <c r="J195" s="169"/>
      <c r="K195" s="85">
        <f>Table645[[#This Row],[Column4]]*Table645[[#This Row],[Column10]]</f>
        <v>0</v>
      </c>
      <c r="L195" s="170" t="str">
        <f t="shared" si="139"/>
        <v>--</v>
      </c>
      <c r="M195" s="214">
        <f>IF(Table645[[#This Row],[Column10]]=0,0,Table645[[#This Row],[Column4]]*Table645[[#This Row],[Column12]])</f>
        <v>0</v>
      </c>
      <c r="N195" s="87" t="str">
        <f t="shared" si="140"/>
        <v>--</v>
      </c>
      <c r="O195" s="138"/>
      <c r="AZ195" s="89">
        <f>IF(Table645[[#This Row],[Column14]]="--",0,Table645[[#This Row],[Column4]]*Table645[[#This Row],[Column14]])</f>
        <v>0</v>
      </c>
      <c r="BA195" s="90"/>
      <c r="BB195" s="91" t="str">
        <f>IF(BA195=0,"--",BA195*$BA$3*IF(Table645[[#This Row],[Column5]]&lt;4.1,1,2)/60/24)</f>
        <v>--</v>
      </c>
      <c r="BC195" s="92">
        <f>IF(Table645[[#This Row],[Column54]]="--",0,Table645[[#This Row],[Column4]]*Table645[[#This Row],[Column54]])</f>
        <v>0</v>
      </c>
      <c r="BD195" s="119"/>
      <c r="BE195" s="119"/>
      <c r="BF195" s="119"/>
      <c r="BG195" s="91" t="str">
        <f>IF(BD195+Table645[[#This Row],[Column58]]=0,"--",(BD195*$BF$3*Table645[[#This Row],[Column57]]+Table645[[#This Row],[Column58]]*$BF$4)/60/24)</f>
        <v>--</v>
      </c>
      <c r="BH195" s="92">
        <f>IF(Table645[[#This Row],[Column59]]="--",0,Table645[[#This Row],[Column4]]*Table645[[#This Row],[Column59]])</f>
        <v>0</v>
      </c>
      <c r="BI195" s="119"/>
      <c r="BJ195" s="91" t="str">
        <f t="shared" si="126"/>
        <v>--</v>
      </c>
      <c r="BK195" s="92">
        <f>IF(Table645[[#This Row],[Column62]]="--",0,Table645[[#This Row],[Column4]]*Table645[[#This Row],[Column62]])</f>
        <v>0</v>
      </c>
      <c r="BL195" s="93"/>
      <c r="BM195" s="91" t="str">
        <f t="shared" si="141"/>
        <v>--</v>
      </c>
      <c r="BN195" s="89">
        <f>IF(Table645[[#This Row],[Column65]]="--",0,Table645[[#This Row],[Column4]]*Table645[[#This Row],[Column65]])</f>
        <v>0</v>
      </c>
      <c r="BO195" s="163"/>
      <c r="BP195" s="164" t="str">
        <f t="shared" si="142"/>
        <v>--</v>
      </c>
      <c r="BQ195" s="160">
        <f>IF(Table645[[#This Row],[Column68]]="--",0,Table645[[#This Row],[Column4]]*Table645[[#This Row],[Column68]])</f>
        <v>0</v>
      </c>
      <c r="BR195" s="94"/>
      <c r="BS195" s="91" t="str">
        <f t="shared" si="143"/>
        <v>--</v>
      </c>
      <c r="BT195" s="92">
        <f>IF(Table645[[#This Row],[Column71]]="--",0,Table645[[#This Row],[Column4]]*Table645[[#This Row],[Column71]])</f>
        <v>0</v>
      </c>
      <c r="BU195" s="44"/>
      <c r="BV195" s="90"/>
      <c r="BW195" s="91" t="str">
        <f>IF(BV195=0,"--",(Table645[[#This Row],[Column73]]*$BV$4*(IF(J195&lt;0.5001,1,IF(J195&lt;2.0001,2,3)))+BV195/$BV$3)/60/24)</f>
        <v>--</v>
      </c>
      <c r="BX195" s="92">
        <f>IF(Table645[[#This Row],[Column75]]="--",0,Table645[[#This Row],[Column4]]*Table645[[#This Row],[Column75]])</f>
        <v>0</v>
      </c>
      <c r="BY195" s="95" t="s">
        <v>70</v>
      </c>
      <c r="BZ195" s="91" t="str">
        <f>IF(Table645[[#This Row],[Column74]]=0,"--",BW195*$BY$3)</f>
        <v>--</v>
      </c>
      <c r="CA195" s="89">
        <f>IF(Table645[[#This Row],[Column78]]="--",0,Table645[[#This Row],[Column4]]*Table645[[#This Row],[Column78]])</f>
        <v>0</v>
      </c>
      <c r="CB195" s="95" t="s">
        <v>70</v>
      </c>
      <c r="CC195" s="91" t="str">
        <f>IF(Table645[[#This Row],[Column10]]+Table645[[#This Row],[Column74]]=0,"--",J195*$CB$4*$CB$5/(24*60)+IF(Table645[[#This Row],[Column74]]=0,0,$CB$3*Table645[[#This Row],[Column75]]))</f>
        <v>--</v>
      </c>
      <c r="CD195" s="92">
        <f>IF(Table645[[#This Row],[Column81]]="--",0,Table645[[#This Row],[Column4]]*Table645[[#This Row],[Column81]])</f>
        <v>0</v>
      </c>
      <c r="CE195" s="215"/>
      <c r="CF195" s="91" t="str">
        <f t="shared" si="127"/>
        <v>--</v>
      </c>
      <c r="CG195" s="92">
        <f>IF(Table645[[#This Row],[Column84]]="--",0,Table645[[#This Row],[Column4]]*Table645[[#This Row],[Column84]])</f>
        <v>0</v>
      </c>
      <c r="CH195" s="226"/>
      <c r="CI195" s="216"/>
      <c r="CJ195" s="91" t="str">
        <f>IF(CI195=0,"--",(Table645[[#This Row],[Column86]]*$CI$4*(IF(W195&lt;0.5001,1,IF(W195&lt;2.0001,2,3)))+CI195/$CI$3)/60/24)</f>
        <v>--</v>
      </c>
      <c r="CK195" s="92">
        <f>IF(Table645[[#This Row],[Column88]]="--",0,Table645[[#This Row],[Column4]]*Table645[[#This Row],[Column88]])</f>
        <v>0</v>
      </c>
      <c r="CL195" s="217"/>
      <c r="CM195" s="91" t="str">
        <f>IF(Table645[[#This Row],[Column87]]=0,"--",CJ195*$CL$3)</f>
        <v>--</v>
      </c>
      <c r="CN195" s="92">
        <f>IF(Table645[[#This Row],[Column91]]="--",0,Table645[[#This Row],[Column4]]*Table645[[#This Row],[Column91]])</f>
        <v>0</v>
      </c>
      <c r="CO195" s="217"/>
      <c r="CP195" s="91" t="str">
        <f>IF(Table645[[#This Row],[Column10]]+Table645[[#This Row],[Column87]]=0, "--", IF($D195="", 1, $D195) * IF($J195="", 1, $J195) * $CO$3 * $CO$4 * IF(Table645[[#This Row],[Column95]]="", 1, Table645[[#This Row],[Column95]]) / (24 * 60))</f>
        <v>--</v>
      </c>
      <c r="CQ195" s="164"/>
      <c r="CR195" s="92">
        <f>IF(Table645[[#This Row],[Column94]]="--",0,Table645[[#This Row],[Column4]]*Table645[[#This Row],[Column94]])</f>
        <v>0</v>
      </c>
      <c r="CS195" s="218" t="str">
        <f>IF(Table645[[#This Row],[Column87]]="","",Table645[[#This Row],[Column87]])</f>
        <v/>
      </c>
      <c r="CT195" s="91" t="str">
        <f>IF(Table645[[#This Row],[Column97]]="","--",Table645[[#This Row],[Column97]]/$CS$3/60/24)</f>
        <v>--</v>
      </c>
      <c r="CU195" s="92">
        <f>IF(Table645[[#This Row],[Column98]]="--",0,Table645[[#This Row],[Column4]]*Table645[[#This Row],[Column98]])</f>
        <v>0</v>
      </c>
      <c r="CV195" s="93"/>
      <c r="CW195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95" s="91" t="str">
        <f>IF(OR(Table645[[#This Row],[Column74]]&gt;0,Table645[[#This Row],[Column87]]&gt;0),(Table645[[#This Row],[Column73]]+Table645[[#This Row],[Column86]]+1)*$CW$3/60/24,"--")</f>
        <v>--</v>
      </c>
      <c r="CY195" s="92">
        <f>IF(Table645[[#This Row],[Column102]]="--",0,Table645[[#This Row],[Column4]]*Table645[[#This Row],[Column102]])</f>
        <v>0</v>
      </c>
      <c r="CZ195" s="158" t="str">
        <f t="shared" si="144"/>
        <v>--</v>
      </c>
      <c r="DA195" s="153"/>
      <c r="DB195" s="160">
        <f>IF(Table645[[#This Row],[Column104]]="--",0,Table645[[#This Row],[Column4]]*Table645[[#This Row],[Column104]])</f>
        <v>0</v>
      </c>
      <c r="DC195" s="219"/>
      <c r="DD195" s="220" t="str">
        <f>IF(DC195=0,"--",1/$DC$3*1000/(60*60*24)*Table645[[#This Row],[Column107]])</f>
        <v>--</v>
      </c>
      <c r="DE195" s="160">
        <f>IF(Table645[[#This Row],[Column108]]="--",0,Table645[[#This Row],[Column4]]*Table645[[#This Row],[Column108]])</f>
        <v>0</v>
      </c>
      <c r="DF195" s="101" t="s">
        <v>70</v>
      </c>
      <c r="DG195" s="91" t="str">
        <f t="shared" si="145"/>
        <v>--</v>
      </c>
      <c r="DH195" s="89">
        <f>IF(Table645[[#This Row],[Column111]]="--",0,Table645[[#This Row],[Column4]]*Table645[[#This Row],[Column111]])</f>
        <v>0</v>
      </c>
      <c r="DI195" s="96"/>
      <c r="DJ195" s="96"/>
      <c r="DK195" s="96"/>
      <c r="DL195" s="96"/>
      <c r="DM195" s="96"/>
      <c r="DN195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95" s="89">
        <f>IF(Table645[[#This Row],[Column118]]="--",0,Table645[[#This Row],[Column4]]*Table645[[#This Row],[Column118]])</f>
        <v>0</v>
      </c>
      <c r="DP195" s="96"/>
      <c r="DQ195" s="96"/>
      <c r="DR195" s="91" t="str">
        <f t="shared" si="146"/>
        <v>--</v>
      </c>
      <c r="DS195" s="89">
        <f>IF(Table645[[#This Row],[Column122]]="--",0,Table645[[#This Row],[Column4]]*Table645[[#This Row],[Column122]])</f>
        <v>0</v>
      </c>
      <c r="DT195" t="str">
        <f>IF(Table645[[#This Row],[Column125]]=0,"--",Table645[[#This Row],[Column125]]*Table645[[#This Row],[Column126]]*Table645[[#This Row],[Column127]]/1000000000)</f>
        <v>--</v>
      </c>
      <c r="DU195" s="53"/>
      <c r="DV195" s="53"/>
      <c r="DW195" s="53"/>
      <c r="DX195" s="91" t="str">
        <f t="shared" si="147"/>
        <v>--</v>
      </c>
      <c r="DY195" s="89">
        <f>IF(Table645[[#This Row],[Column128]]="--",0,Table645[[#This Row],[Column4]]*Table645[[#This Row],[Column128]])</f>
        <v>0</v>
      </c>
      <c r="EA195" s="89">
        <f>IF(Table645[[#This Row],[Column128]]="--",0,Table645[[#This Row],[Column4]]*Table645[[#This Row],[Column128]])</f>
        <v>0</v>
      </c>
      <c r="EC195" s="89">
        <f>IF(Table645[[#This Row],[Column128]]="--",0,Table645[[#This Row],[Column4]]*Table645[[#This Row],[Column128]])</f>
        <v>0</v>
      </c>
      <c r="EE195" s="89">
        <f>IF(Table645[[#This Row],[Column128]]="--",0,Table645[[#This Row],[Column4]]*Table645[[#This Row],[Column128]])</f>
        <v>0</v>
      </c>
      <c r="EG195" s="89">
        <f>IF(Table645[[#This Row],[Column128]]="--",0,Table645[[#This Row],[Column4]]*Table645[[#This Row],[Column128]])</f>
        <v>0</v>
      </c>
      <c r="EI195" s="89">
        <f>IF(Table645[[#This Row],[Column128]]="--",0,Table645[[#This Row],[Column4]]*Table645[[#This Row],[Column128]])</f>
        <v>0</v>
      </c>
    </row>
    <row r="196" spans="1:139" x14ac:dyDescent="0.25">
      <c r="A196" s="140"/>
      <c r="B196" s="79"/>
      <c r="C196" s="140"/>
      <c r="D196" s="167"/>
      <c r="E196" s="52"/>
      <c r="F196" s="81"/>
      <c r="G196" s="81"/>
      <c r="H196" s="102" t="str">
        <f t="shared" si="138"/>
        <v>--</v>
      </c>
      <c r="I196" s="100">
        <f>IF(Table645[[#This Row],[Column8]]="--",0,Table645[[#This Row],[Column4]]*Table645[[#This Row],[Column8]])</f>
        <v>0</v>
      </c>
      <c r="J196" s="169"/>
      <c r="K196" s="85">
        <f>Table645[[#This Row],[Column4]]*Table645[[#This Row],[Column10]]</f>
        <v>0</v>
      </c>
      <c r="L196" s="170" t="str">
        <f t="shared" si="139"/>
        <v>--</v>
      </c>
      <c r="M196" s="214">
        <f>IF(Table645[[#This Row],[Column10]]=0,0,Table645[[#This Row],[Column4]]*Table645[[#This Row],[Column12]])</f>
        <v>0</v>
      </c>
      <c r="N196" s="87" t="str">
        <f t="shared" si="140"/>
        <v>--</v>
      </c>
      <c r="O196" s="138"/>
      <c r="AZ196" s="89">
        <f>IF(Table645[[#This Row],[Column14]]="--",0,Table645[[#This Row],[Column4]]*Table645[[#This Row],[Column14]])</f>
        <v>0</v>
      </c>
      <c r="BA196" s="90"/>
      <c r="BB196" s="91" t="str">
        <f>IF(BA196=0,"--",BA196*$BA$3*IF(Table645[[#This Row],[Column5]]&lt;4.1,1,2)/60/24)</f>
        <v>--</v>
      </c>
      <c r="BC196" s="92">
        <f>IF(Table645[[#This Row],[Column54]]="--",0,Table645[[#This Row],[Column4]]*Table645[[#This Row],[Column54]])</f>
        <v>0</v>
      </c>
      <c r="BD196" s="119"/>
      <c r="BE196" s="119"/>
      <c r="BF196" s="119"/>
      <c r="BG196" s="91" t="str">
        <f>IF(BD196+Table645[[#This Row],[Column58]]=0,"--",(BD196*$BF$3*Table645[[#This Row],[Column57]]+Table645[[#This Row],[Column58]]*$BF$4)/60/24)</f>
        <v>--</v>
      </c>
      <c r="BH196" s="92">
        <f>IF(Table645[[#This Row],[Column59]]="--",0,Table645[[#This Row],[Column4]]*Table645[[#This Row],[Column59]])</f>
        <v>0</v>
      </c>
      <c r="BI196" s="119"/>
      <c r="BJ196" s="91" t="str">
        <f t="shared" si="126"/>
        <v>--</v>
      </c>
      <c r="BK196" s="92">
        <f>IF(Table645[[#This Row],[Column62]]="--",0,Table645[[#This Row],[Column4]]*Table645[[#This Row],[Column62]])</f>
        <v>0</v>
      </c>
      <c r="BL196" s="93"/>
      <c r="BM196" s="91" t="str">
        <f t="shared" si="141"/>
        <v>--</v>
      </c>
      <c r="BN196" s="89">
        <f>IF(Table645[[#This Row],[Column65]]="--",0,Table645[[#This Row],[Column4]]*Table645[[#This Row],[Column65]])</f>
        <v>0</v>
      </c>
      <c r="BO196" s="163"/>
      <c r="BP196" s="164" t="str">
        <f t="shared" si="142"/>
        <v>--</v>
      </c>
      <c r="BQ196" s="160">
        <f>IF(Table645[[#This Row],[Column68]]="--",0,Table645[[#This Row],[Column4]]*Table645[[#This Row],[Column68]])</f>
        <v>0</v>
      </c>
      <c r="BR196" s="94"/>
      <c r="BS196" s="91" t="str">
        <f t="shared" si="143"/>
        <v>--</v>
      </c>
      <c r="BT196" s="92">
        <f>IF(Table645[[#This Row],[Column71]]="--",0,Table645[[#This Row],[Column4]]*Table645[[#This Row],[Column71]])</f>
        <v>0</v>
      </c>
      <c r="BU196" s="44"/>
      <c r="BV196" s="90"/>
      <c r="BW196" s="91" t="str">
        <f>IF(BV196=0,"--",(Table645[[#This Row],[Column73]]*$BV$4*(IF(J196&lt;0.5001,1,IF(J196&lt;2.0001,2,3)))+BV196/$BV$3)/60/24)</f>
        <v>--</v>
      </c>
      <c r="BX196" s="92">
        <f>IF(Table645[[#This Row],[Column75]]="--",0,Table645[[#This Row],[Column4]]*Table645[[#This Row],[Column75]])</f>
        <v>0</v>
      </c>
      <c r="BY196" s="95" t="s">
        <v>70</v>
      </c>
      <c r="BZ196" s="91" t="str">
        <f>IF(Table645[[#This Row],[Column74]]=0,"--",BW196*$BY$3)</f>
        <v>--</v>
      </c>
      <c r="CA196" s="89">
        <f>IF(Table645[[#This Row],[Column78]]="--",0,Table645[[#This Row],[Column4]]*Table645[[#This Row],[Column78]])</f>
        <v>0</v>
      </c>
      <c r="CB196" s="95" t="s">
        <v>70</v>
      </c>
      <c r="CC196" s="91" t="str">
        <f>IF(Table645[[#This Row],[Column10]]+Table645[[#This Row],[Column74]]=0,"--",J196*$CB$4*$CB$5/(24*60)+IF(Table645[[#This Row],[Column74]]=0,0,$CB$3*Table645[[#This Row],[Column75]]))</f>
        <v>--</v>
      </c>
      <c r="CD196" s="92">
        <f>IF(Table645[[#This Row],[Column81]]="--",0,Table645[[#This Row],[Column4]]*Table645[[#This Row],[Column81]])</f>
        <v>0</v>
      </c>
      <c r="CE196" s="215"/>
      <c r="CF196" s="91" t="str">
        <f t="shared" si="127"/>
        <v>--</v>
      </c>
      <c r="CG196" s="92">
        <f>IF(Table645[[#This Row],[Column84]]="--",0,Table645[[#This Row],[Column4]]*Table645[[#This Row],[Column84]])</f>
        <v>0</v>
      </c>
      <c r="CH196" s="226"/>
      <c r="CI196" s="216"/>
      <c r="CJ196" s="91" t="str">
        <f>IF(CI196=0,"--",(Table645[[#This Row],[Column86]]*$CI$4*(IF(W196&lt;0.5001,1,IF(W196&lt;2.0001,2,3)))+CI196/$CI$3)/60/24)</f>
        <v>--</v>
      </c>
      <c r="CK196" s="92">
        <f>IF(Table645[[#This Row],[Column88]]="--",0,Table645[[#This Row],[Column4]]*Table645[[#This Row],[Column88]])</f>
        <v>0</v>
      </c>
      <c r="CL196" s="217"/>
      <c r="CM196" s="91" t="str">
        <f>IF(Table645[[#This Row],[Column87]]=0,"--",CJ196*$CL$3)</f>
        <v>--</v>
      </c>
      <c r="CN196" s="92">
        <f>IF(Table645[[#This Row],[Column91]]="--",0,Table645[[#This Row],[Column4]]*Table645[[#This Row],[Column91]])</f>
        <v>0</v>
      </c>
      <c r="CO196" s="217"/>
      <c r="CP196" s="91" t="str">
        <f>IF(Table645[[#This Row],[Column10]]+Table645[[#This Row],[Column87]]=0, "--", IF($D196="", 1, $D196) * IF($J196="", 1, $J196) * $CO$3 * $CO$4 * IF(Table645[[#This Row],[Column95]]="", 1, Table645[[#This Row],[Column95]]) / (24 * 60))</f>
        <v>--</v>
      </c>
      <c r="CQ196" s="164"/>
      <c r="CR196" s="92">
        <f>IF(Table645[[#This Row],[Column94]]="--",0,Table645[[#This Row],[Column4]]*Table645[[#This Row],[Column94]])</f>
        <v>0</v>
      </c>
      <c r="CS196" s="218" t="str">
        <f>IF(Table645[[#This Row],[Column87]]="","",Table645[[#This Row],[Column87]])</f>
        <v/>
      </c>
      <c r="CT196" s="91" t="str">
        <f>IF(Table645[[#This Row],[Column97]]="","--",Table645[[#This Row],[Column97]]/$CS$3/60/24)</f>
        <v>--</v>
      </c>
      <c r="CU196" s="92">
        <f>IF(Table645[[#This Row],[Column98]]="--",0,Table645[[#This Row],[Column4]]*Table645[[#This Row],[Column98]])</f>
        <v>0</v>
      </c>
      <c r="CV196" s="93"/>
      <c r="CW196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96" s="91" t="str">
        <f>IF(OR(Table645[[#This Row],[Column74]]&gt;0,Table645[[#This Row],[Column87]]&gt;0),(Table645[[#This Row],[Column73]]+Table645[[#This Row],[Column86]]+1)*$CW$3/60/24,"--")</f>
        <v>--</v>
      </c>
      <c r="CY196" s="92">
        <f>IF(Table645[[#This Row],[Column102]]="--",0,Table645[[#This Row],[Column4]]*Table645[[#This Row],[Column102]])</f>
        <v>0</v>
      </c>
      <c r="CZ196" s="158" t="str">
        <f t="shared" si="144"/>
        <v>--</v>
      </c>
      <c r="DA196" s="153"/>
      <c r="DB196" s="160">
        <f>IF(Table645[[#This Row],[Column104]]="--",0,Table645[[#This Row],[Column4]]*Table645[[#This Row],[Column104]])</f>
        <v>0</v>
      </c>
      <c r="DC196" s="219"/>
      <c r="DD196" s="220" t="str">
        <f>IF(DC196=0,"--",1/$DC$3*1000/(60*60*24)*Table645[[#This Row],[Column107]])</f>
        <v>--</v>
      </c>
      <c r="DE196" s="160">
        <f>IF(Table645[[#This Row],[Column108]]="--",0,Table645[[#This Row],[Column4]]*Table645[[#This Row],[Column108]])</f>
        <v>0</v>
      </c>
      <c r="DF196" s="101" t="s">
        <v>70</v>
      </c>
      <c r="DG196" s="91" t="str">
        <f t="shared" si="145"/>
        <v>--</v>
      </c>
      <c r="DH196" s="89">
        <f>IF(Table645[[#This Row],[Column111]]="--",0,Table645[[#This Row],[Column4]]*Table645[[#This Row],[Column111]])</f>
        <v>0</v>
      </c>
      <c r="DI196" s="96"/>
      <c r="DJ196" s="96"/>
      <c r="DK196" s="96"/>
      <c r="DL196" s="96"/>
      <c r="DM196" s="96"/>
      <c r="DN196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96" s="89">
        <f>IF(Table645[[#This Row],[Column118]]="--",0,Table645[[#This Row],[Column4]]*Table645[[#This Row],[Column118]])</f>
        <v>0</v>
      </c>
      <c r="DP196" s="96"/>
      <c r="DQ196" s="96"/>
      <c r="DR196" s="91" t="str">
        <f t="shared" si="146"/>
        <v>--</v>
      </c>
      <c r="DS196" s="89">
        <f>IF(Table645[[#This Row],[Column122]]="--",0,Table645[[#This Row],[Column4]]*Table645[[#This Row],[Column122]])</f>
        <v>0</v>
      </c>
      <c r="DT196" t="str">
        <f>IF(Table645[[#This Row],[Column125]]=0,"--",Table645[[#This Row],[Column125]]*Table645[[#This Row],[Column126]]*Table645[[#This Row],[Column127]]/1000000000)</f>
        <v>--</v>
      </c>
      <c r="DU196" s="53"/>
      <c r="DV196" s="53"/>
      <c r="DW196" s="53"/>
      <c r="DX196" s="91" t="str">
        <f t="shared" si="147"/>
        <v>--</v>
      </c>
      <c r="DY196" s="89">
        <f>IF(Table645[[#This Row],[Column128]]="--",0,Table645[[#This Row],[Column4]]*Table645[[#This Row],[Column128]])</f>
        <v>0</v>
      </c>
      <c r="EA196" s="89">
        <f>IF(Table645[[#This Row],[Column128]]="--",0,Table645[[#This Row],[Column4]]*Table645[[#This Row],[Column128]])</f>
        <v>0</v>
      </c>
      <c r="EC196" s="89">
        <f>IF(Table645[[#This Row],[Column128]]="--",0,Table645[[#This Row],[Column4]]*Table645[[#This Row],[Column128]])</f>
        <v>0</v>
      </c>
      <c r="EE196" s="89">
        <f>IF(Table645[[#This Row],[Column128]]="--",0,Table645[[#This Row],[Column4]]*Table645[[#This Row],[Column128]])</f>
        <v>0</v>
      </c>
      <c r="EG196" s="89">
        <f>IF(Table645[[#This Row],[Column128]]="--",0,Table645[[#This Row],[Column4]]*Table645[[#This Row],[Column128]])</f>
        <v>0</v>
      </c>
      <c r="EI196" s="89">
        <f>IF(Table645[[#This Row],[Column128]]="--",0,Table645[[#This Row],[Column4]]*Table645[[#This Row],[Column128]])</f>
        <v>0</v>
      </c>
    </row>
    <row r="197" spans="1:139" x14ac:dyDescent="0.25">
      <c r="A197" s="140"/>
      <c r="B197" s="79"/>
      <c r="C197" s="140"/>
      <c r="D197" s="167"/>
      <c r="E197" s="52"/>
      <c r="F197" s="81"/>
      <c r="G197" s="81"/>
      <c r="H197" s="102" t="str">
        <f t="shared" si="138"/>
        <v>--</v>
      </c>
      <c r="I197" s="100">
        <f>IF(Table645[[#This Row],[Column8]]="--",0,Table645[[#This Row],[Column4]]*Table645[[#This Row],[Column8]])</f>
        <v>0</v>
      </c>
      <c r="J197" s="169"/>
      <c r="K197" s="85">
        <f>Table645[[#This Row],[Column4]]*Table645[[#This Row],[Column10]]</f>
        <v>0</v>
      </c>
      <c r="L197" s="170" t="str">
        <f t="shared" si="139"/>
        <v>--</v>
      </c>
      <c r="M197" s="214">
        <f>IF(Table645[[#This Row],[Column10]]=0,0,Table645[[#This Row],[Column4]]*Table645[[#This Row],[Column12]])</f>
        <v>0</v>
      </c>
      <c r="N197" s="87" t="str">
        <f t="shared" si="140"/>
        <v>--</v>
      </c>
      <c r="O197" s="138"/>
      <c r="AZ197" s="89">
        <f>IF(Table645[[#This Row],[Column14]]="--",0,Table645[[#This Row],[Column4]]*Table645[[#This Row],[Column14]])</f>
        <v>0</v>
      </c>
      <c r="BA197" s="90"/>
      <c r="BB197" s="91" t="str">
        <f>IF(BA197=0,"--",BA197*$BA$3*IF(Table645[[#This Row],[Column5]]&lt;4.1,1,2)/60/24)</f>
        <v>--</v>
      </c>
      <c r="BC197" s="92">
        <f>IF(Table645[[#This Row],[Column54]]="--",0,Table645[[#This Row],[Column4]]*Table645[[#This Row],[Column54]])</f>
        <v>0</v>
      </c>
      <c r="BD197" s="119"/>
      <c r="BE197" s="119"/>
      <c r="BF197" s="119"/>
      <c r="BG197" s="91" t="str">
        <f>IF(BD197+Table645[[#This Row],[Column58]]=0,"--",(BD197*$BF$3*Table645[[#This Row],[Column57]]+Table645[[#This Row],[Column58]]*$BF$4)/60/24)</f>
        <v>--</v>
      </c>
      <c r="BH197" s="92">
        <f>IF(Table645[[#This Row],[Column59]]="--",0,Table645[[#This Row],[Column4]]*Table645[[#This Row],[Column59]])</f>
        <v>0</v>
      </c>
      <c r="BI197" s="119"/>
      <c r="BJ197" s="91" t="str">
        <f t="shared" si="126"/>
        <v>--</v>
      </c>
      <c r="BK197" s="92">
        <f>IF(Table645[[#This Row],[Column62]]="--",0,Table645[[#This Row],[Column4]]*Table645[[#This Row],[Column62]])</f>
        <v>0</v>
      </c>
      <c r="BL197" s="93"/>
      <c r="BM197" s="91" t="str">
        <f t="shared" si="141"/>
        <v>--</v>
      </c>
      <c r="BN197" s="89">
        <f>IF(Table645[[#This Row],[Column65]]="--",0,Table645[[#This Row],[Column4]]*Table645[[#This Row],[Column65]])</f>
        <v>0</v>
      </c>
      <c r="BO197" s="163"/>
      <c r="BP197" s="164" t="str">
        <f t="shared" si="142"/>
        <v>--</v>
      </c>
      <c r="BQ197" s="160">
        <f>IF(Table645[[#This Row],[Column68]]="--",0,Table645[[#This Row],[Column4]]*Table645[[#This Row],[Column68]])</f>
        <v>0</v>
      </c>
      <c r="BR197" s="94"/>
      <c r="BS197" s="91" t="str">
        <f t="shared" si="143"/>
        <v>--</v>
      </c>
      <c r="BT197" s="92">
        <f>IF(Table645[[#This Row],[Column71]]="--",0,Table645[[#This Row],[Column4]]*Table645[[#This Row],[Column71]])</f>
        <v>0</v>
      </c>
      <c r="BU197" s="44"/>
      <c r="BV197" s="90"/>
      <c r="BW197" s="91" t="str">
        <f>IF(BV197=0,"--",(Table645[[#This Row],[Column73]]*$BV$4*(IF(J197&lt;0.5001,1,IF(J197&lt;2.0001,2,3)))+BV197/$BV$3)/60/24)</f>
        <v>--</v>
      </c>
      <c r="BX197" s="92">
        <f>IF(Table645[[#This Row],[Column75]]="--",0,Table645[[#This Row],[Column4]]*Table645[[#This Row],[Column75]])</f>
        <v>0</v>
      </c>
      <c r="BY197" s="95" t="s">
        <v>70</v>
      </c>
      <c r="BZ197" s="91" t="str">
        <f>IF(Table645[[#This Row],[Column74]]=0,"--",BW197*$BY$3)</f>
        <v>--</v>
      </c>
      <c r="CA197" s="89">
        <f>IF(Table645[[#This Row],[Column78]]="--",0,Table645[[#This Row],[Column4]]*Table645[[#This Row],[Column78]])</f>
        <v>0</v>
      </c>
      <c r="CB197" s="95" t="s">
        <v>70</v>
      </c>
      <c r="CC197" s="91" t="str">
        <f>IF(Table645[[#This Row],[Column10]]+Table645[[#This Row],[Column74]]=0,"--",J197*$CB$4*$CB$5/(24*60)+IF(Table645[[#This Row],[Column74]]=0,0,$CB$3*Table645[[#This Row],[Column75]]))</f>
        <v>--</v>
      </c>
      <c r="CD197" s="92">
        <f>IF(Table645[[#This Row],[Column81]]="--",0,Table645[[#This Row],[Column4]]*Table645[[#This Row],[Column81]])</f>
        <v>0</v>
      </c>
      <c r="CE197" s="215"/>
      <c r="CF197" s="91" t="str">
        <f t="shared" si="127"/>
        <v>--</v>
      </c>
      <c r="CG197" s="92">
        <f>IF(Table645[[#This Row],[Column84]]="--",0,Table645[[#This Row],[Column4]]*Table645[[#This Row],[Column84]])</f>
        <v>0</v>
      </c>
      <c r="CH197" s="226"/>
      <c r="CI197" s="216"/>
      <c r="CJ197" s="91" t="str">
        <f>IF(CI197=0,"--",(Table645[[#This Row],[Column86]]*$CI$4*(IF(W197&lt;0.5001,1,IF(W197&lt;2.0001,2,3)))+CI197/$CI$3)/60/24)</f>
        <v>--</v>
      </c>
      <c r="CK197" s="92">
        <f>IF(Table645[[#This Row],[Column88]]="--",0,Table645[[#This Row],[Column4]]*Table645[[#This Row],[Column88]])</f>
        <v>0</v>
      </c>
      <c r="CL197" s="217"/>
      <c r="CM197" s="91" t="str">
        <f>IF(Table645[[#This Row],[Column87]]=0,"--",CJ197*$CL$3)</f>
        <v>--</v>
      </c>
      <c r="CN197" s="92">
        <f>IF(Table645[[#This Row],[Column91]]="--",0,Table645[[#This Row],[Column4]]*Table645[[#This Row],[Column91]])</f>
        <v>0</v>
      </c>
      <c r="CO197" s="217"/>
      <c r="CP197" s="91" t="str">
        <f>IF(Table645[[#This Row],[Column10]]+Table645[[#This Row],[Column87]]=0, "--", IF($D197="", 1, $D197) * IF($J197="", 1, $J197) * $CO$3 * $CO$4 * IF(Table645[[#This Row],[Column95]]="", 1, Table645[[#This Row],[Column95]]) / (24 * 60))</f>
        <v>--</v>
      </c>
      <c r="CQ197" s="164"/>
      <c r="CR197" s="92">
        <f>IF(Table645[[#This Row],[Column94]]="--",0,Table645[[#This Row],[Column4]]*Table645[[#This Row],[Column94]])</f>
        <v>0</v>
      </c>
      <c r="CS197" s="218" t="str">
        <f>IF(Table645[[#This Row],[Column87]]="","",Table645[[#This Row],[Column87]])</f>
        <v/>
      </c>
      <c r="CT197" s="91" t="str">
        <f>IF(Table645[[#This Row],[Column97]]="","--",Table645[[#This Row],[Column97]]/$CS$3/60/24)</f>
        <v>--</v>
      </c>
      <c r="CU197" s="92">
        <f>IF(Table645[[#This Row],[Column98]]="--",0,Table645[[#This Row],[Column4]]*Table645[[#This Row],[Column98]])</f>
        <v>0</v>
      </c>
      <c r="CV197" s="93"/>
      <c r="CW197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97" s="91" t="str">
        <f>IF(OR(Table645[[#This Row],[Column74]]&gt;0,Table645[[#This Row],[Column87]]&gt;0),(Table645[[#This Row],[Column73]]+Table645[[#This Row],[Column86]]+1)*$CW$3/60/24,"--")</f>
        <v>--</v>
      </c>
      <c r="CY197" s="92">
        <f>IF(Table645[[#This Row],[Column102]]="--",0,Table645[[#This Row],[Column4]]*Table645[[#This Row],[Column102]])</f>
        <v>0</v>
      </c>
      <c r="CZ197" s="158" t="str">
        <f t="shared" si="144"/>
        <v>--</v>
      </c>
      <c r="DA197" s="153"/>
      <c r="DB197" s="160">
        <f>IF(Table645[[#This Row],[Column104]]="--",0,Table645[[#This Row],[Column4]]*Table645[[#This Row],[Column104]])</f>
        <v>0</v>
      </c>
      <c r="DC197" s="219"/>
      <c r="DD197" s="220" t="str">
        <f>IF(DC197=0,"--",1/$DC$3*1000/(60*60*24)*Table645[[#This Row],[Column107]])</f>
        <v>--</v>
      </c>
      <c r="DE197" s="160">
        <f>IF(Table645[[#This Row],[Column108]]="--",0,Table645[[#This Row],[Column4]]*Table645[[#This Row],[Column108]])</f>
        <v>0</v>
      </c>
      <c r="DF197" s="101" t="s">
        <v>70</v>
      </c>
      <c r="DG197" s="91" t="str">
        <f t="shared" si="145"/>
        <v>--</v>
      </c>
      <c r="DH197" s="89">
        <f>IF(Table645[[#This Row],[Column111]]="--",0,Table645[[#This Row],[Column4]]*Table645[[#This Row],[Column111]])</f>
        <v>0</v>
      </c>
      <c r="DI197" s="96"/>
      <c r="DJ197" s="96"/>
      <c r="DK197" s="96"/>
      <c r="DL197" s="96"/>
      <c r="DM197" s="96"/>
      <c r="DN197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97" s="89">
        <f>IF(Table645[[#This Row],[Column118]]="--",0,Table645[[#This Row],[Column4]]*Table645[[#This Row],[Column118]])</f>
        <v>0</v>
      </c>
      <c r="DP197" s="96"/>
      <c r="DQ197" s="96"/>
      <c r="DR197" s="91" t="str">
        <f t="shared" si="146"/>
        <v>--</v>
      </c>
      <c r="DS197" s="89">
        <f>IF(Table645[[#This Row],[Column122]]="--",0,Table645[[#This Row],[Column4]]*Table645[[#This Row],[Column122]])</f>
        <v>0</v>
      </c>
      <c r="DT197" t="str">
        <f>IF(Table645[[#This Row],[Column125]]=0,"--",Table645[[#This Row],[Column125]]*Table645[[#This Row],[Column126]]*Table645[[#This Row],[Column127]]/1000000000)</f>
        <v>--</v>
      </c>
      <c r="DU197" s="53"/>
      <c r="DV197" s="53"/>
      <c r="DW197" s="53"/>
      <c r="DX197" s="91" t="str">
        <f t="shared" si="147"/>
        <v>--</v>
      </c>
      <c r="DY197" s="89">
        <f>IF(Table645[[#This Row],[Column128]]="--",0,Table645[[#This Row],[Column4]]*Table645[[#This Row],[Column128]])</f>
        <v>0</v>
      </c>
      <c r="EA197" s="89">
        <f>IF(Table645[[#This Row],[Column128]]="--",0,Table645[[#This Row],[Column4]]*Table645[[#This Row],[Column128]])</f>
        <v>0</v>
      </c>
      <c r="EC197" s="89">
        <f>IF(Table645[[#This Row],[Column128]]="--",0,Table645[[#This Row],[Column4]]*Table645[[#This Row],[Column128]])</f>
        <v>0</v>
      </c>
      <c r="EE197" s="89">
        <f>IF(Table645[[#This Row],[Column128]]="--",0,Table645[[#This Row],[Column4]]*Table645[[#This Row],[Column128]])</f>
        <v>0</v>
      </c>
      <c r="EG197" s="89">
        <f>IF(Table645[[#This Row],[Column128]]="--",0,Table645[[#This Row],[Column4]]*Table645[[#This Row],[Column128]])</f>
        <v>0</v>
      </c>
      <c r="EI197" s="89">
        <f>IF(Table645[[#This Row],[Column128]]="--",0,Table645[[#This Row],[Column4]]*Table645[[#This Row],[Column128]])</f>
        <v>0</v>
      </c>
    </row>
    <row r="198" spans="1:139" x14ac:dyDescent="0.25">
      <c r="A198" s="140"/>
      <c r="B198" s="79"/>
      <c r="C198" s="140"/>
      <c r="D198" s="167"/>
      <c r="E198" s="52"/>
      <c r="F198" s="81"/>
      <c r="G198" s="81"/>
      <c r="H198" s="102" t="str">
        <f t="shared" si="138"/>
        <v>--</v>
      </c>
      <c r="I198" s="100">
        <f>IF(Table645[[#This Row],[Column8]]="--",0,Table645[[#This Row],[Column4]]*Table645[[#This Row],[Column8]])</f>
        <v>0</v>
      </c>
      <c r="J198" s="169"/>
      <c r="K198" s="85">
        <f>Table645[[#This Row],[Column4]]*Table645[[#This Row],[Column10]]</f>
        <v>0</v>
      </c>
      <c r="L198" s="170" t="str">
        <f t="shared" si="139"/>
        <v>--</v>
      </c>
      <c r="M198" s="214">
        <f>IF(Table645[[#This Row],[Column10]]=0,0,Table645[[#This Row],[Column4]]*Table645[[#This Row],[Column12]])</f>
        <v>0</v>
      </c>
      <c r="N198" s="87" t="str">
        <f t="shared" si="140"/>
        <v>--</v>
      </c>
      <c r="O198" s="138"/>
      <c r="AZ198" s="89">
        <f>IF(Table645[[#This Row],[Column14]]="--",0,Table645[[#This Row],[Column4]]*Table645[[#This Row],[Column14]])</f>
        <v>0</v>
      </c>
      <c r="BA198" s="90"/>
      <c r="BB198" s="91" t="str">
        <f>IF(BA198=0,"--",BA198*$BA$3*IF(Table645[[#This Row],[Column5]]&lt;4.1,1,2)/60/24)</f>
        <v>--</v>
      </c>
      <c r="BC198" s="92">
        <f>IF(Table645[[#This Row],[Column54]]="--",0,Table645[[#This Row],[Column4]]*Table645[[#This Row],[Column54]])</f>
        <v>0</v>
      </c>
      <c r="BD198" s="119"/>
      <c r="BE198" s="119"/>
      <c r="BF198" s="119"/>
      <c r="BG198" s="91" t="str">
        <f>IF(BD198+Table645[[#This Row],[Column58]]=0,"--",(BD198*$BF$3*Table645[[#This Row],[Column57]]+Table645[[#This Row],[Column58]]*$BF$4)/60/24)</f>
        <v>--</v>
      </c>
      <c r="BH198" s="92">
        <f>IF(Table645[[#This Row],[Column59]]="--",0,Table645[[#This Row],[Column4]]*Table645[[#This Row],[Column59]])</f>
        <v>0</v>
      </c>
      <c r="BI198" s="119"/>
      <c r="BJ198" s="91" t="str">
        <f t="shared" si="126"/>
        <v>--</v>
      </c>
      <c r="BK198" s="92">
        <f>IF(Table645[[#This Row],[Column62]]="--",0,Table645[[#This Row],[Column4]]*Table645[[#This Row],[Column62]])</f>
        <v>0</v>
      </c>
      <c r="BL198" s="93"/>
      <c r="BM198" s="91" t="str">
        <f t="shared" si="141"/>
        <v>--</v>
      </c>
      <c r="BN198" s="89">
        <f>IF(Table645[[#This Row],[Column65]]="--",0,Table645[[#This Row],[Column4]]*Table645[[#This Row],[Column65]])</f>
        <v>0</v>
      </c>
      <c r="BO198" s="163"/>
      <c r="BP198" s="164" t="str">
        <f t="shared" si="142"/>
        <v>--</v>
      </c>
      <c r="BQ198" s="160">
        <f>IF(Table645[[#This Row],[Column68]]="--",0,Table645[[#This Row],[Column4]]*Table645[[#This Row],[Column68]])</f>
        <v>0</v>
      </c>
      <c r="BR198" s="94"/>
      <c r="BS198" s="91" t="str">
        <f t="shared" si="143"/>
        <v>--</v>
      </c>
      <c r="BT198" s="92">
        <f>IF(Table645[[#This Row],[Column71]]="--",0,Table645[[#This Row],[Column4]]*Table645[[#This Row],[Column71]])</f>
        <v>0</v>
      </c>
      <c r="BU198" s="44"/>
      <c r="BV198" s="90"/>
      <c r="BW198" s="91" t="str">
        <f>IF(BV198=0,"--",(Table645[[#This Row],[Column73]]*$BV$4*(IF(J198&lt;0.5001,1,IF(J198&lt;2.0001,2,3)))+BV198/$BV$3)/60/24)</f>
        <v>--</v>
      </c>
      <c r="BX198" s="92">
        <f>IF(Table645[[#This Row],[Column75]]="--",0,Table645[[#This Row],[Column4]]*Table645[[#This Row],[Column75]])</f>
        <v>0</v>
      </c>
      <c r="BY198" s="95" t="s">
        <v>70</v>
      </c>
      <c r="BZ198" s="91" t="str">
        <f>IF(Table645[[#This Row],[Column74]]=0,"--",BW198*$BY$3)</f>
        <v>--</v>
      </c>
      <c r="CA198" s="89">
        <f>IF(Table645[[#This Row],[Column78]]="--",0,Table645[[#This Row],[Column4]]*Table645[[#This Row],[Column78]])</f>
        <v>0</v>
      </c>
      <c r="CB198" s="95" t="s">
        <v>70</v>
      </c>
      <c r="CC198" s="91" t="str">
        <f>IF(Table645[[#This Row],[Column10]]+Table645[[#This Row],[Column74]]=0,"--",J198*$CB$4*$CB$5/(24*60)+IF(Table645[[#This Row],[Column74]]=0,0,$CB$3*Table645[[#This Row],[Column75]]))</f>
        <v>--</v>
      </c>
      <c r="CD198" s="92">
        <f>IF(Table645[[#This Row],[Column81]]="--",0,Table645[[#This Row],[Column4]]*Table645[[#This Row],[Column81]])</f>
        <v>0</v>
      </c>
      <c r="CE198" s="215"/>
      <c r="CF198" s="91" t="str">
        <f t="shared" si="127"/>
        <v>--</v>
      </c>
      <c r="CG198" s="92">
        <f>IF(Table645[[#This Row],[Column84]]="--",0,Table645[[#This Row],[Column4]]*Table645[[#This Row],[Column84]])</f>
        <v>0</v>
      </c>
      <c r="CH198" s="226"/>
      <c r="CI198" s="216"/>
      <c r="CJ198" s="91" t="str">
        <f>IF(CI198=0,"--",(Table645[[#This Row],[Column86]]*$CI$4*(IF(W198&lt;0.5001,1,IF(W198&lt;2.0001,2,3)))+CI198/$CI$3)/60/24)</f>
        <v>--</v>
      </c>
      <c r="CK198" s="92">
        <f>IF(Table645[[#This Row],[Column88]]="--",0,Table645[[#This Row],[Column4]]*Table645[[#This Row],[Column88]])</f>
        <v>0</v>
      </c>
      <c r="CL198" s="217"/>
      <c r="CM198" s="91" t="str">
        <f>IF(Table645[[#This Row],[Column87]]=0,"--",CJ198*$CL$3)</f>
        <v>--</v>
      </c>
      <c r="CN198" s="92">
        <f>IF(Table645[[#This Row],[Column91]]="--",0,Table645[[#This Row],[Column4]]*Table645[[#This Row],[Column91]])</f>
        <v>0</v>
      </c>
      <c r="CO198" s="217"/>
      <c r="CP198" s="91" t="str">
        <f>IF(Table645[[#This Row],[Column10]]+Table645[[#This Row],[Column87]]=0, "--", IF($D198="", 1, $D198) * IF($J198="", 1, $J198) * $CO$3 * $CO$4 * IF(Table645[[#This Row],[Column95]]="", 1, Table645[[#This Row],[Column95]]) / (24 * 60))</f>
        <v>--</v>
      </c>
      <c r="CQ198" s="164"/>
      <c r="CR198" s="92">
        <f>IF(Table645[[#This Row],[Column94]]="--",0,Table645[[#This Row],[Column4]]*Table645[[#This Row],[Column94]])</f>
        <v>0</v>
      </c>
      <c r="CS198" s="218" t="str">
        <f>IF(Table645[[#This Row],[Column87]]="","",Table645[[#This Row],[Column87]])</f>
        <v/>
      </c>
      <c r="CT198" s="91" t="str">
        <f>IF(Table645[[#This Row],[Column97]]="","--",Table645[[#This Row],[Column97]]/$CS$3/60/24)</f>
        <v>--</v>
      </c>
      <c r="CU198" s="92">
        <f>IF(Table645[[#This Row],[Column98]]="--",0,Table645[[#This Row],[Column4]]*Table645[[#This Row],[Column98]])</f>
        <v>0</v>
      </c>
      <c r="CV198" s="93"/>
      <c r="CW198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98" s="91" t="str">
        <f>IF(OR(Table645[[#This Row],[Column74]]&gt;0,Table645[[#This Row],[Column87]]&gt;0),(Table645[[#This Row],[Column73]]+Table645[[#This Row],[Column86]]+1)*$CW$3/60/24,"--")</f>
        <v>--</v>
      </c>
      <c r="CY198" s="92">
        <f>IF(Table645[[#This Row],[Column102]]="--",0,Table645[[#This Row],[Column4]]*Table645[[#This Row],[Column102]])</f>
        <v>0</v>
      </c>
      <c r="CZ198" s="158" t="str">
        <f t="shared" si="144"/>
        <v>--</v>
      </c>
      <c r="DA198" s="153"/>
      <c r="DB198" s="160">
        <f>IF(Table645[[#This Row],[Column104]]="--",0,Table645[[#This Row],[Column4]]*Table645[[#This Row],[Column104]])</f>
        <v>0</v>
      </c>
      <c r="DC198" s="219"/>
      <c r="DD198" s="220" t="str">
        <f>IF(DC198=0,"--",1/$DC$3*1000/(60*60*24)*Table645[[#This Row],[Column107]])</f>
        <v>--</v>
      </c>
      <c r="DE198" s="160">
        <f>IF(Table645[[#This Row],[Column108]]="--",0,Table645[[#This Row],[Column4]]*Table645[[#This Row],[Column108]])</f>
        <v>0</v>
      </c>
      <c r="DF198" s="101" t="s">
        <v>70</v>
      </c>
      <c r="DG198" s="91" t="str">
        <f t="shared" si="145"/>
        <v>--</v>
      </c>
      <c r="DH198" s="89">
        <f>IF(Table645[[#This Row],[Column111]]="--",0,Table645[[#This Row],[Column4]]*Table645[[#This Row],[Column111]])</f>
        <v>0</v>
      </c>
      <c r="DI198" s="96"/>
      <c r="DJ198" s="96"/>
      <c r="DK198" s="96"/>
      <c r="DL198" s="96"/>
      <c r="DM198" s="96"/>
      <c r="DN198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98" s="89">
        <f>IF(Table645[[#This Row],[Column118]]="--",0,Table645[[#This Row],[Column4]]*Table645[[#This Row],[Column118]])</f>
        <v>0</v>
      </c>
      <c r="DP198" s="96"/>
      <c r="DQ198" s="96"/>
      <c r="DR198" s="91" t="str">
        <f t="shared" si="146"/>
        <v>--</v>
      </c>
      <c r="DS198" s="89">
        <f>IF(Table645[[#This Row],[Column122]]="--",0,Table645[[#This Row],[Column4]]*Table645[[#This Row],[Column122]])</f>
        <v>0</v>
      </c>
      <c r="DT198" t="str">
        <f>IF(Table645[[#This Row],[Column125]]=0,"--",Table645[[#This Row],[Column125]]*Table645[[#This Row],[Column126]]*Table645[[#This Row],[Column127]]/1000000000)</f>
        <v>--</v>
      </c>
      <c r="DU198" s="53"/>
      <c r="DV198" s="53"/>
      <c r="DW198" s="53"/>
      <c r="DX198" s="91" t="str">
        <f t="shared" si="147"/>
        <v>--</v>
      </c>
      <c r="DY198" s="89">
        <f>IF(Table645[[#This Row],[Column128]]="--",0,Table645[[#This Row],[Column4]]*Table645[[#This Row],[Column128]])</f>
        <v>0</v>
      </c>
      <c r="EA198" s="89">
        <f>IF(Table645[[#This Row],[Column128]]="--",0,Table645[[#This Row],[Column4]]*Table645[[#This Row],[Column128]])</f>
        <v>0</v>
      </c>
      <c r="EC198" s="89">
        <f>IF(Table645[[#This Row],[Column128]]="--",0,Table645[[#This Row],[Column4]]*Table645[[#This Row],[Column128]])</f>
        <v>0</v>
      </c>
      <c r="EE198" s="89">
        <f>IF(Table645[[#This Row],[Column128]]="--",0,Table645[[#This Row],[Column4]]*Table645[[#This Row],[Column128]])</f>
        <v>0</v>
      </c>
      <c r="EG198" s="89">
        <f>IF(Table645[[#This Row],[Column128]]="--",0,Table645[[#This Row],[Column4]]*Table645[[#This Row],[Column128]])</f>
        <v>0</v>
      </c>
      <c r="EI198" s="89">
        <f>IF(Table645[[#This Row],[Column128]]="--",0,Table645[[#This Row],[Column4]]*Table645[[#This Row],[Column128]])</f>
        <v>0</v>
      </c>
    </row>
    <row r="199" spans="1:139" x14ac:dyDescent="0.25">
      <c r="A199" s="140"/>
      <c r="B199" s="79"/>
      <c r="C199" s="140"/>
      <c r="D199" s="167"/>
      <c r="E199" s="52"/>
      <c r="F199" s="81"/>
      <c r="G199" s="81"/>
      <c r="H199" s="102" t="str">
        <f t="shared" si="138"/>
        <v>--</v>
      </c>
      <c r="I199" s="100">
        <f>IF(Table645[[#This Row],[Column8]]="--",0,Table645[[#This Row],[Column4]]*Table645[[#This Row],[Column8]])</f>
        <v>0</v>
      </c>
      <c r="J199" s="169"/>
      <c r="K199" s="85">
        <f>Table645[[#This Row],[Column4]]*Table645[[#This Row],[Column10]]</f>
        <v>0</v>
      </c>
      <c r="L199" s="170" t="str">
        <f t="shared" si="139"/>
        <v>--</v>
      </c>
      <c r="M199" s="214">
        <f>IF(Table645[[#This Row],[Column10]]=0,0,Table645[[#This Row],[Column4]]*Table645[[#This Row],[Column12]])</f>
        <v>0</v>
      </c>
      <c r="N199" s="87" t="str">
        <f t="shared" si="140"/>
        <v>--</v>
      </c>
      <c r="O199" s="138"/>
      <c r="AZ199" s="89">
        <f>IF(Table645[[#This Row],[Column14]]="--",0,Table645[[#This Row],[Column4]]*Table645[[#This Row],[Column14]])</f>
        <v>0</v>
      </c>
      <c r="BA199" s="90"/>
      <c r="BB199" s="91" t="str">
        <f>IF(BA199=0,"--",BA199*$BA$3*IF(Table645[[#This Row],[Column5]]&lt;4.1,1,2)/60/24)</f>
        <v>--</v>
      </c>
      <c r="BC199" s="92">
        <f>IF(Table645[[#This Row],[Column54]]="--",0,Table645[[#This Row],[Column4]]*Table645[[#This Row],[Column54]])</f>
        <v>0</v>
      </c>
      <c r="BD199" s="119"/>
      <c r="BE199" s="119"/>
      <c r="BF199" s="119"/>
      <c r="BG199" s="91" t="str">
        <f>IF(BD199+Table645[[#This Row],[Column58]]=0,"--",(BD199*$BF$3*Table645[[#This Row],[Column57]]+Table645[[#This Row],[Column58]]*$BF$4)/60/24)</f>
        <v>--</v>
      </c>
      <c r="BH199" s="92">
        <f>IF(Table645[[#This Row],[Column59]]="--",0,Table645[[#This Row],[Column4]]*Table645[[#This Row],[Column59]])</f>
        <v>0</v>
      </c>
      <c r="BI199" s="119"/>
      <c r="BJ199" s="91" t="str">
        <f t="shared" si="126"/>
        <v>--</v>
      </c>
      <c r="BK199" s="92">
        <f>IF(Table645[[#This Row],[Column62]]="--",0,Table645[[#This Row],[Column4]]*Table645[[#This Row],[Column62]])</f>
        <v>0</v>
      </c>
      <c r="BL199" s="93"/>
      <c r="BM199" s="91" t="str">
        <f t="shared" si="141"/>
        <v>--</v>
      </c>
      <c r="BN199" s="89">
        <f>IF(Table645[[#This Row],[Column65]]="--",0,Table645[[#This Row],[Column4]]*Table645[[#This Row],[Column65]])</f>
        <v>0</v>
      </c>
      <c r="BO199" s="163"/>
      <c r="BP199" s="164" t="str">
        <f t="shared" si="142"/>
        <v>--</v>
      </c>
      <c r="BQ199" s="160">
        <f>IF(Table645[[#This Row],[Column68]]="--",0,Table645[[#This Row],[Column4]]*Table645[[#This Row],[Column68]])</f>
        <v>0</v>
      </c>
      <c r="BR199" s="94"/>
      <c r="BS199" s="91" t="str">
        <f t="shared" si="143"/>
        <v>--</v>
      </c>
      <c r="BT199" s="92">
        <f>IF(Table645[[#This Row],[Column71]]="--",0,Table645[[#This Row],[Column4]]*Table645[[#This Row],[Column71]])</f>
        <v>0</v>
      </c>
      <c r="BU199" s="44"/>
      <c r="BV199" s="90"/>
      <c r="BW199" s="91" t="str">
        <f>IF(BV199=0,"--",(Table645[[#This Row],[Column73]]*$BV$4*(IF(J199&lt;0.5001,1,IF(J199&lt;2.0001,2,3)))+BV199/$BV$3)/60/24)</f>
        <v>--</v>
      </c>
      <c r="BX199" s="92">
        <f>IF(Table645[[#This Row],[Column75]]="--",0,Table645[[#This Row],[Column4]]*Table645[[#This Row],[Column75]])</f>
        <v>0</v>
      </c>
      <c r="BY199" s="95" t="s">
        <v>70</v>
      </c>
      <c r="BZ199" s="91" t="str">
        <f>IF(Table645[[#This Row],[Column74]]=0,"--",BW199*$BY$3)</f>
        <v>--</v>
      </c>
      <c r="CA199" s="89">
        <f>IF(Table645[[#This Row],[Column78]]="--",0,Table645[[#This Row],[Column4]]*Table645[[#This Row],[Column78]])</f>
        <v>0</v>
      </c>
      <c r="CB199" s="95" t="s">
        <v>70</v>
      </c>
      <c r="CC199" s="91" t="str">
        <f>IF(Table645[[#This Row],[Column10]]+Table645[[#This Row],[Column74]]=0,"--",J199*$CB$4*$CB$5/(24*60)+IF(Table645[[#This Row],[Column74]]=0,0,$CB$3*Table645[[#This Row],[Column75]]))</f>
        <v>--</v>
      </c>
      <c r="CD199" s="92">
        <f>IF(Table645[[#This Row],[Column81]]="--",0,Table645[[#This Row],[Column4]]*Table645[[#This Row],[Column81]])</f>
        <v>0</v>
      </c>
      <c r="CE199" s="215"/>
      <c r="CF199" s="91" t="str">
        <f t="shared" si="127"/>
        <v>--</v>
      </c>
      <c r="CG199" s="92">
        <f>IF(Table645[[#This Row],[Column84]]="--",0,Table645[[#This Row],[Column4]]*Table645[[#This Row],[Column84]])</f>
        <v>0</v>
      </c>
      <c r="CH199" s="226"/>
      <c r="CI199" s="216"/>
      <c r="CJ199" s="91" t="str">
        <f>IF(CI199=0,"--",(Table645[[#This Row],[Column86]]*$CI$4*(IF(W199&lt;0.5001,1,IF(W199&lt;2.0001,2,3)))+CI199/$CI$3)/60/24)</f>
        <v>--</v>
      </c>
      <c r="CK199" s="92">
        <f>IF(Table645[[#This Row],[Column88]]="--",0,Table645[[#This Row],[Column4]]*Table645[[#This Row],[Column88]])</f>
        <v>0</v>
      </c>
      <c r="CL199" s="217"/>
      <c r="CM199" s="91" t="str">
        <f>IF(Table645[[#This Row],[Column87]]=0,"--",CJ199*$CL$3)</f>
        <v>--</v>
      </c>
      <c r="CN199" s="92">
        <f>IF(Table645[[#This Row],[Column91]]="--",0,Table645[[#This Row],[Column4]]*Table645[[#This Row],[Column91]])</f>
        <v>0</v>
      </c>
      <c r="CO199" s="217"/>
      <c r="CP199" s="91" t="str">
        <f>IF(Table645[[#This Row],[Column10]]+Table645[[#This Row],[Column87]]=0, "--", IF($D199="", 1, $D199) * IF($J199="", 1, $J199) * $CO$3 * $CO$4 * IF(Table645[[#This Row],[Column95]]="", 1, Table645[[#This Row],[Column95]]) / (24 * 60))</f>
        <v>--</v>
      </c>
      <c r="CQ199" s="164"/>
      <c r="CR199" s="92">
        <f>IF(Table645[[#This Row],[Column94]]="--",0,Table645[[#This Row],[Column4]]*Table645[[#This Row],[Column94]])</f>
        <v>0</v>
      </c>
      <c r="CS199" s="218" t="str">
        <f>IF(Table645[[#This Row],[Column87]]="","",Table645[[#This Row],[Column87]])</f>
        <v/>
      </c>
      <c r="CT199" s="91" t="str">
        <f>IF(Table645[[#This Row],[Column97]]="","--",Table645[[#This Row],[Column97]]/$CS$3/60/24)</f>
        <v>--</v>
      </c>
      <c r="CU199" s="92">
        <f>IF(Table645[[#This Row],[Column98]]="--",0,Table645[[#This Row],[Column4]]*Table645[[#This Row],[Column98]])</f>
        <v>0</v>
      </c>
      <c r="CV199" s="93"/>
      <c r="CW199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199" s="91" t="str">
        <f>IF(OR(Table645[[#This Row],[Column74]]&gt;0,Table645[[#This Row],[Column87]]&gt;0),(Table645[[#This Row],[Column73]]+Table645[[#This Row],[Column86]]+1)*$CW$3/60/24,"--")</f>
        <v>--</v>
      </c>
      <c r="CY199" s="92">
        <f>IF(Table645[[#This Row],[Column102]]="--",0,Table645[[#This Row],[Column4]]*Table645[[#This Row],[Column102]])</f>
        <v>0</v>
      </c>
      <c r="CZ199" s="158" t="str">
        <f t="shared" si="144"/>
        <v>--</v>
      </c>
      <c r="DA199" s="153"/>
      <c r="DB199" s="160">
        <f>IF(Table645[[#This Row],[Column104]]="--",0,Table645[[#This Row],[Column4]]*Table645[[#This Row],[Column104]])</f>
        <v>0</v>
      </c>
      <c r="DC199" s="219"/>
      <c r="DD199" s="220" t="str">
        <f>IF(DC199=0,"--",1/$DC$3*1000/(60*60*24)*Table645[[#This Row],[Column107]])</f>
        <v>--</v>
      </c>
      <c r="DE199" s="160">
        <f>IF(Table645[[#This Row],[Column108]]="--",0,Table645[[#This Row],[Column4]]*Table645[[#This Row],[Column108]])</f>
        <v>0</v>
      </c>
      <c r="DF199" s="101" t="s">
        <v>70</v>
      </c>
      <c r="DG199" s="91" t="str">
        <f t="shared" si="145"/>
        <v>--</v>
      </c>
      <c r="DH199" s="89">
        <f>IF(Table645[[#This Row],[Column111]]="--",0,Table645[[#This Row],[Column4]]*Table645[[#This Row],[Column111]])</f>
        <v>0</v>
      </c>
      <c r="DI199" s="96"/>
      <c r="DJ199" s="96"/>
      <c r="DK199" s="96"/>
      <c r="DL199" s="96"/>
      <c r="DM199" s="96"/>
      <c r="DN199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199" s="89">
        <f>IF(Table645[[#This Row],[Column118]]="--",0,Table645[[#This Row],[Column4]]*Table645[[#This Row],[Column118]])</f>
        <v>0</v>
      </c>
      <c r="DP199" s="96"/>
      <c r="DQ199" s="96"/>
      <c r="DR199" s="91" t="str">
        <f t="shared" si="146"/>
        <v>--</v>
      </c>
      <c r="DS199" s="89">
        <f>IF(Table645[[#This Row],[Column122]]="--",0,Table645[[#This Row],[Column4]]*Table645[[#This Row],[Column122]])</f>
        <v>0</v>
      </c>
      <c r="DT199" t="str">
        <f>IF(Table645[[#This Row],[Column125]]=0,"--",Table645[[#This Row],[Column125]]*Table645[[#This Row],[Column126]]*Table645[[#This Row],[Column127]]/1000000000)</f>
        <v>--</v>
      </c>
      <c r="DU199" s="53"/>
      <c r="DV199" s="53"/>
      <c r="DW199" s="53"/>
      <c r="DX199" s="91" t="str">
        <f t="shared" si="147"/>
        <v>--</v>
      </c>
      <c r="DY199" s="89">
        <f>IF(Table645[[#This Row],[Column128]]="--",0,Table645[[#This Row],[Column4]]*Table645[[#This Row],[Column128]])</f>
        <v>0</v>
      </c>
      <c r="EA199" s="89">
        <f>IF(Table645[[#This Row],[Column128]]="--",0,Table645[[#This Row],[Column4]]*Table645[[#This Row],[Column128]])</f>
        <v>0</v>
      </c>
      <c r="EC199" s="89">
        <f>IF(Table645[[#This Row],[Column128]]="--",0,Table645[[#This Row],[Column4]]*Table645[[#This Row],[Column128]])</f>
        <v>0</v>
      </c>
      <c r="EE199" s="89">
        <f>IF(Table645[[#This Row],[Column128]]="--",0,Table645[[#This Row],[Column4]]*Table645[[#This Row],[Column128]])</f>
        <v>0</v>
      </c>
      <c r="EG199" s="89">
        <f>IF(Table645[[#This Row],[Column128]]="--",0,Table645[[#This Row],[Column4]]*Table645[[#This Row],[Column128]])</f>
        <v>0</v>
      </c>
      <c r="EI199" s="89">
        <f>IF(Table645[[#This Row],[Column128]]="--",0,Table645[[#This Row],[Column4]]*Table645[[#This Row],[Column128]])</f>
        <v>0</v>
      </c>
    </row>
    <row r="200" spans="1:139" x14ac:dyDescent="0.25">
      <c r="A200" s="140"/>
      <c r="B200" s="79"/>
      <c r="C200" s="140"/>
      <c r="D200" s="167"/>
      <c r="E200" s="52"/>
      <c r="F200" s="81"/>
      <c r="G200" s="81"/>
      <c r="H200" s="102" t="str">
        <f t="shared" si="138"/>
        <v>--</v>
      </c>
      <c r="I200" s="100">
        <f>IF(Table645[[#This Row],[Column8]]="--",0,Table645[[#This Row],[Column4]]*Table645[[#This Row],[Column8]])</f>
        <v>0</v>
      </c>
      <c r="J200" s="169"/>
      <c r="K200" s="85">
        <f>Table645[[#This Row],[Column4]]*Table645[[#This Row],[Column10]]</f>
        <v>0</v>
      </c>
      <c r="L200" s="170" t="str">
        <f t="shared" si="139"/>
        <v>--</v>
      </c>
      <c r="M200" s="214">
        <f>IF(Table645[[#This Row],[Column10]]=0,0,Table645[[#This Row],[Column4]]*Table645[[#This Row],[Column12]])</f>
        <v>0</v>
      </c>
      <c r="N200" s="87" t="str">
        <f t="shared" si="140"/>
        <v>--</v>
      </c>
      <c r="O200" s="138"/>
      <c r="AZ200" s="89">
        <f>IF(Table645[[#This Row],[Column14]]="--",0,Table645[[#This Row],[Column4]]*Table645[[#This Row],[Column14]])</f>
        <v>0</v>
      </c>
      <c r="BA200" s="90"/>
      <c r="BB200" s="91" t="str">
        <f>IF(BA200=0,"--",BA200*$BA$3*IF(Table645[[#This Row],[Column5]]&lt;4.1,1,2)/60/24)</f>
        <v>--</v>
      </c>
      <c r="BC200" s="92">
        <f>IF(Table645[[#This Row],[Column54]]="--",0,Table645[[#This Row],[Column4]]*Table645[[#This Row],[Column54]])</f>
        <v>0</v>
      </c>
      <c r="BD200" s="119"/>
      <c r="BE200" s="119"/>
      <c r="BF200" s="119"/>
      <c r="BG200" s="91" t="str">
        <f>IF(BD200+Table645[[#This Row],[Column58]]=0,"--",(BD200*$BF$3*Table645[[#This Row],[Column57]]+Table645[[#This Row],[Column58]]*$BF$4)/60/24)</f>
        <v>--</v>
      </c>
      <c r="BH200" s="92">
        <f>IF(Table645[[#This Row],[Column59]]="--",0,Table645[[#This Row],[Column4]]*Table645[[#This Row],[Column59]])</f>
        <v>0</v>
      </c>
      <c r="BI200" s="119"/>
      <c r="BJ200" s="91" t="str">
        <f t="shared" si="126"/>
        <v>--</v>
      </c>
      <c r="BK200" s="92">
        <f>IF(Table645[[#This Row],[Column62]]="--",0,Table645[[#This Row],[Column4]]*Table645[[#This Row],[Column62]])</f>
        <v>0</v>
      </c>
      <c r="BL200" s="93"/>
      <c r="BM200" s="91" t="str">
        <f t="shared" si="141"/>
        <v>--</v>
      </c>
      <c r="BN200" s="89">
        <f>IF(Table645[[#This Row],[Column65]]="--",0,Table645[[#This Row],[Column4]]*Table645[[#This Row],[Column65]])</f>
        <v>0</v>
      </c>
      <c r="BO200" s="163"/>
      <c r="BP200" s="164" t="str">
        <f t="shared" si="142"/>
        <v>--</v>
      </c>
      <c r="BQ200" s="160">
        <f>IF(Table645[[#This Row],[Column68]]="--",0,Table645[[#This Row],[Column4]]*Table645[[#This Row],[Column68]])</f>
        <v>0</v>
      </c>
      <c r="BR200" s="94"/>
      <c r="BS200" s="91" t="str">
        <f t="shared" si="143"/>
        <v>--</v>
      </c>
      <c r="BT200" s="92">
        <f>IF(Table645[[#This Row],[Column71]]="--",0,Table645[[#This Row],[Column4]]*Table645[[#This Row],[Column71]])</f>
        <v>0</v>
      </c>
      <c r="BU200" s="44"/>
      <c r="BV200" s="90"/>
      <c r="BW200" s="91" t="str">
        <f>IF(BV200=0,"--",(Table645[[#This Row],[Column73]]*$BV$4*(IF(J200&lt;0.5001,1,IF(J200&lt;2.0001,2,3)))+BV200/$BV$3)/60/24)</f>
        <v>--</v>
      </c>
      <c r="BX200" s="92">
        <f>IF(Table645[[#This Row],[Column75]]="--",0,Table645[[#This Row],[Column4]]*Table645[[#This Row],[Column75]])</f>
        <v>0</v>
      </c>
      <c r="BY200" s="95" t="s">
        <v>70</v>
      </c>
      <c r="BZ200" s="91" t="str">
        <f>IF(Table645[[#This Row],[Column74]]=0,"--",BW200*$BY$3)</f>
        <v>--</v>
      </c>
      <c r="CA200" s="89">
        <f>IF(Table645[[#This Row],[Column78]]="--",0,Table645[[#This Row],[Column4]]*Table645[[#This Row],[Column78]])</f>
        <v>0</v>
      </c>
      <c r="CB200" s="95" t="s">
        <v>70</v>
      </c>
      <c r="CC200" s="91" t="str">
        <f>IF(Table645[[#This Row],[Column10]]+Table645[[#This Row],[Column74]]=0,"--",J200*$CB$4*$CB$5/(24*60)+IF(Table645[[#This Row],[Column74]]=0,0,$CB$3*Table645[[#This Row],[Column75]]))</f>
        <v>--</v>
      </c>
      <c r="CD200" s="92">
        <f>IF(Table645[[#This Row],[Column81]]="--",0,Table645[[#This Row],[Column4]]*Table645[[#This Row],[Column81]])</f>
        <v>0</v>
      </c>
      <c r="CE200" s="215"/>
      <c r="CF200" s="91" t="str">
        <f t="shared" si="127"/>
        <v>--</v>
      </c>
      <c r="CG200" s="92">
        <f>IF(Table645[[#This Row],[Column84]]="--",0,Table645[[#This Row],[Column4]]*Table645[[#This Row],[Column84]])</f>
        <v>0</v>
      </c>
      <c r="CH200" s="226"/>
      <c r="CI200" s="216"/>
      <c r="CJ200" s="91" t="str">
        <f>IF(CI200=0,"--",(Table645[[#This Row],[Column86]]*$CI$4*(IF(W200&lt;0.5001,1,IF(W200&lt;2.0001,2,3)))+CI200/$CI$3)/60/24)</f>
        <v>--</v>
      </c>
      <c r="CK200" s="92">
        <f>IF(Table645[[#This Row],[Column88]]="--",0,Table645[[#This Row],[Column4]]*Table645[[#This Row],[Column88]])</f>
        <v>0</v>
      </c>
      <c r="CL200" s="217"/>
      <c r="CM200" s="91" t="str">
        <f>IF(Table645[[#This Row],[Column87]]=0,"--",CJ200*$CL$3)</f>
        <v>--</v>
      </c>
      <c r="CN200" s="92">
        <f>IF(Table645[[#This Row],[Column91]]="--",0,Table645[[#This Row],[Column4]]*Table645[[#This Row],[Column91]])</f>
        <v>0</v>
      </c>
      <c r="CO200" s="217"/>
      <c r="CP200" s="91" t="str">
        <f>IF(Table645[[#This Row],[Column10]]+Table645[[#This Row],[Column87]]=0, "--", IF($D200="", 1, $D200) * IF($J200="", 1, $J200) * $CO$3 * $CO$4 * IF(Table645[[#This Row],[Column95]]="", 1, Table645[[#This Row],[Column95]]) / (24 * 60))</f>
        <v>--</v>
      </c>
      <c r="CQ200" s="164"/>
      <c r="CR200" s="92">
        <f>IF(Table645[[#This Row],[Column94]]="--",0,Table645[[#This Row],[Column4]]*Table645[[#This Row],[Column94]])</f>
        <v>0</v>
      </c>
      <c r="CS200" s="218" t="str">
        <f>IF(Table645[[#This Row],[Column87]]="","",Table645[[#This Row],[Column87]])</f>
        <v/>
      </c>
      <c r="CT200" s="91" t="str">
        <f>IF(Table645[[#This Row],[Column97]]="","--",Table645[[#This Row],[Column97]]/$CS$3/60/24)</f>
        <v>--</v>
      </c>
      <c r="CU200" s="92">
        <f>IF(Table645[[#This Row],[Column98]]="--",0,Table645[[#This Row],[Column4]]*Table645[[#This Row],[Column98]])</f>
        <v>0</v>
      </c>
      <c r="CV200" s="93"/>
      <c r="CW200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00" s="91" t="str">
        <f>IF(OR(Table645[[#This Row],[Column74]]&gt;0,Table645[[#This Row],[Column87]]&gt;0),(Table645[[#This Row],[Column73]]+Table645[[#This Row],[Column86]]+1)*$CW$3/60/24,"--")</f>
        <v>--</v>
      </c>
      <c r="CY200" s="92">
        <f>IF(Table645[[#This Row],[Column102]]="--",0,Table645[[#This Row],[Column4]]*Table645[[#This Row],[Column102]])</f>
        <v>0</v>
      </c>
      <c r="CZ200" s="158" t="str">
        <f t="shared" si="144"/>
        <v>--</v>
      </c>
      <c r="DA200" s="153"/>
      <c r="DB200" s="160">
        <f>IF(Table645[[#This Row],[Column104]]="--",0,Table645[[#This Row],[Column4]]*Table645[[#This Row],[Column104]])</f>
        <v>0</v>
      </c>
      <c r="DC200" s="219"/>
      <c r="DD200" s="220" t="str">
        <f>IF(DC200=0,"--",1/$DC$3*1000/(60*60*24)*Table645[[#This Row],[Column107]])</f>
        <v>--</v>
      </c>
      <c r="DE200" s="160">
        <f>IF(Table645[[#This Row],[Column108]]="--",0,Table645[[#This Row],[Column4]]*Table645[[#This Row],[Column108]])</f>
        <v>0</v>
      </c>
      <c r="DF200" s="101" t="s">
        <v>70</v>
      </c>
      <c r="DG200" s="91" t="str">
        <f t="shared" si="145"/>
        <v>--</v>
      </c>
      <c r="DH200" s="89">
        <f>IF(Table645[[#This Row],[Column111]]="--",0,Table645[[#This Row],[Column4]]*Table645[[#This Row],[Column111]])</f>
        <v>0</v>
      </c>
      <c r="DI200" s="96"/>
      <c r="DJ200" s="96"/>
      <c r="DK200" s="96"/>
      <c r="DL200" s="96"/>
      <c r="DM200" s="96"/>
      <c r="DN200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00" s="89">
        <f>IF(Table645[[#This Row],[Column118]]="--",0,Table645[[#This Row],[Column4]]*Table645[[#This Row],[Column118]])</f>
        <v>0</v>
      </c>
      <c r="DP200" s="96"/>
      <c r="DQ200" s="96"/>
      <c r="DR200" s="91" t="str">
        <f t="shared" si="146"/>
        <v>--</v>
      </c>
      <c r="DS200" s="89">
        <f>IF(Table645[[#This Row],[Column122]]="--",0,Table645[[#This Row],[Column4]]*Table645[[#This Row],[Column122]])</f>
        <v>0</v>
      </c>
      <c r="DT200" t="str">
        <f>IF(Table645[[#This Row],[Column125]]=0,"--",Table645[[#This Row],[Column125]]*Table645[[#This Row],[Column126]]*Table645[[#This Row],[Column127]]/1000000000)</f>
        <v>--</v>
      </c>
      <c r="DU200" s="53"/>
      <c r="DV200" s="53"/>
      <c r="DW200" s="53"/>
      <c r="DX200" s="91" t="str">
        <f t="shared" si="147"/>
        <v>--</v>
      </c>
      <c r="DY200" s="89">
        <f>IF(Table645[[#This Row],[Column128]]="--",0,Table645[[#This Row],[Column4]]*Table645[[#This Row],[Column128]])</f>
        <v>0</v>
      </c>
      <c r="EA200" s="89">
        <f>IF(Table645[[#This Row],[Column128]]="--",0,Table645[[#This Row],[Column4]]*Table645[[#This Row],[Column128]])</f>
        <v>0</v>
      </c>
      <c r="EC200" s="89">
        <f>IF(Table645[[#This Row],[Column128]]="--",0,Table645[[#This Row],[Column4]]*Table645[[#This Row],[Column128]])</f>
        <v>0</v>
      </c>
      <c r="EE200" s="89">
        <f>IF(Table645[[#This Row],[Column128]]="--",0,Table645[[#This Row],[Column4]]*Table645[[#This Row],[Column128]])</f>
        <v>0</v>
      </c>
      <c r="EG200" s="89">
        <f>IF(Table645[[#This Row],[Column128]]="--",0,Table645[[#This Row],[Column4]]*Table645[[#This Row],[Column128]])</f>
        <v>0</v>
      </c>
      <c r="EI200" s="89">
        <f>IF(Table645[[#This Row],[Column128]]="--",0,Table645[[#This Row],[Column4]]*Table645[[#This Row],[Column128]])</f>
        <v>0</v>
      </c>
    </row>
    <row r="201" spans="1:139" x14ac:dyDescent="0.25">
      <c r="A201" s="140"/>
      <c r="B201" s="79"/>
      <c r="C201" s="140"/>
      <c r="D201" s="167"/>
      <c r="E201" s="52"/>
      <c r="F201" s="81"/>
      <c r="G201" s="81"/>
      <c r="H201" s="102" t="str">
        <f t="shared" si="138"/>
        <v>--</v>
      </c>
      <c r="I201" s="100">
        <f>IF(Table645[[#This Row],[Column8]]="--",0,Table645[[#This Row],[Column4]]*Table645[[#This Row],[Column8]])</f>
        <v>0</v>
      </c>
      <c r="J201" s="169"/>
      <c r="K201" s="85">
        <f>Table645[[#This Row],[Column4]]*Table645[[#This Row],[Column10]]</f>
        <v>0</v>
      </c>
      <c r="L201" s="170" t="str">
        <f t="shared" si="139"/>
        <v>--</v>
      </c>
      <c r="M201" s="214">
        <f>IF(Table645[[#This Row],[Column10]]=0,0,Table645[[#This Row],[Column4]]*Table645[[#This Row],[Column12]])</f>
        <v>0</v>
      </c>
      <c r="N201" s="87" t="str">
        <f t="shared" si="140"/>
        <v>--</v>
      </c>
      <c r="O201" s="138"/>
      <c r="AZ201" s="89">
        <f>IF(Table645[[#This Row],[Column14]]="--",0,Table645[[#This Row],[Column4]]*Table645[[#This Row],[Column14]])</f>
        <v>0</v>
      </c>
      <c r="BA201" s="90"/>
      <c r="BB201" s="91" t="str">
        <f>IF(BA201=0,"--",BA201*$BA$3*IF(Table645[[#This Row],[Column5]]&lt;4.1,1,2)/60/24)</f>
        <v>--</v>
      </c>
      <c r="BC201" s="92">
        <f>IF(Table645[[#This Row],[Column54]]="--",0,Table645[[#This Row],[Column4]]*Table645[[#This Row],[Column54]])</f>
        <v>0</v>
      </c>
      <c r="BD201" s="119"/>
      <c r="BE201" s="119"/>
      <c r="BF201" s="119"/>
      <c r="BG201" s="91" t="str">
        <f>IF(BD201+Table645[[#This Row],[Column58]]=0,"--",(BD201*$BF$3*Table645[[#This Row],[Column57]]+Table645[[#This Row],[Column58]]*$BF$4)/60/24)</f>
        <v>--</v>
      </c>
      <c r="BH201" s="92">
        <f>IF(Table645[[#This Row],[Column59]]="--",0,Table645[[#This Row],[Column4]]*Table645[[#This Row],[Column59]])</f>
        <v>0</v>
      </c>
      <c r="BI201" s="119"/>
      <c r="BJ201" s="91" t="str">
        <f t="shared" si="126"/>
        <v>--</v>
      </c>
      <c r="BK201" s="92">
        <f>IF(Table645[[#This Row],[Column62]]="--",0,Table645[[#This Row],[Column4]]*Table645[[#This Row],[Column62]])</f>
        <v>0</v>
      </c>
      <c r="BL201" s="93"/>
      <c r="BM201" s="91" t="str">
        <f t="shared" si="141"/>
        <v>--</v>
      </c>
      <c r="BN201" s="89">
        <f>IF(Table645[[#This Row],[Column65]]="--",0,Table645[[#This Row],[Column4]]*Table645[[#This Row],[Column65]])</f>
        <v>0</v>
      </c>
      <c r="BO201" s="163"/>
      <c r="BP201" s="164" t="str">
        <f t="shared" si="142"/>
        <v>--</v>
      </c>
      <c r="BQ201" s="160">
        <f>IF(Table645[[#This Row],[Column68]]="--",0,Table645[[#This Row],[Column4]]*Table645[[#This Row],[Column68]])</f>
        <v>0</v>
      </c>
      <c r="BR201" s="94"/>
      <c r="BS201" s="91" t="str">
        <f t="shared" si="143"/>
        <v>--</v>
      </c>
      <c r="BT201" s="92">
        <f>IF(Table645[[#This Row],[Column71]]="--",0,Table645[[#This Row],[Column4]]*Table645[[#This Row],[Column71]])</f>
        <v>0</v>
      </c>
      <c r="BU201" s="44"/>
      <c r="BV201" s="90"/>
      <c r="BW201" s="91" t="str">
        <f>IF(BV201=0,"--",(Table645[[#This Row],[Column73]]*$BV$4*(IF(J201&lt;0.5001,1,IF(J201&lt;2.0001,2,3)))+BV201/$BV$3)/60/24)</f>
        <v>--</v>
      </c>
      <c r="BX201" s="92">
        <f>IF(Table645[[#This Row],[Column75]]="--",0,Table645[[#This Row],[Column4]]*Table645[[#This Row],[Column75]])</f>
        <v>0</v>
      </c>
      <c r="BY201" s="95" t="s">
        <v>70</v>
      </c>
      <c r="BZ201" s="91" t="str">
        <f>IF(Table645[[#This Row],[Column74]]=0,"--",BW201*$BY$3)</f>
        <v>--</v>
      </c>
      <c r="CA201" s="89">
        <f>IF(Table645[[#This Row],[Column78]]="--",0,Table645[[#This Row],[Column4]]*Table645[[#This Row],[Column78]])</f>
        <v>0</v>
      </c>
      <c r="CB201" s="95" t="s">
        <v>70</v>
      </c>
      <c r="CC201" s="91" t="str">
        <f>IF(Table645[[#This Row],[Column10]]+Table645[[#This Row],[Column74]]=0,"--",J201*$CB$4*$CB$5/(24*60)+IF(Table645[[#This Row],[Column74]]=0,0,$CB$3*Table645[[#This Row],[Column75]]))</f>
        <v>--</v>
      </c>
      <c r="CD201" s="92">
        <f>IF(Table645[[#This Row],[Column81]]="--",0,Table645[[#This Row],[Column4]]*Table645[[#This Row],[Column81]])</f>
        <v>0</v>
      </c>
      <c r="CE201" s="215"/>
      <c r="CF201" s="91" t="str">
        <f t="shared" si="127"/>
        <v>--</v>
      </c>
      <c r="CG201" s="92">
        <f>IF(Table645[[#This Row],[Column84]]="--",0,Table645[[#This Row],[Column4]]*Table645[[#This Row],[Column84]])</f>
        <v>0</v>
      </c>
      <c r="CH201" s="226"/>
      <c r="CI201" s="216"/>
      <c r="CJ201" s="91" t="str">
        <f>IF(CI201=0,"--",(Table645[[#This Row],[Column86]]*$CI$4*(IF(W201&lt;0.5001,1,IF(W201&lt;2.0001,2,3)))+CI201/$CI$3)/60/24)</f>
        <v>--</v>
      </c>
      <c r="CK201" s="92">
        <f>IF(Table645[[#This Row],[Column88]]="--",0,Table645[[#This Row],[Column4]]*Table645[[#This Row],[Column88]])</f>
        <v>0</v>
      </c>
      <c r="CL201" s="217"/>
      <c r="CM201" s="91" t="str">
        <f>IF(Table645[[#This Row],[Column87]]=0,"--",CJ201*$CL$3)</f>
        <v>--</v>
      </c>
      <c r="CN201" s="92">
        <f>IF(Table645[[#This Row],[Column91]]="--",0,Table645[[#This Row],[Column4]]*Table645[[#This Row],[Column91]])</f>
        <v>0</v>
      </c>
      <c r="CO201" s="217"/>
      <c r="CP201" s="91" t="str">
        <f>IF(Table645[[#This Row],[Column10]]+Table645[[#This Row],[Column87]]=0, "--", IF($D201="", 1, $D201) * IF($J201="", 1, $J201) * $CO$3 * $CO$4 * IF(Table645[[#This Row],[Column95]]="", 1, Table645[[#This Row],[Column95]]) / (24 * 60))</f>
        <v>--</v>
      </c>
      <c r="CQ201" s="164"/>
      <c r="CR201" s="92">
        <f>IF(Table645[[#This Row],[Column94]]="--",0,Table645[[#This Row],[Column4]]*Table645[[#This Row],[Column94]])</f>
        <v>0</v>
      </c>
      <c r="CS201" s="218" t="str">
        <f>IF(Table645[[#This Row],[Column87]]="","",Table645[[#This Row],[Column87]])</f>
        <v/>
      </c>
      <c r="CT201" s="91" t="str">
        <f>IF(Table645[[#This Row],[Column97]]="","--",Table645[[#This Row],[Column97]]/$CS$3/60/24)</f>
        <v>--</v>
      </c>
      <c r="CU201" s="92">
        <f>IF(Table645[[#This Row],[Column98]]="--",0,Table645[[#This Row],[Column4]]*Table645[[#This Row],[Column98]])</f>
        <v>0</v>
      </c>
      <c r="CV201" s="93"/>
      <c r="CW201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01" s="91" t="str">
        <f>IF(OR(Table645[[#This Row],[Column74]]&gt;0,Table645[[#This Row],[Column87]]&gt;0),(Table645[[#This Row],[Column73]]+Table645[[#This Row],[Column86]]+1)*$CW$3/60/24,"--")</f>
        <v>--</v>
      </c>
      <c r="CY201" s="92">
        <f>IF(Table645[[#This Row],[Column102]]="--",0,Table645[[#This Row],[Column4]]*Table645[[#This Row],[Column102]])</f>
        <v>0</v>
      </c>
      <c r="CZ201" s="158" t="str">
        <f t="shared" si="144"/>
        <v>--</v>
      </c>
      <c r="DA201" s="153"/>
      <c r="DB201" s="160">
        <f>IF(Table645[[#This Row],[Column104]]="--",0,Table645[[#This Row],[Column4]]*Table645[[#This Row],[Column104]])</f>
        <v>0</v>
      </c>
      <c r="DC201" s="219"/>
      <c r="DD201" s="220" t="str">
        <f>IF(DC201=0,"--",1/$DC$3*1000/(60*60*24)*Table645[[#This Row],[Column107]])</f>
        <v>--</v>
      </c>
      <c r="DE201" s="160">
        <f>IF(Table645[[#This Row],[Column108]]="--",0,Table645[[#This Row],[Column4]]*Table645[[#This Row],[Column108]])</f>
        <v>0</v>
      </c>
      <c r="DF201" s="101" t="s">
        <v>70</v>
      </c>
      <c r="DG201" s="91" t="str">
        <f t="shared" si="145"/>
        <v>--</v>
      </c>
      <c r="DH201" s="89">
        <f>IF(Table645[[#This Row],[Column111]]="--",0,Table645[[#This Row],[Column4]]*Table645[[#This Row],[Column111]])</f>
        <v>0</v>
      </c>
      <c r="DI201" s="96"/>
      <c r="DJ201" s="96"/>
      <c r="DK201" s="96"/>
      <c r="DL201" s="96"/>
      <c r="DM201" s="96"/>
      <c r="DN201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01" s="89">
        <f>IF(Table645[[#This Row],[Column118]]="--",0,Table645[[#This Row],[Column4]]*Table645[[#This Row],[Column118]])</f>
        <v>0</v>
      </c>
      <c r="DP201" s="96"/>
      <c r="DQ201" s="96"/>
      <c r="DR201" s="91" t="str">
        <f t="shared" si="146"/>
        <v>--</v>
      </c>
      <c r="DS201" s="89">
        <f>IF(Table645[[#This Row],[Column122]]="--",0,Table645[[#This Row],[Column4]]*Table645[[#This Row],[Column122]])</f>
        <v>0</v>
      </c>
      <c r="DT201" t="str">
        <f>IF(Table645[[#This Row],[Column125]]=0,"--",Table645[[#This Row],[Column125]]*Table645[[#This Row],[Column126]]*Table645[[#This Row],[Column127]]/1000000000)</f>
        <v>--</v>
      </c>
      <c r="DU201" s="53"/>
      <c r="DV201" s="53"/>
      <c r="DW201" s="53"/>
      <c r="DX201" s="91" t="str">
        <f t="shared" si="147"/>
        <v>--</v>
      </c>
      <c r="DY201" s="89">
        <f>IF(Table645[[#This Row],[Column128]]="--",0,Table645[[#This Row],[Column4]]*Table645[[#This Row],[Column128]])</f>
        <v>0</v>
      </c>
      <c r="EA201" s="89">
        <f>IF(Table645[[#This Row],[Column128]]="--",0,Table645[[#This Row],[Column4]]*Table645[[#This Row],[Column128]])</f>
        <v>0</v>
      </c>
      <c r="EC201" s="89">
        <f>IF(Table645[[#This Row],[Column128]]="--",0,Table645[[#This Row],[Column4]]*Table645[[#This Row],[Column128]])</f>
        <v>0</v>
      </c>
      <c r="EE201" s="89">
        <f>IF(Table645[[#This Row],[Column128]]="--",0,Table645[[#This Row],[Column4]]*Table645[[#This Row],[Column128]])</f>
        <v>0</v>
      </c>
      <c r="EG201" s="89">
        <f>IF(Table645[[#This Row],[Column128]]="--",0,Table645[[#This Row],[Column4]]*Table645[[#This Row],[Column128]])</f>
        <v>0</v>
      </c>
      <c r="EI201" s="89">
        <f>IF(Table645[[#This Row],[Column128]]="--",0,Table645[[#This Row],[Column4]]*Table645[[#This Row],[Column128]])</f>
        <v>0</v>
      </c>
    </row>
    <row r="202" spans="1:139" x14ac:dyDescent="0.25">
      <c r="A202" s="140"/>
      <c r="B202" s="79"/>
      <c r="C202" s="140"/>
      <c r="D202" s="167"/>
      <c r="E202" s="52"/>
      <c r="F202" s="81"/>
      <c r="G202" s="81"/>
      <c r="H202" s="102" t="str">
        <f t="shared" si="138"/>
        <v>--</v>
      </c>
      <c r="I202" s="100">
        <f>IF(Table645[[#This Row],[Column8]]="--",0,Table645[[#This Row],[Column4]]*Table645[[#This Row],[Column8]])</f>
        <v>0</v>
      </c>
      <c r="J202" s="169"/>
      <c r="K202" s="85">
        <f>Table645[[#This Row],[Column4]]*Table645[[#This Row],[Column10]]</f>
        <v>0</v>
      </c>
      <c r="L202" s="170" t="str">
        <f t="shared" si="139"/>
        <v>--</v>
      </c>
      <c r="M202" s="214">
        <f>IF(Table645[[#This Row],[Column10]]=0,0,Table645[[#This Row],[Column4]]*Table645[[#This Row],[Column12]])</f>
        <v>0</v>
      </c>
      <c r="N202" s="87" t="str">
        <f t="shared" si="140"/>
        <v>--</v>
      </c>
      <c r="O202" s="138"/>
      <c r="AZ202" s="89">
        <f>IF(Table645[[#This Row],[Column14]]="--",0,Table645[[#This Row],[Column4]]*Table645[[#This Row],[Column14]])</f>
        <v>0</v>
      </c>
      <c r="BA202" s="90"/>
      <c r="BB202" s="91" t="str">
        <f>IF(BA202=0,"--",BA202*$BA$3*IF(Table645[[#This Row],[Column5]]&lt;4.1,1,2)/60/24)</f>
        <v>--</v>
      </c>
      <c r="BC202" s="92">
        <f>IF(Table645[[#This Row],[Column54]]="--",0,Table645[[#This Row],[Column4]]*Table645[[#This Row],[Column54]])</f>
        <v>0</v>
      </c>
      <c r="BD202" s="119"/>
      <c r="BE202" s="119"/>
      <c r="BF202" s="119"/>
      <c r="BG202" s="91" t="str">
        <f>IF(BD202+Table645[[#This Row],[Column58]]=0,"--",(BD202*$BF$3*Table645[[#This Row],[Column57]]+Table645[[#This Row],[Column58]]*$BF$4)/60/24)</f>
        <v>--</v>
      </c>
      <c r="BH202" s="92">
        <f>IF(Table645[[#This Row],[Column59]]="--",0,Table645[[#This Row],[Column4]]*Table645[[#This Row],[Column59]])</f>
        <v>0</v>
      </c>
      <c r="BI202" s="119"/>
      <c r="BJ202" s="91" t="str">
        <f t="shared" si="126"/>
        <v>--</v>
      </c>
      <c r="BK202" s="92">
        <f>IF(Table645[[#This Row],[Column62]]="--",0,Table645[[#This Row],[Column4]]*Table645[[#This Row],[Column62]])</f>
        <v>0</v>
      </c>
      <c r="BL202" s="93"/>
      <c r="BM202" s="91" t="str">
        <f t="shared" si="141"/>
        <v>--</v>
      </c>
      <c r="BN202" s="89">
        <f>IF(Table645[[#This Row],[Column65]]="--",0,Table645[[#This Row],[Column4]]*Table645[[#This Row],[Column65]])</f>
        <v>0</v>
      </c>
      <c r="BO202" s="163"/>
      <c r="BP202" s="164" t="str">
        <f t="shared" si="142"/>
        <v>--</v>
      </c>
      <c r="BQ202" s="160">
        <f>IF(Table645[[#This Row],[Column68]]="--",0,Table645[[#This Row],[Column4]]*Table645[[#This Row],[Column68]])</f>
        <v>0</v>
      </c>
      <c r="BR202" s="94"/>
      <c r="BS202" s="91" t="str">
        <f t="shared" si="143"/>
        <v>--</v>
      </c>
      <c r="BT202" s="92">
        <f>IF(Table645[[#This Row],[Column71]]="--",0,Table645[[#This Row],[Column4]]*Table645[[#This Row],[Column71]])</f>
        <v>0</v>
      </c>
      <c r="BU202" s="44"/>
      <c r="BV202" s="90"/>
      <c r="BW202" s="91" t="str">
        <f>IF(BV202=0,"--",(Table645[[#This Row],[Column73]]*$BV$4*(IF(J202&lt;0.5001,1,IF(J202&lt;2.0001,2,3)))+BV202/$BV$3)/60/24)</f>
        <v>--</v>
      </c>
      <c r="BX202" s="92">
        <f>IF(Table645[[#This Row],[Column75]]="--",0,Table645[[#This Row],[Column4]]*Table645[[#This Row],[Column75]])</f>
        <v>0</v>
      </c>
      <c r="BY202" s="95" t="s">
        <v>70</v>
      </c>
      <c r="BZ202" s="91" t="str">
        <f>IF(Table645[[#This Row],[Column74]]=0,"--",BW202*$BY$3)</f>
        <v>--</v>
      </c>
      <c r="CA202" s="89">
        <f>IF(Table645[[#This Row],[Column78]]="--",0,Table645[[#This Row],[Column4]]*Table645[[#This Row],[Column78]])</f>
        <v>0</v>
      </c>
      <c r="CB202" s="95" t="s">
        <v>70</v>
      </c>
      <c r="CC202" s="91" t="str">
        <f>IF(Table645[[#This Row],[Column10]]+Table645[[#This Row],[Column74]]=0,"--",J202*$CB$4*$CB$5/(24*60)+IF(Table645[[#This Row],[Column74]]=0,0,$CB$3*Table645[[#This Row],[Column75]]))</f>
        <v>--</v>
      </c>
      <c r="CD202" s="92">
        <f>IF(Table645[[#This Row],[Column81]]="--",0,Table645[[#This Row],[Column4]]*Table645[[#This Row],[Column81]])</f>
        <v>0</v>
      </c>
      <c r="CE202" s="215"/>
      <c r="CF202" s="91" t="str">
        <f t="shared" si="127"/>
        <v>--</v>
      </c>
      <c r="CG202" s="92">
        <f>IF(Table645[[#This Row],[Column84]]="--",0,Table645[[#This Row],[Column4]]*Table645[[#This Row],[Column84]])</f>
        <v>0</v>
      </c>
      <c r="CH202" s="226"/>
      <c r="CI202" s="216"/>
      <c r="CJ202" s="91" t="str">
        <f>IF(CI202=0,"--",(Table645[[#This Row],[Column86]]*$CI$4*(IF(W202&lt;0.5001,1,IF(W202&lt;2.0001,2,3)))+CI202/$CI$3)/60/24)</f>
        <v>--</v>
      </c>
      <c r="CK202" s="92">
        <f>IF(Table645[[#This Row],[Column88]]="--",0,Table645[[#This Row],[Column4]]*Table645[[#This Row],[Column88]])</f>
        <v>0</v>
      </c>
      <c r="CL202" s="217"/>
      <c r="CM202" s="91" t="str">
        <f>IF(Table645[[#This Row],[Column87]]=0,"--",CJ202*$CL$3)</f>
        <v>--</v>
      </c>
      <c r="CN202" s="92">
        <f>IF(Table645[[#This Row],[Column91]]="--",0,Table645[[#This Row],[Column4]]*Table645[[#This Row],[Column91]])</f>
        <v>0</v>
      </c>
      <c r="CO202" s="217"/>
      <c r="CP202" s="91" t="str">
        <f>IF(Table645[[#This Row],[Column10]]+Table645[[#This Row],[Column87]]=0, "--", IF($D202="", 1, $D202) * IF($J202="", 1, $J202) * $CO$3 * $CO$4 * IF(Table645[[#This Row],[Column95]]="", 1, Table645[[#This Row],[Column95]]) / (24 * 60))</f>
        <v>--</v>
      </c>
      <c r="CQ202" s="164"/>
      <c r="CR202" s="92">
        <f>IF(Table645[[#This Row],[Column94]]="--",0,Table645[[#This Row],[Column4]]*Table645[[#This Row],[Column94]])</f>
        <v>0</v>
      </c>
      <c r="CS202" s="218" t="str">
        <f>IF(Table645[[#This Row],[Column87]]="","",Table645[[#This Row],[Column87]])</f>
        <v/>
      </c>
      <c r="CT202" s="91" t="str">
        <f>IF(Table645[[#This Row],[Column97]]="","--",Table645[[#This Row],[Column97]]/$CS$3/60/24)</f>
        <v>--</v>
      </c>
      <c r="CU202" s="92">
        <f>IF(Table645[[#This Row],[Column98]]="--",0,Table645[[#This Row],[Column4]]*Table645[[#This Row],[Column98]])</f>
        <v>0</v>
      </c>
      <c r="CV202" s="93"/>
      <c r="CW202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02" s="91" t="str">
        <f>IF(OR(Table645[[#This Row],[Column74]]&gt;0,Table645[[#This Row],[Column87]]&gt;0),(Table645[[#This Row],[Column73]]+Table645[[#This Row],[Column86]]+1)*$CW$3/60/24,"--")</f>
        <v>--</v>
      </c>
      <c r="CY202" s="92">
        <f>IF(Table645[[#This Row],[Column102]]="--",0,Table645[[#This Row],[Column4]]*Table645[[#This Row],[Column102]])</f>
        <v>0</v>
      </c>
      <c r="CZ202" s="158" t="str">
        <f t="shared" si="144"/>
        <v>--</v>
      </c>
      <c r="DA202" s="153"/>
      <c r="DB202" s="160">
        <f>IF(Table645[[#This Row],[Column104]]="--",0,Table645[[#This Row],[Column4]]*Table645[[#This Row],[Column104]])</f>
        <v>0</v>
      </c>
      <c r="DC202" s="219"/>
      <c r="DD202" s="220" t="str">
        <f>IF(DC202=0,"--",1/$DC$3*1000/(60*60*24)*Table645[[#This Row],[Column107]])</f>
        <v>--</v>
      </c>
      <c r="DE202" s="160">
        <f>IF(Table645[[#This Row],[Column108]]="--",0,Table645[[#This Row],[Column4]]*Table645[[#This Row],[Column108]])</f>
        <v>0</v>
      </c>
      <c r="DF202" s="101" t="s">
        <v>70</v>
      </c>
      <c r="DG202" s="91" t="str">
        <f t="shared" si="145"/>
        <v>--</v>
      </c>
      <c r="DH202" s="89">
        <f>IF(Table645[[#This Row],[Column111]]="--",0,Table645[[#This Row],[Column4]]*Table645[[#This Row],[Column111]])</f>
        <v>0</v>
      </c>
      <c r="DI202" s="96"/>
      <c r="DJ202" s="96"/>
      <c r="DK202" s="96"/>
      <c r="DL202" s="96"/>
      <c r="DM202" s="96"/>
      <c r="DN202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02" s="89">
        <f>IF(Table645[[#This Row],[Column118]]="--",0,Table645[[#This Row],[Column4]]*Table645[[#This Row],[Column118]])</f>
        <v>0</v>
      </c>
      <c r="DP202" s="96"/>
      <c r="DQ202" s="96"/>
      <c r="DR202" s="91" t="str">
        <f t="shared" si="146"/>
        <v>--</v>
      </c>
      <c r="DS202" s="89">
        <f>IF(Table645[[#This Row],[Column122]]="--",0,Table645[[#This Row],[Column4]]*Table645[[#This Row],[Column122]])</f>
        <v>0</v>
      </c>
      <c r="DT202" t="str">
        <f>IF(Table645[[#This Row],[Column125]]=0,"--",Table645[[#This Row],[Column125]]*Table645[[#This Row],[Column126]]*Table645[[#This Row],[Column127]]/1000000000)</f>
        <v>--</v>
      </c>
      <c r="DU202" s="53"/>
      <c r="DV202" s="53"/>
      <c r="DW202" s="53"/>
      <c r="DX202" s="91" t="str">
        <f t="shared" si="147"/>
        <v>--</v>
      </c>
      <c r="DY202" s="89">
        <f>IF(Table645[[#This Row],[Column128]]="--",0,Table645[[#This Row],[Column4]]*Table645[[#This Row],[Column128]])</f>
        <v>0</v>
      </c>
      <c r="EA202" s="89">
        <f>IF(Table645[[#This Row],[Column128]]="--",0,Table645[[#This Row],[Column4]]*Table645[[#This Row],[Column128]])</f>
        <v>0</v>
      </c>
      <c r="EC202" s="89">
        <f>IF(Table645[[#This Row],[Column128]]="--",0,Table645[[#This Row],[Column4]]*Table645[[#This Row],[Column128]])</f>
        <v>0</v>
      </c>
      <c r="EE202" s="89">
        <f>IF(Table645[[#This Row],[Column128]]="--",0,Table645[[#This Row],[Column4]]*Table645[[#This Row],[Column128]])</f>
        <v>0</v>
      </c>
      <c r="EG202" s="89">
        <f>IF(Table645[[#This Row],[Column128]]="--",0,Table645[[#This Row],[Column4]]*Table645[[#This Row],[Column128]])</f>
        <v>0</v>
      </c>
      <c r="EI202" s="89">
        <f>IF(Table645[[#This Row],[Column128]]="--",0,Table645[[#This Row],[Column4]]*Table645[[#This Row],[Column128]])</f>
        <v>0</v>
      </c>
    </row>
    <row r="203" spans="1:139" x14ac:dyDescent="0.25">
      <c r="A203" s="140"/>
      <c r="B203" s="79"/>
      <c r="C203" s="140"/>
      <c r="D203" s="167"/>
      <c r="E203" s="52"/>
      <c r="F203" s="81"/>
      <c r="G203" s="81"/>
      <c r="H203" s="102" t="str">
        <f t="shared" si="138"/>
        <v>--</v>
      </c>
      <c r="I203" s="100">
        <f>IF(Table645[[#This Row],[Column8]]="--",0,Table645[[#This Row],[Column4]]*Table645[[#This Row],[Column8]])</f>
        <v>0</v>
      </c>
      <c r="J203" s="169"/>
      <c r="K203" s="85">
        <f>Table645[[#This Row],[Column4]]*Table645[[#This Row],[Column10]]</f>
        <v>0</v>
      </c>
      <c r="L203" s="170" t="str">
        <f t="shared" si="139"/>
        <v>--</v>
      </c>
      <c r="M203" s="214">
        <f>IF(Table645[[#This Row],[Column10]]=0,0,Table645[[#This Row],[Column4]]*Table645[[#This Row],[Column12]])</f>
        <v>0</v>
      </c>
      <c r="N203" s="87" t="str">
        <f t="shared" si="140"/>
        <v>--</v>
      </c>
      <c r="O203" s="138"/>
      <c r="AZ203" s="89">
        <f>IF(Table645[[#This Row],[Column14]]="--",0,Table645[[#This Row],[Column4]]*Table645[[#This Row],[Column14]])</f>
        <v>0</v>
      </c>
      <c r="BA203" s="90"/>
      <c r="BB203" s="91" t="str">
        <f>IF(BA203=0,"--",BA203*$BA$3*IF(Table645[[#This Row],[Column5]]&lt;4.1,1,2)/60/24)</f>
        <v>--</v>
      </c>
      <c r="BC203" s="92">
        <f>IF(Table645[[#This Row],[Column54]]="--",0,Table645[[#This Row],[Column4]]*Table645[[#This Row],[Column54]])</f>
        <v>0</v>
      </c>
      <c r="BD203" s="119"/>
      <c r="BE203" s="119"/>
      <c r="BF203" s="119"/>
      <c r="BG203" s="91" t="str">
        <f>IF(BD203+Table645[[#This Row],[Column58]]=0,"--",(BD203*$BF$3*Table645[[#This Row],[Column57]]+Table645[[#This Row],[Column58]]*$BF$4)/60/24)</f>
        <v>--</v>
      </c>
      <c r="BH203" s="92">
        <f>IF(Table645[[#This Row],[Column59]]="--",0,Table645[[#This Row],[Column4]]*Table645[[#This Row],[Column59]])</f>
        <v>0</v>
      </c>
      <c r="BI203" s="119"/>
      <c r="BJ203" s="91" t="str">
        <f t="shared" si="126"/>
        <v>--</v>
      </c>
      <c r="BK203" s="92">
        <f>IF(Table645[[#This Row],[Column62]]="--",0,Table645[[#This Row],[Column4]]*Table645[[#This Row],[Column62]])</f>
        <v>0</v>
      </c>
      <c r="BL203" s="93"/>
      <c r="BM203" s="91" t="str">
        <f t="shared" si="141"/>
        <v>--</v>
      </c>
      <c r="BN203" s="89">
        <f>IF(Table645[[#This Row],[Column65]]="--",0,Table645[[#This Row],[Column4]]*Table645[[#This Row],[Column65]])</f>
        <v>0</v>
      </c>
      <c r="BO203" s="163"/>
      <c r="BP203" s="164" t="str">
        <f t="shared" si="142"/>
        <v>--</v>
      </c>
      <c r="BQ203" s="160">
        <f>IF(Table645[[#This Row],[Column68]]="--",0,Table645[[#This Row],[Column4]]*Table645[[#This Row],[Column68]])</f>
        <v>0</v>
      </c>
      <c r="BR203" s="94"/>
      <c r="BS203" s="91" t="str">
        <f t="shared" si="143"/>
        <v>--</v>
      </c>
      <c r="BT203" s="92">
        <f>IF(Table645[[#This Row],[Column71]]="--",0,Table645[[#This Row],[Column4]]*Table645[[#This Row],[Column71]])</f>
        <v>0</v>
      </c>
      <c r="BU203" s="44"/>
      <c r="BV203" s="90"/>
      <c r="BW203" s="91" t="str">
        <f>IF(BV203=0,"--",(Table645[[#This Row],[Column73]]*$BV$4*(IF(J203&lt;0.5001,1,IF(J203&lt;2.0001,2,3)))+BV203/$BV$3)/60/24)</f>
        <v>--</v>
      </c>
      <c r="BX203" s="92">
        <f>IF(Table645[[#This Row],[Column75]]="--",0,Table645[[#This Row],[Column4]]*Table645[[#This Row],[Column75]])</f>
        <v>0</v>
      </c>
      <c r="BY203" s="95" t="s">
        <v>70</v>
      </c>
      <c r="BZ203" s="91" t="str">
        <f>IF(Table645[[#This Row],[Column74]]=0,"--",BW203*$BY$3)</f>
        <v>--</v>
      </c>
      <c r="CA203" s="89">
        <f>IF(Table645[[#This Row],[Column78]]="--",0,Table645[[#This Row],[Column4]]*Table645[[#This Row],[Column78]])</f>
        <v>0</v>
      </c>
      <c r="CB203" s="95" t="s">
        <v>70</v>
      </c>
      <c r="CC203" s="91" t="str">
        <f>IF(Table645[[#This Row],[Column10]]+Table645[[#This Row],[Column74]]=0,"--",J203*$CB$4*$CB$5/(24*60)+IF(Table645[[#This Row],[Column74]]=0,0,$CB$3*Table645[[#This Row],[Column75]]))</f>
        <v>--</v>
      </c>
      <c r="CD203" s="92">
        <f>IF(Table645[[#This Row],[Column81]]="--",0,Table645[[#This Row],[Column4]]*Table645[[#This Row],[Column81]])</f>
        <v>0</v>
      </c>
      <c r="CE203" s="215"/>
      <c r="CF203" s="91" t="str">
        <f t="shared" si="127"/>
        <v>--</v>
      </c>
      <c r="CG203" s="92">
        <f>IF(Table645[[#This Row],[Column84]]="--",0,Table645[[#This Row],[Column4]]*Table645[[#This Row],[Column84]])</f>
        <v>0</v>
      </c>
      <c r="CH203" s="226"/>
      <c r="CI203" s="216"/>
      <c r="CJ203" s="91" t="str">
        <f>IF(CI203=0,"--",(Table645[[#This Row],[Column86]]*$CI$4*(IF(W203&lt;0.5001,1,IF(W203&lt;2.0001,2,3)))+CI203/$CI$3)/60/24)</f>
        <v>--</v>
      </c>
      <c r="CK203" s="92">
        <f>IF(Table645[[#This Row],[Column88]]="--",0,Table645[[#This Row],[Column4]]*Table645[[#This Row],[Column88]])</f>
        <v>0</v>
      </c>
      <c r="CL203" s="217"/>
      <c r="CM203" s="91" t="str">
        <f>IF(Table645[[#This Row],[Column87]]=0,"--",CJ203*$CL$3)</f>
        <v>--</v>
      </c>
      <c r="CN203" s="92">
        <f>IF(Table645[[#This Row],[Column91]]="--",0,Table645[[#This Row],[Column4]]*Table645[[#This Row],[Column91]])</f>
        <v>0</v>
      </c>
      <c r="CO203" s="217"/>
      <c r="CP203" s="91" t="str">
        <f>IF(Table645[[#This Row],[Column10]]+Table645[[#This Row],[Column87]]=0, "--", IF($D203="", 1, $D203) * IF($J203="", 1, $J203) * $CO$3 * $CO$4 * IF(Table645[[#This Row],[Column95]]="", 1, Table645[[#This Row],[Column95]]) / (24 * 60))</f>
        <v>--</v>
      </c>
      <c r="CQ203" s="164"/>
      <c r="CR203" s="92">
        <f>IF(Table645[[#This Row],[Column94]]="--",0,Table645[[#This Row],[Column4]]*Table645[[#This Row],[Column94]])</f>
        <v>0</v>
      </c>
      <c r="CS203" s="218" t="str">
        <f>IF(Table645[[#This Row],[Column87]]="","",Table645[[#This Row],[Column87]])</f>
        <v/>
      </c>
      <c r="CT203" s="91" t="str">
        <f>IF(Table645[[#This Row],[Column97]]="","--",Table645[[#This Row],[Column97]]/$CS$3/60/24)</f>
        <v>--</v>
      </c>
      <c r="CU203" s="92">
        <f>IF(Table645[[#This Row],[Column98]]="--",0,Table645[[#This Row],[Column4]]*Table645[[#This Row],[Column98]])</f>
        <v>0</v>
      </c>
      <c r="CV203" s="93"/>
      <c r="CW203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03" s="91" t="str">
        <f>IF(OR(Table645[[#This Row],[Column74]]&gt;0,Table645[[#This Row],[Column87]]&gt;0),(Table645[[#This Row],[Column73]]+Table645[[#This Row],[Column86]]+1)*$CW$3/60/24,"--")</f>
        <v>--</v>
      </c>
      <c r="CY203" s="92">
        <f>IF(Table645[[#This Row],[Column102]]="--",0,Table645[[#This Row],[Column4]]*Table645[[#This Row],[Column102]])</f>
        <v>0</v>
      </c>
      <c r="CZ203" s="158" t="str">
        <f t="shared" si="144"/>
        <v>--</v>
      </c>
      <c r="DA203" s="153"/>
      <c r="DB203" s="160">
        <f>IF(Table645[[#This Row],[Column104]]="--",0,Table645[[#This Row],[Column4]]*Table645[[#This Row],[Column104]])</f>
        <v>0</v>
      </c>
      <c r="DC203" s="219"/>
      <c r="DD203" s="220" t="str">
        <f>IF(DC203=0,"--",1/$DC$3*1000/(60*60*24)*Table645[[#This Row],[Column107]])</f>
        <v>--</v>
      </c>
      <c r="DE203" s="160">
        <f>IF(Table645[[#This Row],[Column108]]="--",0,Table645[[#This Row],[Column4]]*Table645[[#This Row],[Column108]])</f>
        <v>0</v>
      </c>
      <c r="DF203" s="101" t="s">
        <v>70</v>
      </c>
      <c r="DG203" s="91" t="str">
        <f t="shared" si="145"/>
        <v>--</v>
      </c>
      <c r="DH203" s="89">
        <f>IF(Table645[[#This Row],[Column111]]="--",0,Table645[[#This Row],[Column4]]*Table645[[#This Row],[Column111]])</f>
        <v>0</v>
      </c>
      <c r="DI203" s="96"/>
      <c r="DJ203" s="96"/>
      <c r="DK203" s="96"/>
      <c r="DL203" s="96"/>
      <c r="DM203" s="96"/>
      <c r="DN203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03" s="89">
        <f>IF(Table645[[#This Row],[Column118]]="--",0,Table645[[#This Row],[Column4]]*Table645[[#This Row],[Column118]])</f>
        <v>0</v>
      </c>
      <c r="DP203" s="96"/>
      <c r="DQ203" s="96"/>
      <c r="DR203" s="91" t="str">
        <f t="shared" si="146"/>
        <v>--</v>
      </c>
      <c r="DS203" s="89">
        <f>IF(Table645[[#This Row],[Column122]]="--",0,Table645[[#This Row],[Column4]]*Table645[[#This Row],[Column122]])</f>
        <v>0</v>
      </c>
      <c r="DT203" t="str">
        <f>IF(Table645[[#This Row],[Column125]]=0,"--",Table645[[#This Row],[Column125]]*Table645[[#This Row],[Column126]]*Table645[[#This Row],[Column127]]/1000000000)</f>
        <v>--</v>
      </c>
      <c r="DU203" s="53"/>
      <c r="DV203" s="53"/>
      <c r="DW203" s="53"/>
      <c r="DX203" s="91" t="str">
        <f t="shared" si="147"/>
        <v>--</v>
      </c>
      <c r="DY203" s="89">
        <f>IF(Table645[[#This Row],[Column128]]="--",0,Table645[[#This Row],[Column4]]*Table645[[#This Row],[Column128]])</f>
        <v>0</v>
      </c>
      <c r="EA203" s="89">
        <f>IF(Table645[[#This Row],[Column128]]="--",0,Table645[[#This Row],[Column4]]*Table645[[#This Row],[Column128]])</f>
        <v>0</v>
      </c>
      <c r="EC203" s="89">
        <f>IF(Table645[[#This Row],[Column128]]="--",0,Table645[[#This Row],[Column4]]*Table645[[#This Row],[Column128]])</f>
        <v>0</v>
      </c>
      <c r="EE203" s="89">
        <f>IF(Table645[[#This Row],[Column128]]="--",0,Table645[[#This Row],[Column4]]*Table645[[#This Row],[Column128]])</f>
        <v>0</v>
      </c>
      <c r="EG203" s="89">
        <f>IF(Table645[[#This Row],[Column128]]="--",0,Table645[[#This Row],[Column4]]*Table645[[#This Row],[Column128]])</f>
        <v>0</v>
      </c>
      <c r="EI203" s="89">
        <f>IF(Table645[[#This Row],[Column128]]="--",0,Table645[[#This Row],[Column4]]*Table645[[#This Row],[Column128]])</f>
        <v>0</v>
      </c>
    </row>
    <row r="204" spans="1:139" x14ac:dyDescent="0.25">
      <c r="A204" s="140"/>
      <c r="B204" s="79"/>
      <c r="C204" s="140"/>
      <c r="D204" s="167"/>
      <c r="E204" s="52"/>
      <c r="F204" s="81"/>
      <c r="G204" s="81"/>
      <c r="H204" s="102" t="str">
        <f t="shared" si="138"/>
        <v>--</v>
      </c>
      <c r="I204" s="100">
        <f>IF(Table645[[#This Row],[Column8]]="--",0,Table645[[#This Row],[Column4]]*Table645[[#This Row],[Column8]])</f>
        <v>0</v>
      </c>
      <c r="J204" s="169"/>
      <c r="K204" s="85">
        <f>Table645[[#This Row],[Column4]]*Table645[[#This Row],[Column10]]</f>
        <v>0</v>
      </c>
      <c r="L204" s="170" t="str">
        <f t="shared" si="139"/>
        <v>--</v>
      </c>
      <c r="M204" s="214">
        <f>IF(Table645[[#This Row],[Column10]]=0,0,Table645[[#This Row],[Column4]]*Table645[[#This Row],[Column12]])</f>
        <v>0</v>
      </c>
      <c r="N204" s="87" t="str">
        <f t="shared" si="140"/>
        <v>--</v>
      </c>
      <c r="O204" s="138"/>
      <c r="AZ204" s="89">
        <f>IF(Table645[[#This Row],[Column14]]="--",0,Table645[[#This Row],[Column4]]*Table645[[#This Row],[Column14]])</f>
        <v>0</v>
      </c>
      <c r="BA204" s="90"/>
      <c r="BB204" s="91" t="str">
        <f>IF(BA204=0,"--",BA204*$BA$3*IF(Table645[[#This Row],[Column5]]&lt;4.1,1,2)/60/24)</f>
        <v>--</v>
      </c>
      <c r="BC204" s="92">
        <f>IF(Table645[[#This Row],[Column54]]="--",0,Table645[[#This Row],[Column4]]*Table645[[#This Row],[Column54]])</f>
        <v>0</v>
      </c>
      <c r="BD204" s="119"/>
      <c r="BE204" s="119"/>
      <c r="BF204" s="119"/>
      <c r="BG204" s="91" t="str">
        <f>IF(BD204+Table645[[#This Row],[Column58]]=0,"--",(BD204*$BF$3*Table645[[#This Row],[Column57]]+Table645[[#This Row],[Column58]]*$BF$4)/60/24)</f>
        <v>--</v>
      </c>
      <c r="BH204" s="92">
        <f>IF(Table645[[#This Row],[Column59]]="--",0,Table645[[#This Row],[Column4]]*Table645[[#This Row],[Column59]])</f>
        <v>0</v>
      </c>
      <c r="BI204" s="119"/>
      <c r="BJ204" s="91" t="str">
        <f t="shared" si="126"/>
        <v>--</v>
      </c>
      <c r="BK204" s="92">
        <f>IF(Table645[[#This Row],[Column62]]="--",0,Table645[[#This Row],[Column4]]*Table645[[#This Row],[Column62]])</f>
        <v>0</v>
      </c>
      <c r="BL204" s="93"/>
      <c r="BM204" s="91" t="str">
        <f t="shared" si="141"/>
        <v>--</v>
      </c>
      <c r="BN204" s="89">
        <f>IF(Table645[[#This Row],[Column65]]="--",0,Table645[[#This Row],[Column4]]*Table645[[#This Row],[Column65]])</f>
        <v>0</v>
      </c>
      <c r="BO204" s="163"/>
      <c r="BP204" s="164" t="str">
        <f t="shared" si="142"/>
        <v>--</v>
      </c>
      <c r="BQ204" s="160">
        <f>IF(Table645[[#This Row],[Column68]]="--",0,Table645[[#This Row],[Column4]]*Table645[[#This Row],[Column68]])</f>
        <v>0</v>
      </c>
      <c r="BR204" s="94"/>
      <c r="BS204" s="91" t="str">
        <f t="shared" si="143"/>
        <v>--</v>
      </c>
      <c r="BT204" s="92">
        <f>IF(Table645[[#This Row],[Column71]]="--",0,Table645[[#This Row],[Column4]]*Table645[[#This Row],[Column71]])</f>
        <v>0</v>
      </c>
      <c r="BU204" s="44"/>
      <c r="BV204" s="90"/>
      <c r="BW204" s="91" t="str">
        <f>IF(BV204=0,"--",(Table645[[#This Row],[Column73]]*$BV$4*(IF(J204&lt;0.5001,1,IF(J204&lt;2.0001,2,3)))+BV204/$BV$3)/60/24)</f>
        <v>--</v>
      </c>
      <c r="BX204" s="92">
        <f>IF(Table645[[#This Row],[Column75]]="--",0,Table645[[#This Row],[Column4]]*Table645[[#This Row],[Column75]])</f>
        <v>0</v>
      </c>
      <c r="BY204" s="95" t="s">
        <v>70</v>
      </c>
      <c r="BZ204" s="91" t="str">
        <f>IF(Table645[[#This Row],[Column74]]=0,"--",BW204*$BY$3)</f>
        <v>--</v>
      </c>
      <c r="CA204" s="89">
        <f>IF(Table645[[#This Row],[Column78]]="--",0,Table645[[#This Row],[Column4]]*Table645[[#This Row],[Column78]])</f>
        <v>0</v>
      </c>
      <c r="CB204" s="95" t="s">
        <v>70</v>
      </c>
      <c r="CC204" s="91" t="str">
        <f>IF(Table645[[#This Row],[Column10]]+Table645[[#This Row],[Column74]]=0,"--",J204*$CB$4*$CB$5/(24*60)+IF(Table645[[#This Row],[Column74]]=0,0,$CB$3*Table645[[#This Row],[Column75]]))</f>
        <v>--</v>
      </c>
      <c r="CD204" s="92">
        <f>IF(Table645[[#This Row],[Column81]]="--",0,Table645[[#This Row],[Column4]]*Table645[[#This Row],[Column81]])</f>
        <v>0</v>
      </c>
      <c r="CE204" s="215"/>
      <c r="CF204" s="91" t="str">
        <f t="shared" si="127"/>
        <v>--</v>
      </c>
      <c r="CG204" s="92">
        <f>IF(Table645[[#This Row],[Column84]]="--",0,Table645[[#This Row],[Column4]]*Table645[[#This Row],[Column84]])</f>
        <v>0</v>
      </c>
      <c r="CH204" s="226"/>
      <c r="CI204" s="216"/>
      <c r="CJ204" s="91" t="str">
        <f>IF(CI204=0,"--",(Table645[[#This Row],[Column86]]*$CI$4*(IF(W204&lt;0.5001,1,IF(W204&lt;2.0001,2,3)))+CI204/$CI$3)/60/24)</f>
        <v>--</v>
      </c>
      <c r="CK204" s="92">
        <f>IF(Table645[[#This Row],[Column88]]="--",0,Table645[[#This Row],[Column4]]*Table645[[#This Row],[Column88]])</f>
        <v>0</v>
      </c>
      <c r="CL204" s="217"/>
      <c r="CM204" s="91" t="str">
        <f>IF(Table645[[#This Row],[Column87]]=0,"--",CJ204*$CL$3)</f>
        <v>--</v>
      </c>
      <c r="CN204" s="92">
        <f>IF(Table645[[#This Row],[Column91]]="--",0,Table645[[#This Row],[Column4]]*Table645[[#This Row],[Column91]])</f>
        <v>0</v>
      </c>
      <c r="CO204" s="217"/>
      <c r="CP204" s="91" t="str">
        <f>IF(Table645[[#This Row],[Column10]]+Table645[[#This Row],[Column87]]=0, "--", IF($D204="", 1, $D204) * IF($J204="", 1, $J204) * $CO$3 * $CO$4 * IF(Table645[[#This Row],[Column95]]="", 1, Table645[[#This Row],[Column95]]) / (24 * 60))</f>
        <v>--</v>
      </c>
      <c r="CQ204" s="164"/>
      <c r="CR204" s="92">
        <f>IF(Table645[[#This Row],[Column94]]="--",0,Table645[[#This Row],[Column4]]*Table645[[#This Row],[Column94]])</f>
        <v>0</v>
      </c>
      <c r="CS204" s="218" t="str">
        <f>IF(Table645[[#This Row],[Column87]]="","",Table645[[#This Row],[Column87]])</f>
        <v/>
      </c>
      <c r="CT204" s="91" t="str">
        <f>IF(Table645[[#This Row],[Column97]]="","--",Table645[[#This Row],[Column97]]/$CS$3/60/24)</f>
        <v>--</v>
      </c>
      <c r="CU204" s="92">
        <f>IF(Table645[[#This Row],[Column98]]="--",0,Table645[[#This Row],[Column4]]*Table645[[#This Row],[Column98]])</f>
        <v>0</v>
      </c>
      <c r="CV204" s="93"/>
      <c r="CW204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04" s="91" t="str">
        <f>IF(OR(Table645[[#This Row],[Column74]]&gt;0,Table645[[#This Row],[Column87]]&gt;0),(Table645[[#This Row],[Column73]]+Table645[[#This Row],[Column86]]+1)*$CW$3/60/24,"--")</f>
        <v>--</v>
      </c>
      <c r="CY204" s="92">
        <f>IF(Table645[[#This Row],[Column102]]="--",0,Table645[[#This Row],[Column4]]*Table645[[#This Row],[Column102]])</f>
        <v>0</v>
      </c>
      <c r="CZ204" s="158" t="str">
        <f t="shared" si="144"/>
        <v>--</v>
      </c>
      <c r="DA204" s="153"/>
      <c r="DB204" s="160">
        <f>IF(Table645[[#This Row],[Column104]]="--",0,Table645[[#This Row],[Column4]]*Table645[[#This Row],[Column104]])</f>
        <v>0</v>
      </c>
      <c r="DC204" s="219"/>
      <c r="DD204" s="220" t="str">
        <f>IF(DC204=0,"--",1/$DC$3*1000/(60*60*24)*Table645[[#This Row],[Column107]])</f>
        <v>--</v>
      </c>
      <c r="DE204" s="160">
        <f>IF(Table645[[#This Row],[Column108]]="--",0,Table645[[#This Row],[Column4]]*Table645[[#This Row],[Column108]])</f>
        <v>0</v>
      </c>
      <c r="DF204" s="101" t="s">
        <v>70</v>
      </c>
      <c r="DG204" s="91" t="str">
        <f t="shared" si="145"/>
        <v>--</v>
      </c>
      <c r="DH204" s="89">
        <f>IF(Table645[[#This Row],[Column111]]="--",0,Table645[[#This Row],[Column4]]*Table645[[#This Row],[Column111]])</f>
        <v>0</v>
      </c>
      <c r="DI204" s="96"/>
      <c r="DJ204" s="96"/>
      <c r="DK204" s="96"/>
      <c r="DL204" s="96"/>
      <c r="DM204" s="96"/>
      <c r="DN204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04" s="89">
        <f>IF(Table645[[#This Row],[Column118]]="--",0,Table645[[#This Row],[Column4]]*Table645[[#This Row],[Column118]])</f>
        <v>0</v>
      </c>
      <c r="DP204" s="96"/>
      <c r="DQ204" s="96"/>
      <c r="DR204" s="91" t="str">
        <f t="shared" si="146"/>
        <v>--</v>
      </c>
      <c r="DS204" s="89">
        <f>IF(Table645[[#This Row],[Column122]]="--",0,Table645[[#This Row],[Column4]]*Table645[[#This Row],[Column122]])</f>
        <v>0</v>
      </c>
      <c r="DT204" t="str">
        <f>IF(Table645[[#This Row],[Column125]]=0,"--",Table645[[#This Row],[Column125]]*Table645[[#This Row],[Column126]]*Table645[[#This Row],[Column127]]/1000000000)</f>
        <v>--</v>
      </c>
      <c r="DU204" s="53"/>
      <c r="DV204" s="53"/>
      <c r="DW204" s="53"/>
      <c r="DX204" s="91" t="str">
        <f t="shared" si="147"/>
        <v>--</v>
      </c>
      <c r="DY204" s="89">
        <f>IF(Table645[[#This Row],[Column128]]="--",0,Table645[[#This Row],[Column4]]*Table645[[#This Row],[Column128]])</f>
        <v>0</v>
      </c>
      <c r="EA204" s="89">
        <f>IF(Table645[[#This Row],[Column128]]="--",0,Table645[[#This Row],[Column4]]*Table645[[#This Row],[Column128]])</f>
        <v>0</v>
      </c>
      <c r="EC204" s="89">
        <f>IF(Table645[[#This Row],[Column128]]="--",0,Table645[[#This Row],[Column4]]*Table645[[#This Row],[Column128]])</f>
        <v>0</v>
      </c>
      <c r="EE204" s="89">
        <f>IF(Table645[[#This Row],[Column128]]="--",0,Table645[[#This Row],[Column4]]*Table645[[#This Row],[Column128]])</f>
        <v>0</v>
      </c>
      <c r="EG204" s="89">
        <f>IF(Table645[[#This Row],[Column128]]="--",0,Table645[[#This Row],[Column4]]*Table645[[#This Row],[Column128]])</f>
        <v>0</v>
      </c>
      <c r="EI204" s="89">
        <f>IF(Table645[[#This Row],[Column128]]="--",0,Table645[[#This Row],[Column4]]*Table645[[#This Row],[Column128]])</f>
        <v>0</v>
      </c>
    </row>
    <row r="205" spans="1:139" x14ac:dyDescent="0.25">
      <c r="A205" s="140"/>
      <c r="B205" s="79"/>
      <c r="C205" s="140"/>
      <c r="D205" s="167"/>
      <c r="E205" s="52"/>
      <c r="F205" s="81"/>
      <c r="G205" s="81"/>
      <c r="H205" s="102" t="str">
        <f t="shared" si="138"/>
        <v>--</v>
      </c>
      <c r="I205" s="100">
        <f>IF(Table645[[#This Row],[Column8]]="--",0,Table645[[#This Row],[Column4]]*Table645[[#This Row],[Column8]])</f>
        <v>0</v>
      </c>
      <c r="J205" s="169"/>
      <c r="K205" s="85">
        <f>Table645[[#This Row],[Column4]]*Table645[[#This Row],[Column10]]</f>
        <v>0</v>
      </c>
      <c r="L205" s="170" t="str">
        <f t="shared" si="139"/>
        <v>--</v>
      </c>
      <c r="M205" s="214">
        <f>IF(Table645[[#This Row],[Column10]]=0,0,Table645[[#This Row],[Column4]]*Table645[[#This Row],[Column12]])</f>
        <v>0</v>
      </c>
      <c r="N205" s="87" t="str">
        <f t="shared" si="140"/>
        <v>--</v>
      </c>
      <c r="O205" s="138"/>
      <c r="AZ205" s="89">
        <f>IF(Table645[[#This Row],[Column14]]="--",0,Table645[[#This Row],[Column4]]*Table645[[#This Row],[Column14]])</f>
        <v>0</v>
      </c>
      <c r="BA205" s="90"/>
      <c r="BB205" s="91" t="str">
        <f>IF(BA205=0,"--",BA205*$BA$3*IF(Table645[[#This Row],[Column5]]&lt;4.1,1,2)/60/24)</f>
        <v>--</v>
      </c>
      <c r="BC205" s="92">
        <f>IF(Table645[[#This Row],[Column54]]="--",0,Table645[[#This Row],[Column4]]*Table645[[#This Row],[Column54]])</f>
        <v>0</v>
      </c>
      <c r="BD205" s="119"/>
      <c r="BE205" s="119"/>
      <c r="BF205" s="119"/>
      <c r="BG205" s="91" t="str">
        <f>IF(BD205+Table645[[#This Row],[Column58]]=0,"--",(BD205*$BF$3*Table645[[#This Row],[Column57]]+Table645[[#This Row],[Column58]]*$BF$4)/60/24)</f>
        <v>--</v>
      </c>
      <c r="BH205" s="92">
        <f>IF(Table645[[#This Row],[Column59]]="--",0,Table645[[#This Row],[Column4]]*Table645[[#This Row],[Column59]])</f>
        <v>0</v>
      </c>
      <c r="BI205" s="119"/>
      <c r="BJ205" s="91" t="str">
        <f t="shared" si="126"/>
        <v>--</v>
      </c>
      <c r="BK205" s="92">
        <f>IF(Table645[[#This Row],[Column62]]="--",0,Table645[[#This Row],[Column4]]*Table645[[#This Row],[Column62]])</f>
        <v>0</v>
      </c>
      <c r="BL205" s="93"/>
      <c r="BM205" s="91" t="str">
        <f t="shared" si="141"/>
        <v>--</v>
      </c>
      <c r="BN205" s="89">
        <f>IF(Table645[[#This Row],[Column65]]="--",0,Table645[[#This Row],[Column4]]*Table645[[#This Row],[Column65]])</f>
        <v>0</v>
      </c>
      <c r="BO205" s="163"/>
      <c r="BP205" s="164" t="str">
        <f t="shared" si="142"/>
        <v>--</v>
      </c>
      <c r="BQ205" s="160">
        <f>IF(Table645[[#This Row],[Column68]]="--",0,Table645[[#This Row],[Column4]]*Table645[[#This Row],[Column68]])</f>
        <v>0</v>
      </c>
      <c r="BR205" s="94"/>
      <c r="BS205" s="91" t="str">
        <f t="shared" si="143"/>
        <v>--</v>
      </c>
      <c r="BT205" s="92">
        <f>IF(Table645[[#This Row],[Column71]]="--",0,Table645[[#This Row],[Column4]]*Table645[[#This Row],[Column71]])</f>
        <v>0</v>
      </c>
      <c r="BU205" s="44"/>
      <c r="BV205" s="90"/>
      <c r="BW205" s="91" t="str">
        <f>IF(BV205=0,"--",(Table645[[#This Row],[Column73]]*$BV$4*(IF(J205&lt;0.5001,1,IF(J205&lt;2.0001,2,3)))+BV205/$BV$3)/60/24)</f>
        <v>--</v>
      </c>
      <c r="BX205" s="92">
        <f>IF(Table645[[#This Row],[Column75]]="--",0,Table645[[#This Row],[Column4]]*Table645[[#This Row],[Column75]])</f>
        <v>0</v>
      </c>
      <c r="BY205" s="95" t="s">
        <v>70</v>
      </c>
      <c r="BZ205" s="91" t="str">
        <f>IF(Table645[[#This Row],[Column74]]=0,"--",BW205*$BY$3)</f>
        <v>--</v>
      </c>
      <c r="CA205" s="89">
        <f>IF(Table645[[#This Row],[Column78]]="--",0,Table645[[#This Row],[Column4]]*Table645[[#This Row],[Column78]])</f>
        <v>0</v>
      </c>
      <c r="CB205" s="95" t="s">
        <v>70</v>
      </c>
      <c r="CC205" s="91" t="str">
        <f>IF(Table645[[#This Row],[Column10]]+Table645[[#This Row],[Column74]]=0,"--",J205*$CB$4*$CB$5/(24*60)+IF(Table645[[#This Row],[Column74]]=0,0,$CB$3*Table645[[#This Row],[Column75]]))</f>
        <v>--</v>
      </c>
      <c r="CD205" s="92">
        <f>IF(Table645[[#This Row],[Column81]]="--",0,Table645[[#This Row],[Column4]]*Table645[[#This Row],[Column81]])</f>
        <v>0</v>
      </c>
      <c r="CE205" s="215"/>
      <c r="CF205" s="91" t="str">
        <f t="shared" si="127"/>
        <v>--</v>
      </c>
      <c r="CG205" s="92">
        <f>IF(Table645[[#This Row],[Column84]]="--",0,Table645[[#This Row],[Column4]]*Table645[[#This Row],[Column84]])</f>
        <v>0</v>
      </c>
      <c r="CH205" s="226"/>
      <c r="CI205" s="216"/>
      <c r="CJ205" s="91" t="str">
        <f>IF(CI205=0,"--",(Table645[[#This Row],[Column86]]*$CI$4*(IF(W205&lt;0.5001,1,IF(W205&lt;2.0001,2,3)))+CI205/$CI$3)/60/24)</f>
        <v>--</v>
      </c>
      <c r="CK205" s="92">
        <f>IF(Table645[[#This Row],[Column88]]="--",0,Table645[[#This Row],[Column4]]*Table645[[#This Row],[Column88]])</f>
        <v>0</v>
      </c>
      <c r="CL205" s="217"/>
      <c r="CM205" s="91" t="str">
        <f>IF(Table645[[#This Row],[Column87]]=0,"--",CJ205*$CL$3)</f>
        <v>--</v>
      </c>
      <c r="CN205" s="92">
        <f>IF(Table645[[#This Row],[Column91]]="--",0,Table645[[#This Row],[Column4]]*Table645[[#This Row],[Column91]])</f>
        <v>0</v>
      </c>
      <c r="CO205" s="217"/>
      <c r="CP205" s="91" t="str">
        <f>IF(Table645[[#This Row],[Column10]]+Table645[[#This Row],[Column87]]=0, "--", IF($D205="", 1, $D205) * IF($J205="", 1, $J205) * $CO$3 * $CO$4 * IF(Table645[[#This Row],[Column95]]="", 1, Table645[[#This Row],[Column95]]) / (24 * 60))</f>
        <v>--</v>
      </c>
      <c r="CQ205" s="164"/>
      <c r="CR205" s="92">
        <f>IF(Table645[[#This Row],[Column94]]="--",0,Table645[[#This Row],[Column4]]*Table645[[#This Row],[Column94]])</f>
        <v>0</v>
      </c>
      <c r="CS205" s="218" t="str">
        <f>IF(Table645[[#This Row],[Column87]]="","",Table645[[#This Row],[Column87]])</f>
        <v/>
      </c>
      <c r="CT205" s="91" t="str">
        <f>IF(Table645[[#This Row],[Column97]]="","--",Table645[[#This Row],[Column97]]/$CS$3/60/24)</f>
        <v>--</v>
      </c>
      <c r="CU205" s="92">
        <f>IF(Table645[[#This Row],[Column98]]="--",0,Table645[[#This Row],[Column4]]*Table645[[#This Row],[Column98]])</f>
        <v>0</v>
      </c>
      <c r="CV205" s="93"/>
      <c r="CW205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05" s="91" t="str">
        <f>IF(OR(Table645[[#This Row],[Column74]]&gt;0,Table645[[#This Row],[Column87]]&gt;0),(Table645[[#This Row],[Column73]]+Table645[[#This Row],[Column86]]+1)*$CW$3/60/24,"--")</f>
        <v>--</v>
      </c>
      <c r="CY205" s="92">
        <f>IF(Table645[[#This Row],[Column102]]="--",0,Table645[[#This Row],[Column4]]*Table645[[#This Row],[Column102]])</f>
        <v>0</v>
      </c>
      <c r="CZ205" s="158" t="str">
        <f t="shared" si="144"/>
        <v>--</v>
      </c>
      <c r="DA205" s="153"/>
      <c r="DB205" s="160">
        <f>IF(Table645[[#This Row],[Column104]]="--",0,Table645[[#This Row],[Column4]]*Table645[[#This Row],[Column104]])</f>
        <v>0</v>
      </c>
      <c r="DC205" s="219"/>
      <c r="DD205" s="220" t="str">
        <f>IF(DC205=0,"--",1/$DC$3*1000/(60*60*24)*Table645[[#This Row],[Column107]])</f>
        <v>--</v>
      </c>
      <c r="DE205" s="160">
        <f>IF(Table645[[#This Row],[Column108]]="--",0,Table645[[#This Row],[Column4]]*Table645[[#This Row],[Column108]])</f>
        <v>0</v>
      </c>
      <c r="DF205" s="101" t="s">
        <v>70</v>
      </c>
      <c r="DG205" s="91" t="str">
        <f t="shared" si="145"/>
        <v>--</v>
      </c>
      <c r="DH205" s="89">
        <f>IF(Table645[[#This Row],[Column111]]="--",0,Table645[[#This Row],[Column4]]*Table645[[#This Row],[Column111]])</f>
        <v>0</v>
      </c>
      <c r="DI205" s="96"/>
      <c r="DJ205" s="96"/>
      <c r="DK205" s="96"/>
      <c r="DL205" s="96"/>
      <c r="DM205" s="96"/>
      <c r="DN205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05" s="89">
        <f>IF(Table645[[#This Row],[Column118]]="--",0,Table645[[#This Row],[Column4]]*Table645[[#This Row],[Column118]])</f>
        <v>0</v>
      </c>
      <c r="DP205" s="96"/>
      <c r="DQ205" s="96"/>
      <c r="DR205" s="91" t="str">
        <f t="shared" si="146"/>
        <v>--</v>
      </c>
      <c r="DS205" s="89">
        <f>IF(Table645[[#This Row],[Column122]]="--",0,Table645[[#This Row],[Column4]]*Table645[[#This Row],[Column122]])</f>
        <v>0</v>
      </c>
      <c r="DT205" t="str">
        <f>IF(Table645[[#This Row],[Column125]]=0,"--",Table645[[#This Row],[Column125]]*Table645[[#This Row],[Column126]]*Table645[[#This Row],[Column127]]/1000000000)</f>
        <v>--</v>
      </c>
      <c r="DU205" s="53"/>
      <c r="DV205" s="53"/>
      <c r="DW205" s="53"/>
      <c r="DX205" s="91" t="str">
        <f t="shared" si="147"/>
        <v>--</v>
      </c>
      <c r="DY205" s="89">
        <f>IF(Table645[[#This Row],[Column128]]="--",0,Table645[[#This Row],[Column4]]*Table645[[#This Row],[Column128]])</f>
        <v>0</v>
      </c>
      <c r="EA205" s="89">
        <f>IF(Table645[[#This Row],[Column128]]="--",0,Table645[[#This Row],[Column4]]*Table645[[#This Row],[Column128]])</f>
        <v>0</v>
      </c>
      <c r="EC205" s="89">
        <f>IF(Table645[[#This Row],[Column128]]="--",0,Table645[[#This Row],[Column4]]*Table645[[#This Row],[Column128]])</f>
        <v>0</v>
      </c>
      <c r="EE205" s="89">
        <f>IF(Table645[[#This Row],[Column128]]="--",0,Table645[[#This Row],[Column4]]*Table645[[#This Row],[Column128]])</f>
        <v>0</v>
      </c>
      <c r="EG205" s="89">
        <f>IF(Table645[[#This Row],[Column128]]="--",0,Table645[[#This Row],[Column4]]*Table645[[#This Row],[Column128]])</f>
        <v>0</v>
      </c>
      <c r="EI205" s="89">
        <f>IF(Table645[[#This Row],[Column128]]="--",0,Table645[[#This Row],[Column4]]*Table645[[#This Row],[Column128]])</f>
        <v>0</v>
      </c>
    </row>
    <row r="206" spans="1:139" x14ac:dyDescent="0.25">
      <c r="A206" s="140"/>
      <c r="B206" s="79"/>
      <c r="C206" s="140"/>
      <c r="D206" s="167"/>
      <c r="E206" s="52"/>
      <c r="F206" s="81"/>
      <c r="G206" s="81"/>
      <c r="H206" s="102" t="str">
        <f t="shared" si="138"/>
        <v>--</v>
      </c>
      <c r="I206" s="100">
        <f>IF(Table645[[#This Row],[Column8]]="--",0,Table645[[#This Row],[Column4]]*Table645[[#This Row],[Column8]])</f>
        <v>0</v>
      </c>
      <c r="J206" s="169"/>
      <c r="K206" s="85">
        <f>Table645[[#This Row],[Column4]]*Table645[[#This Row],[Column10]]</f>
        <v>0</v>
      </c>
      <c r="L206" s="170" t="str">
        <f t="shared" si="139"/>
        <v>--</v>
      </c>
      <c r="M206" s="214">
        <f>IF(Table645[[#This Row],[Column10]]=0,0,Table645[[#This Row],[Column4]]*Table645[[#This Row],[Column12]])</f>
        <v>0</v>
      </c>
      <c r="N206" s="87" t="str">
        <f t="shared" si="140"/>
        <v>--</v>
      </c>
      <c r="O206" s="138"/>
      <c r="AZ206" s="89">
        <f>IF(Table645[[#This Row],[Column14]]="--",0,Table645[[#This Row],[Column4]]*Table645[[#This Row],[Column14]])</f>
        <v>0</v>
      </c>
      <c r="BA206" s="90"/>
      <c r="BB206" s="91" t="str">
        <f>IF(BA206=0,"--",BA206*$BA$3*IF(Table645[[#This Row],[Column5]]&lt;4.1,1,2)/60/24)</f>
        <v>--</v>
      </c>
      <c r="BC206" s="92">
        <f>IF(Table645[[#This Row],[Column54]]="--",0,Table645[[#This Row],[Column4]]*Table645[[#This Row],[Column54]])</f>
        <v>0</v>
      </c>
      <c r="BD206" s="119"/>
      <c r="BE206" s="119"/>
      <c r="BF206" s="119"/>
      <c r="BG206" s="91" t="str">
        <f>IF(BD206+Table645[[#This Row],[Column58]]=0,"--",(BD206*$BF$3*Table645[[#This Row],[Column57]]+Table645[[#This Row],[Column58]]*$BF$4)/60/24)</f>
        <v>--</v>
      </c>
      <c r="BH206" s="92">
        <f>IF(Table645[[#This Row],[Column59]]="--",0,Table645[[#This Row],[Column4]]*Table645[[#This Row],[Column59]])</f>
        <v>0</v>
      </c>
      <c r="BI206" s="119"/>
      <c r="BJ206" s="91" t="str">
        <f t="shared" si="126"/>
        <v>--</v>
      </c>
      <c r="BK206" s="92">
        <f>IF(Table645[[#This Row],[Column62]]="--",0,Table645[[#This Row],[Column4]]*Table645[[#This Row],[Column62]])</f>
        <v>0</v>
      </c>
      <c r="BL206" s="93"/>
      <c r="BM206" s="91" t="str">
        <f t="shared" si="141"/>
        <v>--</v>
      </c>
      <c r="BN206" s="89">
        <f>IF(Table645[[#This Row],[Column65]]="--",0,Table645[[#This Row],[Column4]]*Table645[[#This Row],[Column65]])</f>
        <v>0</v>
      </c>
      <c r="BO206" s="163"/>
      <c r="BP206" s="164" t="str">
        <f t="shared" si="142"/>
        <v>--</v>
      </c>
      <c r="BQ206" s="160">
        <f>IF(Table645[[#This Row],[Column68]]="--",0,Table645[[#This Row],[Column4]]*Table645[[#This Row],[Column68]])</f>
        <v>0</v>
      </c>
      <c r="BR206" s="94"/>
      <c r="BS206" s="91" t="str">
        <f t="shared" si="143"/>
        <v>--</v>
      </c>
      <c r="BT206" s="92">
        <f>IF(Table645[[#This Row],[Column71]]="--",0,Table645[[#This Row],[Column4]]*Table645[[#This Row],[Column71]])</f>
        <v>0</v>
      </c>
      <c r="BU206" s="44"/>
      <c r="BV206" s="90"/>
      <c r="BW206" s="91" t="str">
        <f>IF(BV206=0,"--",(Table645[[#This Row],[Column73]]*$BV$4*(IF(J206&lt;0.5001,1,IF(J206&lt;2.0001,2,3)))+BV206/$BV$3)/60/24)</f>
        <v>--</v>
      </c>
      <c r="BX206" s="92">
        <f>IF(Table645[[#This Row],[Column75]]="--",0,Table645[[#This Row],[Column4]]*Table645[[#This Row],[Column75]])</f>
        <v>0</v>
      </c>
      <c r="BY206" s="95" t="s">
        <v>70</v>
      </c>
      <c r="BZ206" s="91" t="str">
        <f>IF(Table645[[#This Row],[Column74]]=0,"--",BW206*$BY$3)</f>
        <v>--</v>
      </c>
      <c r="CA206" s="89">
        <f>IF(Table645[[#This Row],[Column78]]="--",0,Table645[[#This Row],[Column4]]*Table645[[#This Row],[Column78]])</f>
        <v>0</v>
      </c>
      <c r="CB206" s="95" t="s">
        <v>70</v>
      </c>
      <c r="CC206" s="91" t="str">
        <f>IF(Table645[[#This Row],[Column10]]+Table645[[#This Row],[Column74]]=0,"--",J206*$CB$4*$CB$5/(24*60)+IF(Table645[[#This Row],[Column74]]=0,0,$CB$3*Table645[[#This Row],[Column75]]))</f>
        <v>--</v>
      </c>
      <c r="CD206" s="92">
        <f>IF(Table645[[#This Row],[Column81]]="--",0,Table645[[#This Row],[Column4]]*Table645[[#This Row],[Column81]])</f>
        <v>0</v>
      </c>
      <c r="CE206" s="215"/>
      <c r="CF206" s="91" t="str">
        <f t="shared" si="127"/>
        <v>--</v>
      </c>
      <c r="CG206" s="92">
        <f>IF(Table645[[#This Row],[Column84]]="--",0,Table645[[#This Row],[Column4]]*Table645[[#This Row],[Column84]])</f>
        <v>0</v>
      </c>
      <c r="CH206" s="226"/>
      <c r="CI206" s="216"/>
      <c r="CJ206" s="91" t="str">
        <f>IF(CI206=0,"--",(Table645[[#This Row],[Column86]]*$CI$4*(IF(W206&lt;0.5001,1,IF(W206&lt;2.0001,2,3)))+CI206/$CI$3)/60/24)</f>
        <v>--</v>
      </c>
      <c r="CK206" s="92">
        <f>IF(Table645[[#This Row],[Column88]]="--",0,Table645[[#This Row],[Column4]]*Table645[[#This Row],[Column88]])</f>
        <v>0</v>
      </c>
      <c r="CL206" s="217"/>
      <c r="CM206" s="91" t="str">
        <f>IF(Table645[[#This Row],[Column87]]=0,"--",CJ206*$CL$3)</f>
        <v>--</v>
      </c>
      <c r="CN206" s="92">
        <f>IF(Table645[[#This Row],[Column91]]="--",0,Table645[[#This Row],[Column4]]*Table645[[#This Row],[Column91]])</f>
        <v>0</v>
      </c>
      <c r="CO206" s="217"/>
      <c r="CP206" s="91" t="str">
        <f>IF(Table645[[#This Row],[Column10]]+Table645[[#This Row],[Column87]]=0, "--", IF($D206="", 1, $D206) * IF($J206="", 1, $J206) * $CO$3 * $CO$4 * IF(Table645[[#This Row],[Column95]]="", 1, Table645[[#This Row],[Column95]]) / (24 * 60))</f>
        <v>--</v>
      </c>
      <c r="CQ206" s="164"/>
      <c r="CR206" s="92">
        <f>IF(Table645[[#This Row],[Column94]]="--",0,Table645[[#This Row],[Column4]]*Table645[[#This Row],[Column94]])</f>
        <v>0</v>
      </c>
      <c r="CS206" s="218" t="str">
        <f>IF(Table645[[#This Row],[Column87]]="","",Table645[[#This Row],[Column87]])</f>
        <v/>
      </c>
      <c r="CT206" s="91" t="str">
        <f>IF(Table645[[#This Row],[Column97]]="","--",Table645[[#This Row],[Column97]]/$CS$3/60/24)</f>
        <v>--</v>
      </c>
      <c r="CU206" s="92">
        <f>IF(Table645[[#This Row],[Column98]]="--",0,Table645[[#This Row],[Column4]]*Table645[[#This Row],[Column98]])</f>
        <v>0</v>
      </c>
      <c r="CV206" s="93"/>
      <c r="CW206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06" s="91" t="str">
        <f>IF(OR(Table645[[#This Row],[Column74]]&gt;0,Table645[[#This Row],[Column87]]&gt;0),(Table645[[#This Row],[Column73]]+Table645[[#This Row],[Column86]]+1)*$CW$3/60/24,"--")</f>
        <v>--</v>
      </c>
      <c r="CY206" s="92">
        <f>IF(Table645[[#This Row],[Column102]]="--",0,Table645[[#This Row],[Column4]]*Table645[[#This Row],[Column102]])</f>
        <v>0</v>
      </c>
      <c r="CZ206" s="158" t="str">
        <f t="shared" si="144"/>
        <v>--</v>
      </c>
      <c r="DA206" s="153"/>
      <c r="DB206" s="160">
        <f>IF(Table645[[#This Row],[Column104]]="--",0,Table645[[#This Row],[Column4]]*Table645[[#This Row],[Column104]])</f>
        <v>0</v>
      </c>
      <c r="DC206" s="219"/>
      <c r="DD206" s="220" t="str">
        <f>IF(DC206=0,"--",1/$DC$3*1000/(60*60*24)*Table645[[#This Row],[Column107]])</f>
        <v>--</v>
      </c>
      <c r="DE206" s="160">
        <f>IF(Table645[[#This Row],[Column108]]="--",0,Table645[[#This Row],[Column4]]*Table645[[#This Row],[Column108]])</f>
        <v>0</v>
      </c>
      <c r="DF206" s="101" t="s">
        <v>70</v>
      </c>
      <c r="DG206" s="91" t="str">
        <f t="shared" si="145"/>
        <v>--</v>
      </c>
      <c r="DH206" s="89">
        <f>IF(Table645[[#This Row],[Column111]]="--",0,Table645[[#This Row],[Column4]]*Table645[[#This Row],[Column111]])</f>
        <v>0</v>
      </c>
      <c r="DI206" s="96"/>
      <c r="DJ206" s="96"/>
      <c r="DK206" s="96"/>
      <c r="DL206" s="96"/>
      <c r="DM206" s="96"/>
      <c r="DN206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06" s="89">
        <f>IF(Table645[[#This Row],[Column118]]="--",0,Table645[[#This Row],[Column4]]*Table645[[#This Row],[Column118]])</f>
        <v>0</v>
      </c>
      <c r="DP206" s="96"/>
      <c r="DQ206" s="96"/>
      <c r="DR206" s="91" t="str">
        <f t="shared" si="146"/>
        <v>--</v>
      </c>
      <c r="DS206" s="89">
        <f>IF(Table645[[#This Row],[Column122]]="--",0,Table645[[#This Row],[Column4]]*Table645[[#This Row],[Column122]])</f>
        <v>0</v>
      </c>
      <c r="DT206" t="str">
        <f>IF(Table645[[#This Row],[Column125]]=0,"--",Table645[[#This Row],[Column125]]*Table645[[#This Row],[Column126]]*Table645[[#This Row],[Column127]]/1000000000)</f>
        <v>--</v>
      </c>
      <c r="DU206" s="53"/>
      <c r="DV206" s="53"/>
      <c r="DW206" s="53"/>
      <c r="DX206" s="91" t="str">
        <f t="shared" si="147"/>
        <v>--</v>
      </c>
      <c r="DY206" s="89">
        <f>IF(Table645[[#This Row],[Column128]]="--",0,Table645[[#This Row],[Column4]]*Table645[[#This Row],[Column128]])</f>
        <v>0</v>
      </c>
      <c r="EA206" s="89">
        <f>IF(Table645[[#This Row],[Column128]]="--",0,Table645[[#This Row],[Column4]]*Table645[[#This Row],[Column128]])</f>
        <v>0</v>
      </c>
      <c r="EC206" s="89">
        <f>IF(Table645[[#This Row],[Column128]]="--",0,Table645[[#This Row],[Column4]]*Table645[[#This Row],[Column128]])</f>
        <v>0</v>
      </c>
      <c r="EE206" s="89">
        <f>IF(Table645[[#This Row],[Column128]]="--",0,Table645[[#This Row],[Column4]]*Table645[[#This Row],[Column128]])</f>
        <v>0</v>
      </c>
      <c r="EG206" s="89">
        <f>IF(Table645[[#This Row],[Column128]]="--",0,Table645[[#This Row],[Column4]]*Table645[[#This Row],[Column128]])</f>
        <v>0</v>
      </c>
      <c r="EI206" s="89">
        <f>IF(Table645[[#This Row],[Column128]]="--",0,Table645[[#This Row],[Column4]]*Table645[[#This Row],[Column128]])</f>
        <v>0</v>
      </c>
    </row>
    <row r="207" spans="1:139" x14ac:dyDescent="0.25">
      <c r="A207" s="140"/>
      <c r="B207" s="79"/>
      <c r="C207" s="140"/>
      <c r="D207" s="167"/>
      <c r="E207" s="52"/>
      <c r="F207" s="81"/>
      <c r="G207" s="81"/>
      <c r="H207" s="102" t="str">
        <f t="shared" si="138"/>
        <v>--</v>
      </c>
      <c r="I207" s="100">
        <f>IF(Table645[[#This Row],[Column8]]="--",0,Table645[[#This Row],[Column4]]*Table645[[#This Row],[Column8]])</f>
        <v>0</v>
      </c>
      <c r="J207" s="169"/>
      <c r="K207" s="85">
        <f>Table645[[#This Row],[Column4]]*Table645[[#This Row],[Column10]]</f>
        <v>0</v>
      </c>
      <c r="L207" s="170" t="str">
        <f t="shared" si="139"/>
        <v>--</v>
      </c>
      <c r="M207" s="214">
        <f>IF(Table645[[#This Row],[Column10]]=0,0,Table645[[#This Row],[Column4]]*Table645[[#This Row],[Column12]])</f>
        <v>0</v>
      </c>
      <c r="N207" s="87" t="str">
        <f t="shared" si="140"/>
        <v>--</v>
      </c>
      <c r="O207" s="138"/>
      <c r="AZ207" s="89">
        <f>IF(Table645[[#This Row],[Column14]]="--",0,Table645[[#This Row],[Column4]]*Table645[[#This Row],[Column14]])</f>
        <v>0</v>
      </c>
      <c r="BA207" s="90"/>
      <c r="BB207" s="91" t="str">
        <f>IF(BA207=0,"--",BA207*$BA$3*IF(Table645[[#This Row],[Column5]]&lt;4.1,1,2)/60/24)</f>
        <v>--</v>
      </c>
      <c r="BC207" s="92">
        <f>IF(Table645[[#This Row],[Column54]]="--",0,Table645[[#This Row],[Column4]]*Table645[[#This Row],[Column54]])</f>
        <v>0</v>
      </c>
      <c r="BD207" s="119"/>
      <c r="BE207" s="119"/>
      <c r="BF207" s="119"/>
      <c r="BG207" s="91" t="str">
        <f>IF(BD207+Table645[[#This Row],[Column58]]=0,"--",(BD207*$BF$3*Table645[[#This Row],[Column57]]+Table645[[#This Row],[Column58]]*$BF$4)/60/24)</f>
        <v>--</v>
      </c>
      <c r="BH207" s="92">
        <f>IF(Table645[[#This Row],[Column59]]="--",0,Table645[[#This Row],[Column4]]*Table645[[#This Row],[Column59]])</f>
        <v>0</v>
      </c>
      <c r="BI207" s="119"/>
      <c r="BJ207" s="91" t="str">
        <f t="shared" si="126"/>
        <v>--</v>
      </c>
      <c r="BK207" s="92">
        <f>IF(Table645[[#This Row],[Column62]]="--",0,Table645[[#This Row],[Column4]]*Table645[[#This Row],[Column62]])</f>
        <v>0</v>
      </c>
      <c r="BL207" s="93"/>
      <c r="BM207" s="91" t="str">
        <f t="shared" si="141"/>
        <v>--</v>
      </c>
      <c r="BN207" s="89">
        <f>IF(Table645[[#This Row],[Column65]]="--",0,Table645[[#This Row],[Column4]]*Table645[[#This Row],[Column65]])</f>
        <v>0</v>
      </c>
      <c r="BO207" s="163"/>
      <c r="BP207" s="164" t="str">
        <f t="shared" si="142"/>
        <v>--</v>
      </c>
      <c r="BQ207" s="160">
        <f>IF(Table645[[#This Row],[Column68]]="--",0,Table645[[#This Row],[Column4]]*Table645[[#This Row],[Column68]])</f>
        <v>0</v>
      </c>
      <c r="BR207" s="94"/>
      <c r="BS207" s="91" t="str">
        <f t="shared" si="143"/>
        <v>--</v>
      </c>
      <c r="BT207" s="92">
        <f>IF(Table645[[#This Row],[Column71]]="--",0,Table645[[#This Row],[Column4]]*Table645[[#This Row],[Column71]])</f>
        <v>0</v>
      </c>
      <c r="BU207" s="44"/>
      <c r="BV207" s="90"/>
      <c r="BW207" s="91" t="str">
        <f>IF(BV207=0,"--",(Table645[[#This Row],[Column73]]*$BV$4*(IF(J207&lt;0.5001,1,IF(J207&lt;2.0001,2,3)))+BV207/$BV$3)/60/24)</f>
        <v>--</v>
      </c>
      <c r="BX207" s="92">
        <f>IF(Table645[[#This Row],[Column75]]="--",0,Table645[[#This Row],[Column4]]*Table645[[#This Row],[Column75]])</f>
        <v>0</v>
      </c>
      <c r="BY207" s="95" t="s">
        <v>70</v>
      </c>
      <c r="BZ207" s="91" t="str">
        <f>IF(Table645[[#This Row],[Column74]]=0,"--",BW207*$BY$3)</f>
        <v>--</v>
      </c>
      <c r="CA207" s="89">
        <f>IF(Table645[[#This Row],[Column78]]="--",0,Table645[[#This Row],[Column4]]*Table645[[#This Row],[Column78]])</f>
        <v>0</v>
      </c>
      <c r="CB207" s="95" t="s">
        <v>70</v>
      </c>
      <c r="CC207" s="91" t="str">
        <f>IF(Table645[[#This Row],[Column10]]+Table645[[#This Row],[Column74]]=0,"--",J207*$CB$4*$CB$5/(24*60)+IF(Table645[[#This Row],[Column74]]=0,0,$CB$3*Table645[[#This Row],[Column75]]))</f>
        <v>--</v>
      </c>
      <c r="CD207" s="92">
        <f>IF(Table645[[#This Row],[Column81]]="--",0,Table645[[#This Row],[Column4]]*Table645[[#This Row],[Column81]])</f>
        <v>0</v>
      </c>
      <c r="CE207" s="215"/>
      <c r="CF207" s="91" t="str">
        <f t="shared" si="127"/>
        <v>--</v>
      </c>
      <c r="CG207" s="92">
        <f>IF(Table645[[#This Row],[Column84]]="--",0,Table645[[#This Row],[Column4]]*Table645[[#This Row],[Column84]])</f>
        <v>0</v>
      </c>
      <c r="CH207" s="226"/>
      <c r="CI207" s="216"/>
      <c r="CJ207" s="91" t="str">
        <f>IF(CI207=0,"--",(Table645[[#This Row],[Column86]]*$CI$4*(IF(W207&lt;0.5001,1,IF(W207&lt;2.0001,2,3)))+CI207/$CI$3)/60/24)</f>
        <v>--</v>
      </c>
      <c r="CK207" s="92">
        <f>IF(Table645[[#This Row],[Column88]]="--",0,Table645[[#This Row],[Column4]]*Table645[[#This Row],[Column88]])</f>
        <v>0</v>
      </c>
      <c r="CL207" s="217"/>
      <c r="CM207" s="91" t="str">
        <f>IF(Table645[[#This Row],[Column87]]=0,"--",CJ207*$CL$3)</f>
        <v>--</v>
      </c>
      <c r="CN207" s="92">
        <f>IF(Table645[[#This Row],[Column91]]="--",0,Table645[[#This Row],[Column4]]*Table645[[#This Row],[Column91]])</f>
        <v>0</v>
      </c>
      <c r="CO207" s="217"/>
      <c r="CP207" s="91" t="str">
        <f>IF(Table645[[#This Row],[Column10]]+Table645[[#This Row],[Column87]]=0, "--", IF($D207="", 1, $D207) * IF($J207="", 1, $J207) * $CO$3 * $CO$4 * IF(Table645[[#This Row],[Column95]]="", 1, Table645[[#This Row],[Column95]]) / (24 * 60))</f>
        <v>--</v>
      </c>
      <c r="CQ207" s="164"/>
      <c r="CR207" s="92">
        <f>IF(Table645[[#This Row],[Column94]]="--",0,Table645[[#This Row],[Column4]]*Table645[[#This Row],[Column94]])</f>
        <v>0</v>
      </c>
      <c r="CS207" s="218" t="str">
        <f>IF(Table645[[#This Row],[Column87]]="","",Table645[[#This Row],[Column87]])</f>
        <v/>
      </c>
      <c r="CT207" s="91" t="str">
        <f>IF(Table645[[#This Row],[Column97]]="","--",Table645[[#This Row],[Column97]]/$CS$3/60/24)</f>
        <v>--</v>
      </c>
      <c r="CU207" s="92">
        <f>IF(Table645[[#This Row],[Column98]]="--",0,Table645[[#This Row],[Column4]]*Table645[[#This Row],[Column98]])</f>
        <v>0</v>
      </c>
      <c r="CV207" s="93"/>
      <c r="CW207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07" s="91" t="str">
        <f>IF(OR(Table645[[#This Row],[Column74]]&gt;0,Table645[[#This Row],[Column87]]&gt;0),(Table645[[#This Row],[Column73]]+Table645[[#This Row],[Column86]]+1)*$CW$3/60/24,"--")</f>
        <v>--</v>
      </c>
      <c r="CY207" s="92">
        <f>IF(Table645[[#This Row],[Column102]]="--",0,Table645[[#This Row],[Column4]]*Table645[[#This Row],[Column102]])</f>
        <v>0</v>
      </c>
      <c r="CZ207" s="158" t="str">
        <f t="shared" si="144"/>
        <v>--</v>
      </c>
      <c r="DA207" s="153"/>
      <c r="DB207" s="160">
        <f>IF(Table645[[#This Row],[Column104]]="--",0,Table645[[#This Row],[Column4]]*Table645[[#This Row],[Column104]])</f>
        <v>0</v>
      </c>
      <c r="DC207" s="219"/>
      <c r="DD207" s="220" t="str">
        <f>IF(DC207=0,"--",1/$DC$3*1000/(60*60*24)*Table645[[#This Row],[Column107]])</f>
        <v>--</v>
      </c>
      <c r="DE207" s="160">
        <f>IF(Table645[[#This Row],[Column108]]="--",0,Table645[[#This Row],[Column4]]*Table645[[#This Row],[Column108]])</f>
        <v>0</v>
      </c>
      <c r="DF207" s="101" t="s">
        <v>70</v>
      </c>
      <c r="DG207" s="91" t="str">
        <f t="shared" si="145"/>
        <v>--</v>
      </c>
      <c r="DH207" s="89">
        <f>IF(Table645[[#This Row],[Column111]]="--",0,Table645[[#This Row],[Column4]]*Table645[[#This Row],[Column111]])</f>
        <v>0</v>
      </c>
      <c r="DI207" s="96"/>
      <c r="DJ207" s="96"/>
      <c r="DK207" s="96"/>
      <c r="DL207" s="96"/>
      <c r="DM207" s="96"/>
      <c r="DN207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07" s="89">
        <f>IF(Table645[[#This Row],[Column118]]="--",0,Table645[[#This Row],[Column4]]*Table645[[#This Row],[Column118]])</f>
        <v>0</v>
      </c>
      <c r="DP207" s="96"/>
      <c r="DQ207" s="96"/>
      <c r="DR207" s="91" t="str">
        <f t="shared" si="146"/>
        <v>--</v>
      </c>
      <c r="DS207" s="89">
        <f>IF(Table645[[#This Row],[Column122]]="--",0,Table645[[#This Row],[Column4]]*Table645[[#This Row],[Column122]])</f>
        <v>0</v>
      </c>
      <c r="DT207" t="str">
        <f>IF(Table645[[#This Row],[Column125]]=0,"--",Table645[[#This Row],[Column125]]*Table645[[#This Row],[Column126]]*Table645[[#This Row],[Column127]]/1000000000)</f>
        <v>--</v>
      </c>
      <c r="DU207" s="53"/>
      <c r="DV207" s="53"/>
      <c r="DW207" s="53"/>
      <c r="DX207" s="91" t="str">
        <f t="shared" si="147"/>
        <v>--</v>
      </c>
      <c r="DY207" s="89">
        <f>IF(Table645[[#This Row],[Column128]]="--",0,Table645[[#This Row],[Column4]]*Table645[[#This Row],[Column128]])</f>
        <v>0</v>
      </c>
      <c r="EA207" s="89">
        <f>IF(Table645[[#This Row],[Column128]]="--",0,Table645[[#This Row],[Column4]]*Table645[[#This Row],[Column128]])</f>
        <v>0</v>
      </c>
      <c r="EC207" s="89">
        <f>IF(Table645[[#This Row],[Column128]]="--",0,Table645[[#This Row],[Column4]]*Table645[[#This Row],[Column128]])</f>
        <v>0</v>
      </c>
      <c r="EE207" s="89">
        <f>IF(Table645[[#This Row],[Column128]]="--",0,Table645[[#This Row],[Column4]]*Table645[[#This Row],[Column128]])</f>
        <v>0</v>
      </c>
      <c r="EG207" s="89">
        <f>IF(Table645[[#This Row],[Column128]]="--",0,Table645[[#This Row],[Column4]]*Table645[[#This Row],[Column128]])</f>
        <v>0</v>
      </c>
      <c r="EI207" s="89">
        <f>IF(Table645[[#This Row],[Column128]]="--",0,Table645[[#This Row],[Column4]]*Table645[[#This Row],[Column128]])</f>
        <v>0</v>
      </c>
    </row>
    <row r="208" spans="1:139" x14ac:dyDescent="0.25">
      <c r="A208" s="140"/>
      <c r="B208" s="79"/>
      <c r="C208" s="140"/>
      <c r="D208" s="167"/>
      <c r="E208" s="52"/>
      <c r="F208" s="81"/>
      <c r="G208" s="81"/>
      <c r="H208" s="102" t="str">
        <f t="shared" si="138"/>
        <v>--</v>
      </c>
      <c r="I208" s="100">
        <f>IF(Table645[[#This Row],[Column8]]="--",0,Table645[[#This Row],[Column4]]*Table645[[#This Row],[Column8]])</f>
        <v>0</v>
      </c>
      <c r="J208" s="169"/>
      <c r="K208" s="85">
        <f>Table645[[#This Row],[Column4]]*Table645[[#This Row],[Column10]]</f>
        <v>0</v>
      </c>
      <c r="L208" s="170" t="str">
        <f t="shared" si="139"/>
        <v>--</v>
      </c>
      <c r="M208" s="214">
        <f>IF(Table645[[#This Row],[Column10]]=0,0,Table645[[#This Row],[Column4]]*Table645[[#This Row],[Column12]])</f>
        <v>0</v>
      </c>
      <c r="N208" s="87" t="str">
        <f t="shared" si="140"/>
        <v>--</v>
      </c>
      <c r="O208" s="138"/>
      <c r="AZ208" s="89">
        <f>IF(Table645[[#This Row],[Column14]]="--",0,Table645[[#This Row],[Column4]]*Table645[[#This Row],[Column14]])</f>
        <v>0</v>
      </c>
      <c r="BA208" s="90"/>
      <c r="BB208" s="91" t="str">
        <f>IF(BA208=0,"--",BA208*$BA$3*IF(Table645[[#This Row],[Column5]]&lt;4.1,1,2)/60/24)</f>
        <v>--</v>
      </c>
      <c r="BC208" s="92">
        <f>IF(Table645[[#This Row],[Column54]]="--",0,Table645[[#This Row],[Column4]]*Table645[[#This Row],[Column54]])</f>
        <v>0</v>
      </c>
      <c r="BD208" s="119"/>
      <c r="BE208" s="119"/>
      <c r="BF208" s="119"/>
      <c r="BG208" s="91" t="str">
        <f>IF(BD208+Table645[[#This Row],[Column58]]=0,"--",(BD208*$BF$3*Table645[[#This Row],[Column57]]+Table645[[#This Row],[Column58]]*$BF$4)/60/24)</f>
        <v>--</v>
      </c>
      <c r="BH208" s="92">
        <f>IF(Table645[[#This Row],[Column59]]="--",0,Table645[[#This Row],[Column4]]*Table645[[#This Row],[Column59]])</f>
        <v>0</v>
      </c>
      <c r="BI208" s="119"/>
      <c r="BJ208" s="91" t="str">
        <f t="shared" si="126"/>
        <v>--</v>
      </c>
      <c r="BK208" s="92">
        <f>IF(Table645[[#This Row],[Column62]]="--",0,Table645[[#This Row],[Column4]]*Table645[[#This Row],[Column62]])</f>
        <v>0</v>
      </c>
      <c r="BL208" s="93"/>
      <c r="BM208" s="91" t="str">
        <f t="shared" si="141"/>
        <v>--</v>
      </c>
      <c r="BN208" s="89">
        <f>IF(Table645[[#This Row],[Column65]]="--",0,Table645[[#This Row],[Column4]]*Table645[[#This Row],[Column65]])</f>
        <v>0</v>
      </c>
      <c r="BO208" s="163"/>
      <c r="BP208" s="164" t="str">
        <f t="shared" si="142"/>
        <v>--</v>
      </c>
      <c r="BQ208" s="160">
        <f>IF(Table645[[#This Row],[Column68]]="--",0,Table645[[#This Row],[Column4]]*Table645[[#This Row],[Column68]])</f>
        <v>0</v>
      </c>
      <c r="BR208" s="94"/>
      <c r="BS208" s="91" t="str">
        <f t="shared" si="143"/>
        <v>--</v>
      </c>
      <c r="BT208" s="92">
        <f>IF(Table645[[#This Row],[Column71]]="--",0,Table645[[#This Row],[Column4]]*Table645[[#This Row],[Column71]])</f>
        <v>0</v>
      </c>
      <c r="BU208" s="44"/>
      <c r="BV208" s="90"/>
      <c r="BW208" s="91" t="str">
        <f>IF(BV208=0,"--",(Table645[[#This Row],[Column73]]*$BV$4*(IF(J208&lt;0.5001,1,IF(J208&lt;2.0001,2,3)))+BV208/$BV$3)/60/24)</f>
        <v>--</v>
      </c>
      <c r="BX208" s="92">
        <f>IF(Table645[[#This Row],[Column75]]="--",0,Table645[[#This Row],[Column4]]*Table645[[#This Row],[Column75]])</f>
        <v>0</v>
      </c>
      <c r="BY208" s="95" t="s">
        <v>70</v>
      </c>
      <c r="BZ208" s="91" t="str">
        <f>IF(Table645[[#This Row],[Column74]]=0,"--",BW208*$BY$3)</f>
        <v>--</v>
      </c>
      <c r="CA208" s="89">
        <f>IF(Table645[[#This Row],[Column78]]="--",0,Table645[[#This Row],[Column4]]*Table645[[#This Row],[Column78]])</f>
        <v>0</v>
      </c>
      <c r="CB208" s="95" t="s">
        <v>70</v>
      </c>
      <c r="CC208" s="91" t="str">
        <f>IF(Table645[[#This Row],[Column10]]+Table645[[#This Row],[Column74]]=0,"--",J208*$CB$4*$CB$5/(24*60)+IF(Table645[[#This Row],[Column74]]=0,0,$CB$3*Table645[[#This Row],[Column75]]))</f>
        <v>--</v>
      </c>
      <c r="CD208" s="92">
        <f>IF(Table645[[#This Row],[Column81]]="--",0,Table645[[#This Row],[Column4]]*Table645[[#This Row],[Column81]])</f>
        <v>0</v>
      </c>
      <c r="CE208" s="215"/>
      <c r="CF208" s="91" t="str">
        <f t="shared" si="127"/>
        <v>--</v>
      </c>
      <c r="CG208" s="92">
        <f>IF(Table645[[#This Row],[Column84]]="--",0,Table645[[#This Row],[Column4]]*Table645[[#This Row],[Column84]])</f>
        <v>0</v>
      </c>
      <c r="CH208" s="226"/>
      <c r="CI208" s="216"/>
      <c r="CJ208" s="91" t="str">
        <f>IF(CI208=0,"--",(Table645[[#This Row],[Column86]]*$CI$4*(IF(W208&lt;0.5001,1,IF(W208&lt;2.0001,2,3)))+CI208/$CI$3)/60/24)</f>
        <v>--</v>
      </c>
      <c r="CK208" s="92">
        <f>IF(Table645[[#This Row],[Column88]]="--",0,Table645[[#This Row],[Column4]]*Table645[[#This Row],[Column88]])</f>
        <v>0</v>
      </c>
      <c r="CL208" s="217"/>
      <c r="CM208" s="91" t="str">
        <f>IF(Table645[[#This Row],[Column87]]=0,"--",CJ208*$CL$3)</f>
        <v>--</v>
      </c>
      <c r="CN208" s="92">
        <f>IF(Table645[[#This Row],[Column91]]="--",0,Table645[[#This Row],[Column4]]*Table645[[#This Row],[Column91]])</f>
        <v>0</v>
      </c>
      <c r="CO208" s="217"/>
      <c r="CP208" s="91" t="str">
        <f>IF(Table645[[#This Row],[Column10]]+Table645[[#This Row],[Column87]]=0, "--", IF($D208="", 1, $D208) * IF($J208="", 1, $J208) * $CO$3 * $CO$4 * IF(Table645[[#This Row],[Column95]]="", 1, Table645[[#This Row],[Column95]]) / (24 * 60))</f>
        <v>--</v>
      </c>
      <c r="CQ208" s="164"/>
      <c r="CR208" s="92">
        <f>IF(Table645[[#This Row],[Column94]]="--",0,Table645[[#This Row],[Column4]]*Table645[[#This Row],[Column94]])</f>
        <v>0</v>
      </c>
      <c r="CS208" s="218" t="str">
        <f>IF(Table645[[#This Row],[Column87]]="","",Table645[[#This Row],[Column87]])</f>
        <v/>
      </c>
      <c r="CT208" s="91" t="str">
        <f>IF(Table645[[#This Row],[Column97]]="","--",Table645[[#This Row],[Column97]]/$CS$3/60/24)</f>
        <v>--</v>
      </c>
      <c r="CU208" s="92">
        <f>IF(Table645[[#This Row],[Column98]]="--",0,Table645[[#This Row],[Column4]]*Table645[[#This Row],[Column98]])</f>
        <v>0</v>
      </c>
      <c r="CV208" s="93"/>
      <c r="CW208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08" s="91" t="str">
        <f>IF(OR(Table645[[#This Row],[Column74]]&gt;0,Table645[[#This Row],[Column87]]&gt;0),(Table645[[#This Row],[Column73]]+Table645[[#This Row],[Column86]]+1)*$CW$3/60/24,"--")</f>
        <v>--</v>
      </c>
      <c r="CY208" s="92">
        <f>IF(Table645[[#This Row],[Column102]]="--",0,Table645[[#This Row],[Column4]]*Table645[[#This Row],[Column102]])</f>
        <v>0</v>
      </c>
      <c r="CZ208" s="158" t="str">
        <f t="shared" si="144"/>
        <v>--</v>
      </c>
      <c r="DA208" s="153"/>
      <c r="DB208" s="160">
        <f>IF(Table645[[#This Row],[Column104]]="--",0,Table645[[#This Row],[Column4]]*Table645[[#This Row],[Column104]])</f>
        <v>0</v>
      </c>
      <c r="DC208" s="219"/>
      <c r="DD208" s="220" t="str">
        <f>IF(DC208=0,"--",1/$DC$3*1000/(60*60*24)*Table645[[#This Row],[Column107]])</f>
        <v>--</v>
      </c>
      <c r="DE208" s="160">
        <f>IF(Table645[[#This Row],[Column108]]="--",0,Table645[[#This Row],[Column4]]*Table645[[#This Row],[Column108]])</f>
        <v>0</v>
      </c>
      <c r="DF208" s="101" t="s">
        <v>70</v>
      </c>
      <c r="DG208" s="91" t="str">
        <f t="shared" si="145"/>
        <v>--</v>
      </c>
      <c r="DH208" s="89">
        <f>IF(Table645[[#This Row],[Column111]]="--",0,Table645[[#This Row],[Column4]]*Table645[[#This Row],[Column111]])</f>
        <v>0</v>
      </c>
      <c r="DI208" s="96"/>
      <c r="DJ208" s="96"/>
      <c r="DK208" s="96"/>
      <c r="DL208" s="96"/>
      <c r="DM208" s="96"/>
      <c r="DN208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08" s="89">
        <f>IF(Table645[[#This Row],[Column118]]="--",0,Table645[[#This Row],[Column4]]*Table645[[#This Row],[Column118]])</f>
        <v>0</v>
      </c>
      <c r="DP208" s="96"/>
      <c r="DQ208" s="96"/>
      <c r="DR208" s="91" t="str">
        <f t="shared" si="146"/>
        <v>--</v>
      </c>
      <c r="DS208" s="89">
        <f>IF(Table645[[#This Row],[Column122]]="--",0,Table645[[#This Row],[Column4]]*Table645[[#This Row],[Column122]])</f>
        <v>0</v>
      </c>
      <c r="DT208" t="str">
        <f>IF(Table645[[#This Row],[Column125]]=0,"--",Table645[[#This Row],[Column125]]*Table645[[#This Row],[Column126]]*Table645[[#This Row],[Column127]]/1000000000)</f>
        <v>--</v>
      </c>
      <c r="DU208" s="53"/>
      <c r="DV208" s="53"/>
      <c r="DW208" s="53"/>
      <c r="DX208" s="91" t="str">
        <f t="shared" si="147"/>
        <v>--</v>
      </c>
      <c r="DY208" s="89">
        <f>IF(Table645[[#This Row],[Column128]]="--",0,Table645[[#This Row],[Column4]]*Table645[[#This Row],[Column128]])</f>
        <v>0</v>
      </c>
      <c r="EA208" s="89">
        <f>IF(Table645[[#This Row],[Column128]]="--",0,Table645[[#This Row],[Column4]]*Table645[[#This Row],[Column128]])</f>
        <v>0</v>
      </c>
      <c r="EC208" s="89">
        <f>IF(Table645[[#This Row],[Column128]]="--",0,Table645[[#This Row],[Column4]]*Table645[[#This Row],[Column128]])</f>
        <v>0</v>
      </c>
      <c r="EE208" s="89">
        <f>IF(Table645[[#This Row],[Column128]]="--",0,Table645[[#This Row],[Column4]]*Table645[[#This Row],[Column128]])</f>
        <v>0</v>
      </c>
      <c r="EG208" s="89">
        <f>IF(Table645[[#This Row],[Column128]]="--",0,Table645[[#This Row],[Column4]]*Table645[[#This Row],[Column128]])</f>
        <v>0</v>
      </c>
      <c r="EI208" s="89">
        <f>IF(Table645[[#This Row],[Column128]]="--",0,Table645[[#This Row],[Column4]]*Table645[[#This Row],[Column128]])</f>
        <v>0</v>
      </c>
    </row>
    <row r="209" spans="1:139" x14ac:dyDescent="0.25">
      <c r="A209" s="140"/>
      <c r="B209" s="79"/>
      <c r="C209" s="140"/>
      <c r="D209" s="167"/>
      <c r="E209" s="52"/>
      <c r="F209" s="81"/>
      <c r="G209" s="81"/>
      <c r="H209" s="102" t="str">
        <f t="shared" si="138"/>
        <v>--</v>
      </c>
      <c r="I209" s="100">
        <f>IF(Table645[[#This Row],[Column8]]="--",0,Table645[[#This Row],[Column4]]*Table645[[#This Row],[Column8]])</f>
        <v>0</v>
      </c>
      <c r="J209" s="169"/>
      <c r="K209" s="85">
        <f>Table645[[#This Row],[Column4]]*Table645[[#This Row],[Column10]]</f>
        <v>0</v>
      </c>
      <c r="L209" s="170" t="str">
        <f t="shared" si="139"/>
        <v>--</v>
      </c>
      <c r="M209" s="214">
        <f>IF(Table645[[#This Row],[Column10]]=0,0,Table645[[#This Row],[Column4]]*Table645[[#This Row],[Column12]])</f>
        <v>0</v>
      </c>
      <c r="N209" s="87" t="str">
        <f t="shared" si="140"/>
        <v>--</v>
      </c>
      <c r="O209" s="138"/>
      <c r="AZ209" s="89">
        <f>IF(Table645[[#This Row],[Column14]]="--",0,Table645[[#This Row],[Column4]]*Table645[[#This Row],[Column14]])</f>
        <v>0</v>
      </c>
      <c r="BA209" s="90"/>
      <c r="BB209" s="91" t="str">
        <f>IF(BA209=0,"--",BA209*$BA$3*IF(Table645[[#This Row],[Column5]]&lt;4.1,1,2)/60/24)</f>
        <v>--</v>
      </c>
      <c r="BC209" s="92">
        <f>IF(Table645[[#This Row],[Column54]]="--",0,Table645[[#This Row],[Column4]]*Table645[[#This Row],[Column54]])</f>
        <v>0</v>
      </c>
      <c r="BD209" s="119"/>
      <c r="BE209" s="119"/>
      <c r="BF209" s="119"/>
      <c r="BG209" s="91" t="str">
        <f>IF(BD209+Table645[[#This Row],[Column58]]=0,"--",(BD209*$BF$3*Table645[[#This Row],[Column57]]+Table645[[#This Row],[Column58]]*$BF$4)/60/24)</f>
        <v>--</v>
      </c>
      <c r="BH209" s="92">
        <f>IF(Table645[[#This Row],[Column59]]="--",0,Table645[[#This Row],[Column4]]*Table645[[#This Row],[Column59]])</f>
        <v>0</v>
      </c>
      <c r="BI209" s="119"/>
      <c r="BJ209" s="91" t="str">
        <f t="shared" si="126"/>
        <v>--</v>
      </c>
      <c r="BK209" s="92">
        <f>IF(Table645[[#This Row],[Column62]]="--",0,Table645[[#This Row],[Column4]]*Table645[[#This Row],[Column62]])</f>
        <v>0</v>
      </c>
      <c r="BL209" s="93"/>
      <c r="BM209" s="91" t="str">
        <f t="shared" si="141"/>
        <v>--</v>
      </c>
      <c r="BN209" s="89">
        <f>IF(Table645[[#This Row],[Column65]]="--",0,Table645[[#This Row],[Column4]]*Table645[[#This Row],[Column65]])</f>
        <v>0</v>
      </c>
      <c r="BO209" s="163"/>
      <c r="BP209" s="164" t="str">
        <f t="shared" si="142"/>
        <v>--</v>
      </c>
      <c r="BQ209" s="160">
        <f>IF(Table645[[#This Row],[Column68]]="--",0,Table645[[#This Row],[Column4]]*Table645[[#This Row],[Column68]])</f>
        <v>0</v>
      </c>
      <c r="BR209" s="94"/>
      <c r="BS209" s="91" t="str">
        <f t="shared" si="143"/>
        <v>--</v>
      </c>
      <c r="BT209" s="92">
        <f>IF(Table645[[#This Row],[Column71]]="--",0,Table645[[#This Row],[Column4]]*Table645[[#This Row],[Column71]])</f>
        <v>0</v>
      </c>
      <c r="BU209" s="44"/>
      <c r="BV209" s="90"/>
      <c r="BW209" s="91" t="str">
        <f>IF(BV209=0,"--",(Table645[[#This Row],[Column73]]*$BV$4*(IF(J209&lt;0.5001,1,IF(J209&lt;2.0001,2,3)))+BV209/$BV$3)/60/24)</f>
        <v>--</v>
      </c>
      <c r="BX209" s="92">
        <f>IF(Table645[[#This Row],[Column75]]="--",0,Table645[[#This Row],[Column4]]*Table645[[#This Row],[Column75]])</f>
        <v>0</v>
      </c>
      <c r="BY209" s="95" t="s">
        <v>70</v>
      </c>
      <c r="BZ209" s="91" t="str">
        <f>IF(Table645[[#This Row],[Column74]]=0,"--",BW209*$BY$3)</f>
        <v>--</v>
      </c>
      <c r="CA209" s="89">
        <f>IF(Table645[[#This Row],[Column78]]="--",0,Table645[[#This Row],[Column4]]*Table645[[#This Row],[Column78]])</f>
        <v>0</v>
      </c>
      <c r="CB209" s="95" t="s">
        <v>70</v>
      </c>
      <c r="CC209" s="91" t="str">
        <f>IF(Table645[[#This Row],[Column10]]+Table645[[#This Row],[Column74]]=0,"--",J209*$CB$4*$CB$5/(24*60)+IF(Table645[[#This Row],[Column74]]=0,0,$CB$3*Table645[[#This Row],[Column75]]))</f>
        <v>--</v>
      </c>
      <c r="CD209" s="92">
        <f>IF(Table645[[#This Row],[Column81]]="--",0,Table645[[#This Row],[Column4]]*Table645[[#This Row],[Column81]])</f>
        <v>0</v>
      </c>
      <c r="CE209" s="215"/>
      <c r="CF209" s="91" t="str">
        <f t="shared" si="127"/>
        <v>--</v>
      </c>
      <c r="CG209" s="92">
        <f>IF(Table645[[#This Row],[Column84]]="--",0,Table645[[#This Row],[Column4]]*Table645[[#This Row],[Column84]])</f>
        <v>0</v>
      </c>
      <c r="CH209" s="226"/>
      <c r="CI209" s="216"/>
      <c r="CJ209" s="91" t="str">
        <f>IF(CI209=0,"--",(Table645[[#This Row],[Column86]]*$CI$4*(IF(W209&lt;0.5001,1,IF(W209&lt;2.0001,2,3)))+CI209/$CI$3)/60/24)</f>
        <v>--</v>
      </c>
      <c r="CK209" s="92">
        <f>IF(Table645[[#This Row],[Column88]]="--",0,Table645[[#This Row],[Column4]]*Table645[[#This Row],[Column88]])</f>
        <v>0</v>
      </c>
      <c r="CL209" s="217"/>
      <c r="CM209" s="91" t="str">
        <f>IF(Table645[[#This Row],[Column87]]=0,"--",CJ209*$CL$3)</f>
        <v>--</v>
      </c>
      <c r="CN209" s="92">
        <f>IF(Table645[[#This Row],[Column91]]="--",0,Table645[[#This Row],[Column4]]*Table645[[#This Row],[Column91]])</f>
        <v>0</v>
      </c>
      <c r="CO209" s="217"/>
      <c r="CP209" s="91" t="str">
        <f>IF(Table645[[#This Row],[Column10]]+Table645[[#This Row],[Column87]]=0, "--", IF($D209="", 1, $D209) * IF($J209="", 1, $J209) * $CO$3 * $CO$4 * IF(Table645[[#This Row],[Column95]]="", 1, Table645[[#This Row],[Column95]]) / (24 * 60))</f>
        <v>--</v>
      </c>
      <c r="CQ209" s="164"/>
      <c r="CR209" s="92">
        <f>IF(Table645[[#This Row],[Column94]]="--",0,Table645[[#This Row],[Column4]]*Table645[[#This Row],[Column94]])</f>
        <v>0</v>
      </c>
      <c r="CS209" s="218" t="str">
        <f>IF(Table645[[#This Row],[Column87]]="","",Table645[[#This Row],[Column87]])</f>
        <v/>
      </c>
      <c r="CT209" s="91" t="str">
        <f>IF(Table645[[#This Row],[Column97]]="","--",Table645[[#This Row],[Column97]]/$CS$3/60/24)</f>
        <v>--</v>
      </c>
      <c r="CU209" s="92">
        <f>IF(Table645[[#This Row],[Column98]]="--",0,Table645[[#This Row],[Column4]]*Table645[[#This Row],[Column98]])</f>
        <v>0</v>
      </c>
      <c r="CV209" s="93"/>
      <c r="CW209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09" s="91" t="str">
        <f>IF(OR(Table645[[#This Row],[Column74]]&gt;0,Table645[[#This Row],[Column87]]&gt;0),(Table645[[#This Row],[Column73]]+Table645[[#This Row],[Column86]]+1)*$CW$3/60/24,"--")</f>
        <v>--</v>
      </c>
      <c r="CY209" s="92">
        <f>IF(Table645[[#This Row],[Column102]]="--",0,Table645[[#This Row],[Column4]]*Table645[[#This Row],[Column102]])</f>
        <v>0</v>
      </c>
      <c r="CZ209" s="158" t="str">
        <f t="shared" si="144"/>
        <v>--</v>
      </c>
      <c r="DA209" s="153"/>
      <c r="DB209" s="160">
        <f>IF(Table645[[#This Row],[Column104]]="--",0,Table645[[#This Row],[Column4]]*Table645[[#This Row],[Column104]])</f>
        <v>0</v>
      </c>
      <c r="DC209" s="219"/>
      <c r="DD209" s="220" t="str">
        <f>IF(DC209=0,"--",1/$DC$3*1000/(60*60*24)*Table645[[#This Row],[Column107]])</f>
        <v>--</v>
      </c>
      <c r="DE209" s="160">
        <f>IF(Table645[[#This Row],[Column108]]="--",0,Table645[[#This Row],[Column4]]*Table645[[#This Row],[Column108]])</f>
        <v>0</v>
      </c>
      <c r="DF209" s="101" t="s">
        <v>70</v>
      </c>
      <c r="DG209" s="91" t="str">
        <f t="shared" si="145"/>
        <v>--</v>
      </c>
      <c r="DH209" s="89">
        <f>IF(Table645[[#This Row],[Column111]]="--",0,Table645[[#This Row],[Column4]]*Table645[[#This Row],[Column111]])</f>
        <v>0</v>
      </c>
      <c r="DI209" s="96"/>
      <c r="DJ209" s="96"/>
      <c r="DK209" s="96"/>
      <c r="DL209" s="96"/>
      <c r="DM209" s="96"/>
      <c r="DN209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09" s="89">
        <f>IF(Table645[[#This Row],[Column118]]="--",0,Table645[[#This Row],[Column4]]*Table645[[#This Row],[Column118]])</f>
        <v>0</v>
      </c>
      <c r="DP209" s="96"/>
      <c r="DQ209" s="96"/>
      <c r="DR209" s="91" t="str">
        <f t="shared" si="146"/>
        <v>--</v>
      </c>
      <c r="DS209" s="89">
        <f>IF(Table645[[#This Row],[Column122]]="--",0,Table645[[#This Row],[Column4]]*Table645[[#This Row],[Column122]])</f>
        <v>0</v>
      </c>
      <c r="DT209" t="str">
        <f>IF(Table645[[#This Row],[Column125]]=0,"--",Table645[[#This Row],[Column125]]*Table645[[#This Row],[Column126]]*Table645[[#This Row],[Column127]]/1000000000)</f>
        <v>--</v>
      </c>
      <c r="DU209" s="53"/>
      <c r="DV209" s="53"/>
      <c r="DW209" s="53"/>
      <c r="DX209" s="91" t="str">
        <f t="shared" si="147"/>
        <v>--</v>
      </c>
      <c r="DY209" s="89">
        <f>IF(Table645[[#This Row],[Column128]]="--",0,Table645[[#This Row],[Column4]]*Table645[[#This Row],[Column128]])</f>
        <v>0</v>
      </c>
      <c r="EA209" s="89">
        <f>IF(Table645[[#This Row],[Column128]]="--",0,Table645[[#This Row],[Column4]]*Table645[[#This Row],[Column128]])</f>
        <v>0</v>
      </c>
      <c r="EC209" s="89">
        <f>IF(Table645[[#This Row],[Column128]]="--",0,Table645[[#This Row],[Column4]]*Table645[[#This Row],[Column128]])</f>
        <v>0</v>
      </c>
      <c r="EE209" s="89">
        <f>IF(Table645[[#This Row],[Column128]]="--",0,Table645[[#This Row],[Column4]]*Table645[[#This Row],[Column128]])</f>
        <v>0</v>
      </c>
      <c r="EG209" s="89">
        <f>IF(Table645[[#This Row],[Column128]]="--",0,Table645[[#This Row],[Column4]]*Table645[[#This Row],[Column128]])</f>
        <v>0</v>
      </c>
      <c r="EI209" s="89">
        <f>IF(Table645[[#This Row],[Column128]]="--",0,Table645[[#This Row],[Column4]]*Table645[[#This Row],[Column128]])</f>
        <v>0</v>
      </c>
    </row>
    <row r="210" spans="1:139" x14ac:dyDescent="0.25">
      <c r="A210" s="140"/>
      <c r="B210" s="79"/>
      <c r="C210" s="140"/>
      <c r="D210" s="167"/>
      <c r="E210" s="52"/>
      <c r="F210" s="81"/>
      <c r="G210" s="81"/>
      <c r="H210" s="102" t="str">
        <f t="shared" si="138"/>
        <v>--</v>
      </c>
      <c r="I210" s="100">
        <f>IF(Table645[[#This Row],[Column8]]="--",0,Table645[[#This Row],[Column4]]*Table645[[#This Row],[Column8]])</f>
        <v>0</v>
      </c>
      <c r="J210" s="169"/>
      <c r="K210" s="85">
        <f>Table645[[#This Row],[Column4]]*Table645[[#This Row],[Column10]]</f>
        <v>0</v>
      </c>
      <c r="L210" s="170" t="str">
        <f t="shared" si="139"/>
        <v>--</v>
      </c>
      <c r="M210" s="214">
        <f>IF(Table645[[#This Row],[Column10]]=0,0,Table645[[#This Row],[Column4]]*Table645[[#This Row],[Column12]])</f>
        <v>0</v>
      </c>
      <c r="N210" s="87" t="str">
        <f t="shared" si="140"/>
        <v>--</v>
      </c>
      <c r="O210" s="138"/>
      <c r="AZ210" s="89">
        <f>IF(Table645[[#This Row],[Column14]]="--",0,Table645[[#This Row],[Column4]]*Table645[[#This Row],[Column14]])</f>
        <v>0</v>
      </c>
      <c r="BA210" s="90"/>
      <c r="BB210" s="91" t="str">
        <f>IF(BA210=0,"--",BA210*$BA$3*IF(Table645[[#This Row],[Column5]]&lt;4.1,1,2)/60/24)</f>
        <v>--</v>
      </c>
      <c r="BC210" s="92">
        <f>IF(Table645[[#This Row],[Column54]]="--",0,Table645[[#This Row],[Column4]]*Table645[[#This Row],[Column54]])</f>
        <v>0</v>
      </c>
      <c r="BD210" s="119"/>
      <c r="BE210" s="119"/>
      <c r="BF210" s="119"/>
      <c r="BG210" s="91" t="str">
        <f>IF(BD210+Table645[[#This Row],[Column58]]=0,"--",(BD210*$BF$3*Table645[[#This Row],[Column57]]+Table645[[#This Row],[Column58]]*$BF$4)/60/24)</f>
        <v>--</v>
      </c>
      <c r="BH210" s="92">
        <f>IF(Table645[[#This Row],[Column59]]="--",0,Table645[[#This Row],[Column4]]*Table645[[#This Row],[Column59]])</f>
        <v>0</v>
      </c>
      <c r="BI210" s="119"/>
      <c r="BJ210" s="91" t="str">
        <f t="shared" si="126"/>
        <v>--</v>
      </c>
      <c r="BK210" s="92">
        <f>IF(Table645[[#This Row],[Column62]]="--",0,Table645[[#This Row],[Column4]]*Table645[[#This Row],[Column62]])</f>
        <v>0</v>
      </c>
      <c r="BL210" s="93"/>
      <c r="BM210" s="91" t="str">
        <f t="shared" si="141"/>
        <v>--</v>
      </c>
      <c r="BN210" s="89">
        <f>IF(Table645[[#This Row],[Column65]]="--",0,Table645[[#This Row],[Column4]]*Table645[[#This Row],[Column65]])</f>
        <v>0</v>
      </c>
      <c r="BO210" s="163"/>
      <c r="BP210" s="164" t="str">
        <f t="shared" si="142"/>
        <v>--</v>
      </c>
      <c r="BQ210" s="160">
        <f>IF(Table645[[#This Row],[Column68]]="--",0,Table645[[#This Row],[Column4]]*Table645[[#This Row],[Column68]])</f>
        <v>0</v>
      </c>
      <c r="BR210" s="94"/>
      <c r="BS210" s="91" t="str">
        <f t="shared" si="143"/>
        <v>--</v>
      </c>
      <c r="BT210" s="92">
        <f>IF(Table645[[#This Row],[Column71]]="--",0,Table645[[#This Row],[Column4]]*Table645[[#This Row],[Column71]])</f>
        <v>0</v>
      </c>
      <c r="BU210" s="44"/>
      <c r="BV210" s="90"/>
      <c r="BW210" s="91" t="str">
        <f>IF(BV210=0,"--",(Table645[[#This Row],[Column73]]*$BV$4*(IF(J210&lt;0.5001,1,IF(J210&lt;2.0001,2,3)))+BV210/$BV$3)/60/24)</f>
        <v>--</v>
      </c>
      <c r="BX210" s="92">
        <f>IF(Table645[[#This Row],[Column75]]="--",0,Table645[[#This Row],[Column4]]*Table645[[#This Row],[Column75]])</f>
        <v>0</v>
      </c>
      <c r="BY210" s="95" t="s">
        <v>70</v>
      </c>
      <c r="BZ210" s="91" t="str">
        <f>IF(Table645[[#This Row],[Column74]]=0,"--",BW210*$BY$3)</f>
        <v>--</v>
      </c>
      <c r="CA210" s="89">
        <f>IF(Table645[[#This Row],[Column78]]="--",0,Table645[[#This Row],[Column4]]*Table645[[#This Row],[Column78]])</f>
        <v>0</v>
      </c>
      <c r="CB210" s="95" t="s">
        <v>70</v>
      </c>
      <c r="CC210" s="91" t="str">
        <f>IF(Table645[[#This Row],[Column10]]+Table645[[#This Row],[Column74]]=0,"--",J210*$CB$4*$CB$5/(24*60)+IF(Table645[[#This Row],[Column74]]=0,0,$CB$3*Table645[[#This Row],[Column75]]))</f>
        <v>--</v>
      </c>
      <c r="CD210" s="92">
        <f>IF(Table645[[#This Row],[Column81]]="--",0,Table645[[#This Row],[Column4]]*Table645[[#This Row],[Column81]])</f>
        <v>0</v>
      </c>
      <c r="CE210" s="215"/>
      <c r="CF210" s="91" t="str">
        <f t="shared" si="127"/>
        <v>--</v>
      </c>
      <c r="CG210" s="92">
        <f>IF(Table645[[#This Row],[Column84]]="--",0,Table645[[#This Row],[Column4]]*Table645[[#This Row],[Column84]])</f>
        <v>0</v>
      </c>
      <c r="CH210" s="226"/>
      <c r="CI210" s="216"/>
      <c r="CJ210" s="91" t="str">
        <f>IF(CI210=0,"--",(Table645[[#This Row],[Column86]]*$CI$4*(IF(W210&lt;0.5001,1,IF(W210&lt;2.0001,2,3)))+CI210/$CI$3)/60/24)</f>
        <v>--</v>
      </c>
      <c r="CK210" s="92">
        <f>IF(Table645[[#This Row],[Column88]]="--",0,Table645[[#This Row],[Column4]]*Table645[[#This Row],[Column88]])</f>
        <v>0</v>
      </c>
      <c r="CL210" s="217"/>
      <c r="CM210" s="91" t="str">
        <f>IF(Table645[[#This Row],[Column87]]=0,"--",CJ210*$CL$3)</f>
        <v>--</v>
      </c>
      <c r="CN210" s="92">
        <f>IF(Table645[[#This Row],[Column91]]="--",0,Table645[[#This Row],[Column4]]*Table645[[#This Row],[Column91]])</f>
        <v>0</v>
      </c>
      <c r="CO210" s="217"/>
      <c r="CP210" s="91" t="str">
        <f>IF(Table645[[#This Row],[Column10]]+Table645[[#This Row],[Column87]]=0, "--", IF($D210="", 1, $D210) * IF($J210="", 1, $J210) * $CO$3 * $CO$4 * IF(Table645[[#This Row],[Column95]]="", 1, Table645[[#This Row],[Column95]]) / (24 * 60))</f>
        <v>--</v>
      </c>
      <c r="CQ210" s="164"/>
      <c r="CR210" s="92">
        <f>IF(Table645[[#This Row],[Column94]]="--",0,Table645[[#This Row],[Column4]]*Table645[[#This Row],[Column94]])</f>
        <v>0</v>
      </c>
      <c r="CS210" s="218" t="str">
        <f>IF(Table645[[#This Row],[Column87]]="","",Table645[[#This Row],[Column87]])</f>
        <v/>
      </c>
      <c r="CT210" s="91" t="str">
        <f>IF(Table645[[#This Row],[Column97]]="","--",Table645[[#This Row],[Column97]]/$CS$3/60/24)</f>
        <v>--</v>
      </c>
      <c r="CU210" s="92">
        <f>IF(Table645[[#This Row],[Column98]]="--",0,Table645[[#This Row],[Column4]]*Table645[[#This Row],[Column98]])</f>
        <v>0</v>
      </c>
      <c r="CV210" s="93"/>
      <c r="CW210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10" s="91" t="str">
        <f>IF(OR(Table645[[#This Row],[Column74]]&gt;0,Table645[[#This Row],[Column87]]&gt;0),(Table645[[#This Row],[Column73]]+Table645[[#This Row],[Column86]]+1)*$CW$3/60/24,"--")</f>
        <v>--</v>
      </c>
      <c r="CY210" s="92">
        <f>IF(Table645[[#This Row],[Column102]]="--",0,Table645[[#This Row],[Column4]]*Table645[[#This Row],[Column102]])</f>
        <v>0</v>
      </c>
      <c r="CZ210" s="158" t="str">
        <f t="shared" si="144"/>
        <v>--</v>
      </c>
      <c r="DA210" s="153"/>
      <c r="DB210" s="160">
        <f>IF(Table645[[#This Row],[Column104]]="--",0,Table645[[#This Row],[Column4]]*Table645[[#This Row],[Column104]])</f>
        <v>0</v>
      </c>
      <c r="DC210" s="219"/>
      <c r="DD210" s="220" t="str">
        <f>IF(DC210=0,"--",1/$DC$3*1000/(60*60*24)*Table645[[#This Row],[Column107]])</f>
        <v>--</v>
      </c>
      <c r="DE210" s="160">
        <f>IF(Table645[[#This Row],[Column108]]="--",0,Table645[[#This Row],[Column4]]*Table645[[#This Row],[Column108]])</f>
        <v>0</v>
      </c>
      <c r="DF210" s="101" t="s">
        <v>70</v>
      </c>
      <c r="DG210" s="91" t="str">
        <f t="shared" si="145"/>
        <v>--</v>
      </c>
      <c r="DH210" s="89">
        <f>IF(Table645[[#This Row],[Column111]]="--",0,Table645[[#This Row],[Column4]]*Table645[[#This Row],[Column111]])</f>
        <v>0</v>
      </c>
      <c r="DI210" s="96"/>
      <c r="DJ210" s="96"/>
      <c r="DK210" s="96"/>
      <c r="DL210" s="96"/>
      <c r="DM210" s="96"/>
      <c r="DN210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10" s="89">
        <f>IF(Table645[[#This Row],[Column118]]="--",0,Table645[[#This Row],[Column4]]*Table645[[#This Row],[Column118]])</f>
        <v>0</v>
      </c>
      <c r="DP210" s="96"/>
      <c r="DQ210" s="96"/>
      <c r="DR210" s="91" t="str">
        <f t="shared" si="146"/>
        <v>--</v>
      </c>
      <c r="DS210" s="89">
        <f>IF(Table645[[#This Row],[Column122]]="--",0,Table645[[#This Row],[Column4]]*Table645[[#This Row],[Column122]])</f>
        <v>0</v>
      </c>
      <c r="DT210" t="str">
        <f>IF(Table645[[#This Row],[Column125]]=0,"--",Table645[[#This Row],[Column125]]*Table645[[#This Row],[Column126]]*Table645[[#This Row],[Column127]]/1000000000)</f>
        <v>--</v>
      </c>
      <c r="DU210" s="53"/>
      <c r="DV210" s="53"/>
      <c r="DW210" s="53"/>
      <c r="DX210" s="91" t="str">
        <f t="shared" si="147"/>
        <v>--</v>
      </c>
      <c r="DY210" s="89">
        <f>IF(Table645[[#This Row],[Column128]]="--",0,Table645[[#This Row],[Column4]]*Table645[[#This Row],[Column128]])</f>
        <v>0</v>
      </c>
      <c r="EA210" s="89">
        <f>IF(Table645[[#This Row],[Column128]]="--",0,Table645[[#This Row],[Column4]]*Table645[[#This Row],[Column128]])</f>
        <v>0</v>
      </c>
      <c r="EC210" s="89">
        <f>IF(Table645[[#This Row],[Column128]]="--",0,Table645[[#This Row],[Column4]]*Table645[[#This Row],[Column128]])</f>
        <v>0</v>
      </c>
      <c r="EE210" s="89">
        <f>IF(Table645[[#This Row],[Column128]]="--",0,Table645[[#This Row],[Column4]]*Table645[[#This Row],[Column128]])</f>
        <v>0</v>
      </c>
      <c r="EG210" s="89">
        <f>IF(Table645[[#This Row],[Column128]]="--",0,Table645[[#This Row],[Column4]]*Table645[[#This Row],[Column128]])</f>
        <v>0</v>
      </c>
      <c r="EI210" s="89">
        <f>IF(Table645[[#This Row],[Column128]]="--",0,Table645[[#This Row],[Column4]]*Table645[[#This Row],[Column128]])</f>
        <v>0</v>
      </c>
    </row>
    <row r="211" spans="1:139" x14ac:dyDescent="0.25">
      <c r="A211" s="140"/>
      <c r="B211" s="79"/>
      <c r="C211" s="140"/>
      <c r="D211" s="167"/>
      <c r="E211" s="52"/>
      <c r="F211" s="81"/>
      <c r="G211" s="81"/>
      <c r="H211" s="102" t="str">
        <f t="shared" si="138"/>
        <v>--</v>
      </c>
      <c r="I211" s="100">
        <f>IF(Table645[[#This Row],[Column8]]="--",0,Table645[[#This Row],[Column4]]*Table645[[#This Row],[Column8]])</f>
        <v>0</v>
      </c>
      <c r="J211" s="169"/>
      <c r="K211" s="85">
        <f>Table645[[#This Row],[Column4]]*Table645[[#This Row],[Column10]]</f>
        <v>0</v>
      </c>
      <c r="L211" s="170" t="str">
        <f t="shared" si="139"/>
        <v>--</v>
      </c>
      <c r="M211" s="214">
        <f>IF(Table645[[#This Row],[Column10]]=0,0,Table645[[#This Row],[Column4]]*Table645[[#This Row],[Column12]])</f>
        <v>0</v>
      </c>
      <c r="N211" s="87" t="str">
        <f t="shared" si="140"/>
        <v>--</v>
      </c>
      <c r="O211" s="138"/>
      <c r="AZ211" s="89">
        <f>IF(Table645[[#This Row],[Column14]]="--",0,Table645[[#This Row],[Column4]]*Table645[[#This Row],[Column14]])</f>
        <v>0</v>
      </c>
      <c r="BA211" s="90"/>
      <c r="BB211" s="91" t="str">
        <f>IF(BA211=0,"--",BA211*$BA$3*IF(Table645[[#This Row],[Column5]]&lt;4.1,1,2)/60/24)</f>
        <v>--</v>
      </c>
      <c r="BC211" s="92">
        <f>IF(Table645[[#This Row],[Column54]]="--",0,Table645[[#This Row],[Column4]]*Table645[[#This Row],[Column54]])</f>
        <v>0</v>
      </c>
      <c r="BD211" s="119"/>
      <c r="BE211" s="119"/>
      <c r="BF211" s="119"/>
      <c r="BG211" s="91" t="str">
        <f>IF(BD211+Table645[[#This Row],[Column58]]=0,"--",(BD211*$BF$3*Table645[[#This Row],[Column57]]+Table645[[#This Row],[Column58]]*$BF$4)/60/24)</f>
        <v>--</v>
      </c>
      <c r="BH211" s="92">
        <f>IF(Table645[[#This Row],[Column59]]="--",0,Table645[[#This Row],[Column4]]*Table645[[#This Row],[Column59]])</f>
        <v>0</v>
      </c>
      <c r="BI211" s="119"/>
      <c r="BJ211" s="91" t="str">
        <f t="shared" si="126"/>
        <v>--</v>
      </c>
      <c r="BK211" s="92">
        <f>IF(Table645[[#This Row],[Column62]]="--",0,Table645[[#This Row],[Column4]]*Table645[[#This Row],[Column62]])</f>
        <v>0</v>
      </c>
      <c r="BL211" s="93"/>
      <c r="BM211" s="91" t="str">
        <f t="shared" si="141"/>
        <v>--</v>
      </c>
      <c r="BN211" s="89">
        <f>IF(Table645[[#This Row],[Column65]]="--",0,Table645[[#This Row],[Column4]]*Table645[[#This Row],[Column65]])</f>
        <v>0</v>
      </c>
      <c r="BO211" s="163"/>
      <c r="BP211" s="164" t="str">
        <f t="shared" si="142"/>
        <v>--</v>
      </c>
      <c r="BQ211" s="160">
        <f>IF(Table645[[#This Row],[Column68]]="--",0,Table645[[#This Row],[Column4]]*Table645[[#This Row],[Column68]])</f>
        <v>0</v>
      </c>
      <c r="BR211" s="94"/>
      <c r="BS211" s="91" t="str">
        <f t="shared" si="143"/>
        <v>--</v>
      </c>
      <c r="BT211" s="92">
        <f>IF(Table645[[#This Row],[Column71]]="--",0,Table645[[#This Row],[Column4]]*Table645[[#This Row],[Column71]])</f>
        <v>0</v>
      </c>
      <c r="BU211" s="44"/>
      <c r="BV211" s="90"/>
      <c r="BW211" s="91" t="str">
        <f>IF(BV211=0,"--",(Table645[[#This Row],[Column73]]*$BV$4*(IF(J211&lt;0.5001,1,IF(J211&lt;2.0001,2,3)))+BV211/$BV$3)/60/24)</f>
        <v>--</v>
      </c>
      <c r="BX211" s="92">
        <f>IF(Table645[[#This Row],[Column75]]="--",0,Table645[[#This Row],[Column4]]*Table645[[#This Row],[Column75]])</f>
        <v>0</v>
      </c>
      <c r="BY211" s="95" t="s">
        <v>70</v>
      </c>
      <c r="BZ211" s="91" t="str">
        <f>IF(Table645[[#This Row],[Column74]]=0,"--",BW211*$BY$3)</f>
        <v>--</v>
      </c>
      <c r="CA211" s="89">
        <f>IF(Table645[[#This Row],[Column78]]="--",0,Table645[[#This Row],[Column4]]*Table645[[#This Row],[Column78]])</f>
        <v>0</v>
      </c>
      <c r="CB211" s="95" t="s">
        <v>70</v>
      </c>
      <c r="CC211" s="91" t="str">
        <f>IF(Table645[[#This Row],[Column10]]+Table645[[#This Row],[Column74]]=0,"--",J211*$CB$4*$CB$5/(24*60)+IF(Table645[[#This Row],[Column74]]=0,0,$CB$3*Table645[[#This Row],[Column75]]))</f>
        <v>--</v>
      </c>
      <c r="CD211" s="92">
        <f>IF(Table645[[#This Row],[Column81]]="--",0,Table645[[#This Row],[Column4]]*Table645[[#This Row],[Column81]])</f>
        <v>0</v>
      </c>
      <c r="CE211" s="215"/>
      <c r="CF211" s="91" t="str">
        <f t="shared" si="127"/>
        <v>--</v>
      </c>
      <c r="CG211" s="92">
        <f>IF(Table645[[#This Row],[Column84]]="--",0,Table645[[#This Row],[Column4]]*Table645[[#This Row],[Column84]])</f>
        <v>0</v>
      </c>
      <c r="CH211" s="226"/>
      <c r="CI211" s="216"/>
      <c r="CJ211" s="91" t="str">
        <f>IF(CI211=0,"--",(Table645[[#This Row],[Column86]]*$CI$4*(IF(W211&lt;0.5001,1,IF(W211&lt;2.0001,2,3)))+CI211/$CI$3)/60/24)</f>
        <v>--</v>
      </c>
      <c r="CK211" s="92">
        <f>IF(Table645[[#This Row],[Column88]]="--",0,Table645[[#This Row],[Column4]]*Table645[[#This Row],[Column88]])</f>
        <v>0</v>
      </c>
      <c r="CL211" s="217"/>
      <c r="CM211" s="91" t="str">
        <f>IF(Table645[[#This Row],[Column87]]=0,"--",CJ211*$CL$3)</f>
        <v>--</v>
      </c>
      <c r="CN211" s="92">
        <f>IF(Table645[[#This Row],[Column91]]="--",0,Table645[[#This Row],[Column4]]*Table645[[#This Row],[Column91]])</f>
        <v>0</v>
      </c>
      <c r="CO211" s="217"/>
      <c r="CP211" s="91" t="str">
        <f>IF(Table645[[#This Row],[Column10]]+Table645[[#This Row],[Column87]]=0, "--", IF($D211="", 1, $D211) * IF($J211="", 1, $J211) * $CO$3 * $CO$4 * IF(Table645[[#This Row],[Column95]]="", 1, Table645[[#This Row],[Column95]]) / (24 * 60))</f>
        <v>--</v>
      </c>
      <c r="CQ211" s="164"/>
      <c r="CR211" s="92">
        <f>IF(Table645[[#This Row],[Column94]]="--",0,Table645[[#This Row],[Column4]]*Table645[[#This Row],[Column94]])</f>
        <v>0</v>
      </c>
      <c r="CS211" s="218" t="str">
        <f>IF(Table645[[#This Row],[Column87]]="","",Table645[[#This Row],[Column87]])</f>
        <v/>
      </c>
      <c r="CT211" s="91" t="str">
        <f>IF(Table645[[#This Row],[Column97]]="","--",Table645[[#This Row],[Column97]]/$CS$3/60/24)</f>
        <v>--</v>
      </c>
      <c r="CU211" s="92">
        <f>IF(Table645[[#This Row],[Column98]]="--",0,Table645[[#This Row],[Column4]]*Table645[[#This Row],[Column98]])</f>
        <v>0</v>
      </c>
      <c r="CV211" s="93"/>
      <c r="CW211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11" s="91" t="str">
        <f>IF(OR(Table645[[#This Row],[Column74]]&gt;0,Table645[[#This Row],[Column87]]&gt;0),(Table645[[#This Row],[Column73]]+Table645[[#This Row],[Column86]]+1)*$CW$3/60/24,"--")</f>
        <v>--</v>
      </c>
      <c r="CY211" s="92">
        <f>IF(Table645[[#This Row],[Column102]]="--",0,Table645[[#This Row],[Column4]]*Table645[[#This Row],[Column102]])</f>
        <v>0</v>
      </c>
      <c r="CZ211" s="158" t="str">
        <f t="shared" si="144"/>
        <v>--</v>
      </c>
      <c r="DA211" s="153"/>
      <c r="DB211" s="160">
        <f>IF(Table645[[#This Row],[Column104]]="--",0,Table645[[#This Row],[Column4]]*Table645[[#This Row],[Column104]])</f>
        <v>0</v>
      </c>
      <c r="DC211" s="219"/>
      <c r="DD211" s="220" t="str">
        <f>IF(DC211=0,"--",1/$DC$3*1000/(60*60*24)*Table645[[#This Row],[Column107]])</f>
        <v>--</v>
      </c>
      <c r="DE211" s="160">
        <f>IF(Table645[[#This Row],[Column108]]="--",0,Table645[[#This Row],[Column4]]*Table645[[#This Row],[Column108]])</f>
        <v>0</v>
      </c>
      <c r="DF211" s="101" t="s">
        <v>70</v>
      </c>
      <c r="DG211" s="91" t="str">
        <f t="shared" si="145"/>
        <v>--</v>
      </c>
      <c r="DH211" s="89">
        <f>IF(Table645[[#This Row],[Column111]]="--",0,Table645[[#This Row],[Column4]]*Table645[[#This Row],[Column111]])</f>
        <v>0</v>
      </c>
      <c r="DI211" s="96"/>
      <c r="DJ211" s="96"/>
      <c r="DK211" s="96"/>
      <c r="DL211" s="96"/>
      <c r="DM211" s="96"/>
      <c r="DN211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11" s="89">
        <f>IF(Table645[[#This Row],[Column118]]="--",0,Table645[[#This Row],[Column4]]*Table645[[#This Row],[Column118]])</f>
        <v>0</v>
      </c>
      <c r="DP211" s="96"/>
      <c r="DQ211" s="96"/>
      <c r="DR211" s="91" t="str">
        <f t="shared" si="146"/>
        <v>--</v>
      </c>
      <c r="DS211" s="89">
        <f>IF(Table645[[#This Row],[Column122]]="--",0,Table645[[#This Row],[Column4]]*Table645[[#This Row],[Column122]])</f>
        <v>0</v>
      </c>
      <c r="DT211" t="str">
        <f>IF(Table645[[#This Row],[Column125]]=0,"--",Table645[[#This Row],[Column125]]*Table645[[#This Row],[Column126]]*Table645[[#This Row],[Column127]]/1000000000)</f>
        <v>--</v>
      </c>
      <c r="DU211" s="53"/>
      <c r="DV211" s="53"/>
      <c r="DW211" s="53"/>
      <c r="DX211" s="91" t="str">
        <f t="shared" si="147"/>
        <v>--</v>
      </c>
      <c r="DY211" s="89">
        <f>IF(Table645[[#This Row],[Column128]]="--",0,Table645[[#This Row],[Column4]]*Table645[[#This Row],[Column128]])</f>
        <v>0</v>
      </c>
      <c r="EA211" s="89">
        <f>IF(Table645[[#This Row],[Column128]]="--",0,Table645[[#This Row],[Column4]]*Table645[[#This Row],[Column128]])</f>
        <v>0</v>
      </c>
      <c r="EC211" s="89">
        <f>IF(Table645[[#This Row],[Column128]]="--",0,Table645[[#This Row],[Column4]]*Table645[[#This Row],[Column128]])</f>
        <v>0</v>
      </c>
      <c r="EE211" s="89">
        <f>IF(Table645[[#This Row],[Column128]]="--",0,Table645[[#This Row],[Column4]]*Table645[[#This Row],[Column128]])</f>
        <v>0</v>
      </c>
      <c r="EG211" s="89">
        <f>IF(Table645[[#This Row],[Column128]]="--",0,Table645[[#This Row],[Column4]]*Table645[[#This Row],[Column128]])</f>
        <v>0</v>
      </c>
      <c r="EI211" s="89">
        <f>IF(Table645[[#This Row],[Column128]]="--",0,Table645[[#This Row],[Column4]]*Table645[[#This Row],[Column128]])</f>
        <v>0</v>
      </c>
    </row>
    <row r="212" spans="1:139" x14ac:dyDescent="0.25">
      <c r="A212" s="140"/>
      <c r="B212" s="79"/>
      <c r="C212" s="140"/>
      <c r="D212" s="167"/>
      <c r="E212" s="52"/>
      <c r="F212" s="81"/>
      <c r="G212" s="81"/>
      <c r="H212" s="102" t="str">
        <f t="shared" si="138"/>
        <v>--</v>
      </c>
      <c r="I212" s="100">
        <f>IF(Table645[[#This Row],[Column8]]="--",0,Table645[[#This Row],[Column4]]*Table645[[#This Row],[Column8]])</f>
        <v>0</v>
      </c>
      <c r="J212" s="169"/>
      <c r="K212" s="85">
        <f>Table645[[#This Row],[Column4]]*Table645[[#This Row],[Column10]]</f>
        <v>0</v>
      </c>
      <c r="L212" s="170" t="str">
        <f t="shared" si="139"/>
        <v>--</v>
      </c>
      <c r="M212" s="214">
        <f>IF(Table645[[#This Row],[Column10]]=0,0,Table645[[#This Row],[Column4]]*Table645[[#This Row],[Column12]])</f>
        <v>0</v>
      </c>
      <c r="N212" s="87" t="str">
        <f t="shared" si="140"/>
        <v>--</v>
      </c>
      <c r="O212" s="138"/>
      <c r="AZ212" s="89">
        <f>IF(Table645[[#This Row],[Column14]]="--",0,Table645[[#This Row],[Column4]]*Table645[[#This Row],[Column14]])</f>
        <v>0</v>
      </c>
      <c r="BA212" s="90"/>
      <c r="BB212" s="91" t="str">
        <f>IF(BA212=0,"--",BA212*$BA$3*IF(Table645[[#This Row],[Column5]]&lt;4.1,1,2)/60/24)</f>
        <v>--</v>
      </c>
      <c r="BC212" s="92">
        <f>IF(Table645[[#This Row],[Column54]]="--",0,Table645[[#This Row],[Column4]]*Table645[[#This Row],[Column54]])</f>
        <v>0</v>
      </c>
      <c r="BD212" s="119"/>
      <c r="BE212" s="119"/>
      <c r="BF212" s="119"/>
      <c r="BG212" s="91" t="str">
        <f>IF(BD212+Table645[[#This Row],[Column58]]=0,"--",(BD212*$BF$3*Table645[[#This Row],[Column57]]+Table645[[#This Row],[Column58]]*$BF$4)/60/24)</f>
        <v>--</v>
      </c>
      <c r="BH212" s="92">
        <f>IF(Table645[[#This Row],[Column59]]="--",0,Table645[[#This Row],[Column4]]*Table645[[#This Row],[Column59]])</f>
        <v>0</v>
      </c>
      <c r="BI212" s="119"/>
      <c r="BJ212" s="91" t="str">
        <f t="shared" si="126"/>
        <v>--</v>
      </c>
      <c r="BK212" s="92">
        <f>IF(Table645[[#This Row],[Column62]]="--",0,Table645[[#This Row],[Column4]]*Table645[[#This Row],[Column62]])</f>
        <v>0</v>
      </c>
      <c r="BL212" s="93"/>
      <c r="BM212" s="91" t="str">
        <f t="shared" si="141"/>
        <v>--</v>
      </c>
      <c r="BN212" s="89">
        <f>IF(Table645[[#This Row],[Column65]]="--",0,Table645[[#This Row],[Column4]]*Table645[[#This Row],[Column65]])</f>
        <v>0</v>
      </c>
      <c r="BO212" s="163"/>
      <c r="BP212" s="164" t="str">
        <f t="shared" si="142"/>
        <v>--</v>
      </c>
      <c r="BQ212" s="160">
        <f>IF(Table645[[#This Row],[Column68]]="--",0,Table645[[#This Row],[Column4]]*Table645[[#This Row],[Column68]])</f>
        <v>0</v>
      </c>
      <c r="BR212" s="94"/>
      <c r="BS212" s="91" t="str">
        <f t="shared" si="143"/>
        <v>--</v>
      </c>
      <c r="BT212" s="92">
        <f>IF(Table645[[#This Row],[Column71]]="--",0,Table645[[#This Row],[Column4]]*Table645[[#This Row],[Column71]])</f>
        <v>0</v>
      </c>
      <c r="BU212" s="44"/>
      <c r="BV212" s="90"/>
      <c r="BW212" s="91" t="str">
        <f>IF(BV212=0,"--",(Table645[[#This Row],[Column73]]*$BV$4*(IF(J212&lt;0.5001,1,IF(J212&lt;2.0001,2,3)))+BV212/$BV$3)/60/24)</f>
        <v>--</v>
      </c>
      <c r="BX212" s="92">
        <f>IF(Table645[[#This Row],[Column75]]="--",0,Table645[[#This Row],[Column4]]*Table645[[#This Row],[Column75]])</f>
        <v>0</v>
      </c>
      <c r="BY212" s="95" t="s">
        <v>70</v>
      </c>
      <c r="BZ212" s="91" t="str">
        <f>IF(Table645[[#This Row],[Column74]]=0,"--",BW212*$BY$3)</f>
        <v>--</v>
      </c>
      <c r="CA212" s="89">
        <f>IF(Table645[[#This Row],[Column78]]="--",0,Table645[[#This Row],[Column4]]*Table645[[#This Row],[Column78]])</f>
        <v>0</v>
      </c>
      <c r="CB212" s="95" t="s">
        <v>70</v>
      </c>
      <c r="CC212" s="91" t="str">
        <f>IF(Table645[[#This Row],[Column10]]+Table645[[#This Row],[Column74]]=0,"--",J212*$CB$4*$CB$5/(24*60)+IF(Table645[[#This Row],[Column74]]=0,0,$CB$3*Table645[[#This Row],[Column75]]))</f>
        <v>--</v>
      </c>
      <c r="CD212" s="92">
        <f>IF(Table645[[#This Row],[Column81]]="--",0,Table645[[#This Row],[Column4]]*Table645[[#This Row],[Column81]])</f>
        <v>0</v>
      </c>
      <c r="CE212" s="215"/>
      <c r="CF212" s="91" t="str">
        <f t="shared" si="127"/>
        <v>--</v>
      </c>
      <c r="CG212" s="92">
        <f>IF(Table645[[#This Row],[Column84]]="--",0,Table645[[#This Row],[Column4]]*Table645[[#This Row],[Column84]])</f>
        <v>0</v>
      </c>
      <c r="CH212" s="226"/>
      <c r="CI212" s="216"/>
      <c r="CJ212" s="91" t="str">
        <f>IF(CI212=0,"--",(Table645[[#This Row],[Column86]]*$CI$4*(IF(W212&lt;0.5001,1,IF(W212&lt;2.0001,2,3)))+CI212/$CI$3)/60/24)</f>
        <v>--</v>
      </c>
      <c r="CK212" s="92">
        <f>IF(Table645[[#This Row],[Column88]]="--",0,Table645[[#This Row],[Column4]]*Table645[[#This Row],[Column88]])</f>
        <v>0</v>
      </c>
      <c r="CL212" s="217"/>
      <c r="CM212" s="91" t="str">
        <f>IF(Table645[[#This Row],[Column87]]=0,"--",CJ212*$CL$3)</f>
        <v>--</v>
      </c>
      <c r="CN212" s="92">
        <f>IF(Table645[[#This Row],[Column91]]="--",0,Table645[[#This Row],[Column4]]*Table645[[#This Row],[Column91]])</f>
        <v>0</v>
      </c>
      <c r="CO212" s="217"/>
      <c r="CP212" s="91" t="str">
        <f>IF(Table645[[#This Row],[Column10]]+Table645[[#This Row],[Column87]]=0, "--", IF($D212="", 1, $D212) * IF($J212="", 1, $J212) * $CO$3 * $CO$4 * IF(Table645[[#This Row],[Column95]]="", 1, Table645[[#This Row],[Column95]]) / (24 * 60))</f>
        <v>--</v>
      </c>
      <c r="CQ212" s="164"/>
      <c r="CR212" s="92">
        <f>IF(Table645[[#This Row],[Column94]]="--",0,Table645[[#This Row],[Column4]]*Table645[[#This Row],[Column94]])</f>
        <v>0</v>
      </c>
      <c r="CS212" s="218" t="str">
        <f>IF(Table645[[#This Row],[Column87]]="","",Table645[[#This Row],[Column87]])</f>
        <v/>
      </c>
      <c r="CT212" s="91" t="str">
        <f>IF(Table645[[#This Row],[Column97]]="","--",Table645[[#This Row],[Column97]]/$CS$3/60/24)</f>
        <v>--</v>
      </c>
      <c r="CU212" s="92">
        <f>IF(Table645[[#This Row],[Column98]]="--",0,Table645[[#This Row],[Column4]]*Table645[[#This Row],[Column98]])</f>
        <v>0</v>
      </c>
      <c r="CV212" s="93"/>
      <c r="CW212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12" s="91" t="str">
        <f>IF(OR(Table645[[#This Row],[Column74]]&gt;0,Table645[[#This Row],[Column87]]&gt;0),(Table645[[#This Row],[Column73]]+Table645[[#This Row],[Column86]]+1)*$CW$3/60/24,"--")</f>
        <v>--</v>
      </c>
      <c r="CY212" s="92">
        <f>IF(Table645[[#This Row],[Column102]]="--",0,Table645[[#This Row],[Column4]]*Table645[[#This Row],[Column102]])</f>
        <v>0</v>
      </c>
      <c r="CZ212" s="158" t="str">
        <f t="shared" si="144"/>
        <v>--</v>
      </c>
      <c r="DA212" s="153"/>
      <c r="DB212" s="160">
        <f>IF(Table645[[#This Row],[Column104]]="--",0,Table645[[#This Row],[Column4]]*Table645[[#This Row],[Column104]])</f>
        <v>0</v>
      </c>
      <c r="DC212" s="219"/>
      <c r="DD212" s="220" t="str">
        <f>IF(DC212=0,"--",1/$DC$3*1000/(60*60*24)*Table645[[#This Row],[Column107]])</f>
        <v>--</v>
      </c>
      <c r="DE212" s="160">
        <f>IF(Table645[[#This Row],[Column108]]="--",0,Table645[[#This Row],[Column4]]*Table645[[#This Row],[Column108]])</f>
        <v>0</v>
      </c>
      <c r="DF212" s="101" t="s">
        <v>70</v>
      </c>
      <c r="DG212" s="91" t="str">
        <f t="shared" si="145"/>
        <v>--</v>
      </c>
      <c r="DH212" s="89">
        <f>IF(Table645[[#This Row],[Column111]]="--",0,Table645[[#This Row],[Column4]]*Table645[[#This Row],[Column111]])</f>
        <v>0</v>
      </c>
      <c r="DI212" s="96"/>
      <c r="DJ212" s="96"/>
      <c r="DK212" s="96"/>
      <c r="DL212" s="96"/>
      <c r="DM212" s="96"/>
      <c r="DN212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12" s="89">
        <f>IF(Table645[[#This Row],[Column118]]="--",0,Table645[[#This Row],[Column4]]*Table645[[#This Row],[Column118]])</f>
        <v>0</v>
      </c>
      <c r="DP212" s="96"/>
      <c r="DQ212" s="96"/>
      <c r="DR212" s="91" t="str">
        <f t="shared" si="146"/>
        <v>--</v>
      </c>
      <c r="DS212" s="89">
        <f>IF(Table645[[#This Row],[Column122]]="--",0,Table645[[#This Row],[Column4]]*Table645[[#This Row],[Column122]])</f>
        <v>0</v>
      </c>
      <c r="DT212" t="str">
        <f>IF(Table645[[#This Row],[Column125]]=0,"--",Table645[[#This Row],[Column125]]*Table645[[#This Row],[Column126]]*Table645[[#This Row],[Column127]]/1000000000)</f>
        <v>--</v>
      </c>
      <c r="DU212" s="53"/>
      <c r="DV212" s="53"/>
      <c r="DW212" s="53"/>
      <c r="DX212" s="91" t="str">
        <f t="shared" si="147"/>
        <v>--</v>
      </c>
      <c r="DY212" s="89">
        <f>IF(Table645[[#This Row],[Column128]]="--",0,Table645[[#This Row],[Column4]]*Table645[[#This Row],[Column128]])</f>
        <v>0</v>
      </c>
      <c r="EA212" s="89">
        <f>IF(Table645[[#This Row],[Column128]]="--",0,Table645[[#This Row],[Column4]]*Table645[[#This Row],[Column128]])</f>
        <v>0</v>
      </c>
      <c r="EC212" s="89">
        <f>IF(Table645[[#This Row],[Column128]]="--",0,Table645[[#This Row],[Column4]]*Table645[[#This Row],[Column128]])</f>
        <v>0</v>
      </c>
      <c r="EE212" s="89">
        <f>IF(Table645[[#This Row],[Column128]]="--",0,Table645[[#This Row],[Column4]]*Table645[[#This Row],[Column128]])</f>
        <v>0</v>
      </c>
      <c r="EG212" s="89">
        <f>IF(Table645[[#This Row],[Column128]]="--",0,Table645[[#This Row],[Column4]]*Table645[[#This Row],[Column128]])</f>
        <v>0</v>
      </c>
      <c r="EI212" s="89">
        <f>IF(Table645[[#This Row],[Column128]]="--",0,Table645[[#This Row],[Column4]]*Table645[[#This Row],[Column128]])</f>
        <v>0</v>
      </c>
    </row>
    <row r="213" spans="1:139" x14ac:dyDescent="0.25">
      <c r="A213" s="140"/>
      <c r="B213" s="79"/>
      <c r="C213" s="140"/>
      <c r="D213" s="167"/>
      <c r="E213" s="52"/>
      <c r="F213" s="81"/>
      <c r="G213" s="81"/>
      <c r="H213" s="102" t="str">
        <f t="shared" si="138"/>
        <v>--</v>
      </c>
      <c r="I213" s="100">
        <f>IF(Table645[[#This Row],[Column8]]="--",0,Table645[[#This Row],[Column4]]*Table645[[#This Row],[Column8]])</f>
        <v>0</v>
      </c>
      <c r="J213" s="169"/>
      <c r="K213" s="85">
        <f>Table645[[#This Row],[Column4]]*Table645[[#This Row],[Column10]]</f>
        <v>0</v>
      </c>
      <c r="L213" s="170" t="str">
        <f t="shared" si="139"/>
        <v>--</v>
      </c>
      <c r="M213" s="214">
        <f>IF(Table645[[#This Row],[Column10]]=0,0,Table645[[#This Row],[Column4]]*Table645[[#This Row],[Column12]])</f>
        <v>0</v>
      </c>
      <c r="N213" s="87" t="str">
        <f t="shared" si="140"/>
        <v>--</v>
      </c>
      <c r="O213" s="138"/>
      <c r="AZ213" s="89">
        <f>IF(Table645[[#This Row],[Column14]]="--",0,Table645[[#This Row],[Column4]]*Table645[[#This Row],[Column14]])</f>
        <v>0</v>
      </c>
      <c r="BA213" s="90"/>
      <c r="BB213" s="91" t="str">
        <f>IF(BA213=0,"--",BA213*$BA$3*IF(Table645[[#This Row],[Column5]]&lt;4.1,1,2)/60/24)</f>
        <v>--</v>
      </c>
      <c r="BC213" s="92">
        <f>IF(Table645[[#This Row],[Column54]]="--",0,Table645[[#This Row],[Column4]]*Table645[[#This Row],[Column54]])</f>
        <v>0</v>
      </c>
      <c r="BD213" s="119"/>
      <c r="BE213" s="119"/>
      <c r="BF213" s="119"/>
      <c r="BG213" s="91" t="str">
        <f>IF(BD213+Table645[[#This Row],[Column58]]=0,"--",(BD213*$BF$3*Table645[[#This Row],[Column57]]+Table645[[#This Row],[Column58]]*$BF$4)/60/24)</f>
        <v>--</v>
      </c>
      <c r="BH213" s="92">
        <f>IF(Table645[[#This Row],[Column59]]="--",0,Table645[[#This Row],[Column4]]*Table645[[#This Row],[Column59]])</f>
        <v>0</v>
      </c>
      <c r="BI213" s="119"/>
      <c r="BJ213" s="91" t="str">
        <f t="shared" si="126"/>
        <v>--</v>
      </c>
      <c r="BK213" s="92">
        <f>IF(Table645[[#This Row],[Column62]]="--",0,Table645[[#This Row],[Column4]]*Table645[[#This Row],[Column62]])</f>
        <v>0</v>
      </c>
      <c r="BL213" s="93"/>
      <c r="BM213" s="91" t="str">
        <f t="shared" si="141"/>
        <v>--</v>
      </c>
      <c r="BN213" s="89">
        <f>IF(Table645[[#This Row],[Column65]]="--",0,Table645[[#This Row],[Column4]]*Table645[[#This Row],[Column65]])</f>
        <v>0</v>
      </c>
      <c r="BO213" s="163"/>
      <c r="BP213" s="164" t="str">
        <f t="shared" si="142"/>
        <v>--</v>
      </c>
      <c r="BQ213" s="160">
        <f>IF(Table645[[#This Row],[Column68]]="--",0,Table645[[#This Row],[Column4]]*Table645[[#This Row],[Column68]])</f>
        <v>0</v>
      </c>
      <c r="BR213" s="94"/>
      <c r="BS213" s="91" t="str">
        <f t="shared" si="143"/>
        <v>--</v>
      </c>
      <c r="BT213" s="92">
        <f>IF(Table645[[#This Row],[Column71]]="--",0,Table645[[#This Row],[Column4]]*Table645[[#This Row],[Column71]])</f>
        <v>0</v>
      </c>
      <c r="BU213" s="44"/>
      <c r="BV213" s="90"/>
      <c r="BW213" s="91" t="str">
        <f>IF(BV213=0,"--",(Table645[[#This Row],[Column73]]*$BV$4*(IF(J213&lt;0.5001,1,IF(J213&lt;2.0001,2,3)))+BV213/$BV$3)/60/24)</f>
        <v>--</v>
      </c>
      <c r="BX213" s="92">
        <f>IF(Table645[[#This Row],[Column75]]="--",0,Table645[[#This Row],[Column4]]*Table645[[#This Row],[Column75]])</f>
        <v>0</v>
      </c>
      <c r="BY213" s="95" t="s">
        <v>70</v>
      </c>
      <c r="BZ213" s="91" t="str">
        <f>IF(Table645[[#This Row],[Column74]]=0,"--",BW213*$BY$3)</f>
        <v>--</v>
      </c>
      <c r="CA213" s="89">
        <f>IF(Table645[[#This Row],[Column78]]="--",0,Table645[[#This Row],[Column4]]*Table645[[#This Row],[Column78]])</f>
        <v>0</v>
      </c>
      <c r="CB213" s="95" t="s">
        <v>70</v>
      </c>
      <c r="CC213" s="91" t="str">
        <f>IF(Table645[[#This Row],[Column10]]+Table645[[#This Row],[Column74]]=0,"--",J213*$CB$4*$CB$5/(24*60)+IF(Table645[[#This Row],[Column74]]=0,0,$CB$3*Table645[[#This Row],[Column75]]))</f>
        <v>--</v>
      </c>
      <c r="CD213" s="92">
        <f>IF(Table645[[#This Row],[Column81]]="--",0,Table645[[#This Row],[Column4]]*Table645[[#This Row],[Column81]])</f>
        <v>0</v>
      </c>
      <c r="CE213" s="215"/>
      <c r="CF213" s="91" t="str">
        <f t="shared" si="127"/>
        <v>--</v>
      </c>
      <c r="CG213" s="92">
        <f>IF(Table645[[#This Row],[Column84]]="--",0,Table645[[#This Row],[Column4]]*Table645[[#This Row],[Column84]])</f>
        <v>0</v>
      </c>
      <c r="CH213" s="226"/>
      <c r="CI213" s="216"/>
      <c r="CJ213" s="91" t="str">
        <f>IF(CI213=0,"--",(Table645[[#This Row],[Column86]]*$CI$4*(IF(W213&lt;0.5001,1,IF(W213&lt;2.0001,2,3)))+CI213/$CI$3)/60/24)</f>
        <v>--</v>
      </c>
      <c r="CK213" s="92">
        <f>IF(Table645[[#This Row],[Column88]]="--",0,Table645[[#This Row],[Column4]]*Table645[[#This Row],[Column88]])</f>
        <v>0</v>
      </c>
      <c r="CL213" s="217"/>
      <c r="CM213" s="91" t="str">
        <f>IF(Table645[[#This Row],[Column87]]=0,"--",CJ213*$CL$3)</f>
        <v>--</v>
      </c>
      <c r="CN213" s="92">
        <f>IF(Table645[[#This Row],[Column91]]="--",0,Table645[[#This Row],[Column4]]*Table645[[#This Row],[Column91]])</f>
        <v>0</v>
      </c>
      <c r="CO213" s="217"/>
      <c r="CP213" s="91" t="str">
        <f>IF(Table645[[#This Row],[Column10]]+Table645[[#This Row],[Column87]]=0, "--", IF($D213="", 1, $D213) * IF($J213="", 1, $J213) * $CO$3 * $CO$4 * IF(Table645[[#This Row],[Column95]]="", 1, Table645[[#This Row],[Column95]]) / (24 * 60))</f>
        <v>--</v>
      </c>
      <c r="CQ213" s="164"/>
      <c r="CR213" s="92">
        <f>IF(Table645[[#This Row],[Column94]]="--",0,Table645[[#This Row],[Column4]]*Table645[[#This Row],[Column94]])</f>
        <v>0</v>
      </c>
      <c r="CS213" s="218" t="str">
        <f>IF(Table645[[#This Row],[Column87]]="","",Table645[[#This Row],[Column87]])</f>
        <v/>
      </c>
      <c r="CT213" s="91" t="str">
        <f>IF(Table645[[#This Row],[Column97]]="","--",Table645[[#This Row],[Column97]]/$CS$3/60/24)</f>
        <v>--</v>
      </c>
      <c r="CU213" s="92">
        <f>IF(Table645[[#This Row],[Column98]]="--",0,Table645[[#This Row],[Column4]]*Table645[[#This Row],[Column98]])</f>
        <v>0</v>
      </c>
      <c r="CV213" s="93"/>
      <c r="CW213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13" s="91" t="str">
        <f>IF(OR(Table645[[#This Row],[Column74]]&gt;0,Table645[[#This Row],[Column87]]&gt;0),(Table645[[#This Row],[Column73]]+Table645[[#This Row],[Column86]]+1)*$CW$3/60/24,"--")</f>
        <v>--</v>
      </c>
      <c r="CY213" s="92">
        <f>IF(Table645[[#This Row],[Column102]]="--",0,Table645[[#This Row],[Column4]]*Table645[[#This Row],[Column102]])</f>
        <v>0</v>
      </c>
      <c r="CZ213" s="158" t="str">
        <f t="shared" si="144"/>
        <v>--</v>
      </c>
      <c r="DA213" s="153"/>
      <c r="DB213" s="160">
        <f>IF(Table645[[#This Row],[Column104]]="--",0,Table645[[#This Row],[Column4]]*Table645[[#This Row],[Column104]])</f>
        <v>0</v>
      </c>
      <c r="DC213" s="219"/>
      <c r="DD213" s="220" t="str">
        <f>IF(DC213=0,"--",1/$DC$3*1000/(60*60*24)*Table645[[#This Row],[Column107]])</f>
        <v>--</v>
      </c>
      <c r="DE213" s="160">
        <f>IF(Table645[[#This Row],[Column108]]="--",0,Table645[[#This Row],[Column4]]*Table645[[#This Row],[Column108]])</f>
        <v>0</v>
      </c>
      <c r="DF213" s="101" t="s">
        <v>70</v>
      </c>
      <c r="DG213" s="91" t="str">
        <f t="shared" si="145"/>
        <v>--</v>
      </c>
      <c r="DH213" s="89">
        <f>IF(Table645[[#This Row],[Column111]]="--",0,Table645[[#This Row],[Column4]]*Table645[[#This Row],[Column111]])</f>
        <v>0</v>
      </c>
      <c r="DI213" s="96"/>
      <c r="DJ213" s="96"/>
      <c r="DK213" s="96"/>
      <c r="DL213" s="96"/>
      <c r="DM213" s="96"/>
      <c r="DN213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13" s="89">
        <f>IF(Table645[[#This Row],[Column118]]="--",0,Table645[[#This Row],[Column4]]*Table645[[#This Row],[Column118]])</f>
        <v>0</v>
      </c>
      <c r="DP213" s="96"/>
      <c r="DQ213" s="96"/>
      <c r="DR213" s="91" t="str">
        <f t="shared" si="146"/>
        <v>--</v>
      </c>
      <c r="DS213" s="89">
        <f>IF(Table645[[#This Row],[Column122]]="--",0,Table645[[#This Row],[Column4]]*Table645[[#This Row],[Column122]])</f>
        <v>0</v>
      </c>
      <c r="DT213" t="str">
        <f>IF(Table645[[#This Row],[Column125]]=0,"--",Table645[[#This Row],[Column125]]*Table645[[#This Row],[Column126]]*Table645[[#This Row],[Column127]]/1000000000)</f>
        <v>--</v>
      </c>
      <c r="DU213" s="53"/>
      <c r="DV213" s="53"/>
      <c r="DW213" s="53"/>
      <c r="DX213" s="91" t="str">
        <f t="shared" si="147"/>
        <v>--</v>
      </c>
      <c r="DY213" s="89">
        <f>IF(Table645[[#This Row],[Column128]]="--",0,Table645[[#This Row],[Column4]]*Table645[[#This Row],[Column128]])</f>
        <v>0</v>
      </c>
      <c r="EA213" s="89">
        <f>IF(Table645[[#This Row],[Column128]]="--",0,Table645[[#This Row],[Column4]]*Table645[[#This Row],[Column128]])</f>
        <v>0</v>
      </c>
      <c r="EC213" s="89">
        <f>IF(Table645[[#This Row],[Column128]]="--",0,Table645[[#This Row],[Column4]]*Table645[[#This Row],[Column128]])</f>
        <v>0</v>
      </c>
      <c r="EE213" s="89">
        <f>IF(Table645[[#This Row],[Column128]]="--",0,Table645[[#This Row],[Column4]]*Table645[[#This Row],[Column128]])</f>
        <v>0</v>
      </c>
      <c r="EG213" s="89">
        <f>IF(Table645[[#This Row],[Column128]]="--",0,Table645[[#This Row],[Column4]]*Table645[[#This Row],[Column128]])</f>
        <v>0</v>
      </c>
      <c r="EI213" s="89">
        <f>IF(Table645[[#This Row],[Column128]]="--",0,Table645[[#This Row],[Column4]]*Table645[[#This Row],[Column128]])</f>
        <v>0</v>
      </c>
    </row>
    <row r="214" spans="1:139" x14ac:dyDescent="0.25">
      <c r="A214" s="140"/>
      <c r="B214" s="79"/>
      <c r="C214" s="140"/>
      <c r="D214" s="167"/>
      <c r="E214" s="52"/>
      <c r="F214" s="81"/>
      <c r="G214" s="81"/>
      <c r="H214" s="102" t="str">
        <f t="shared" si="138"/>
        <v>--</v>
      </c>
      <c r="I214" s="100">
        <f>IF(Table645[[#This Row],[Column8]]="--",0,Table645[[#This Row],[Column4]]*Table645[[#This Row],[Column8]])</f>
        <v>0</v>
      </c>
      <c r="J214" s="169"/>
      <c r="K214" s="85">
        <f>Table645[[#This Row],[Column4]]*Table645[[#This Row],[Column10]]</f>
        <v>0</v>
      </c>
      <c r="L214" s="170" t="str">
        <f t="shared" si="139"/>
        <v>--</v>
      </c>
      <c r="M214" s="214">
        <f>IF(Table645[[#This Row],[Column10]]=0,0,Table645[[#This Row],[Column4]]*Table645[[#This Row],[Column12]])</f>
        <v>0</v>
      </c>
      <c r="N214" s="87" t="str">
        <f t="shared" si="140"/>
        <v>--</v>
      </c>
      <c r="O214" s="138"/>
      <c r="AZ214" s="89">
        <f>IF(Table645[[#This Row],[Column14]]="--",0,Table645[[#This Row],[Column4]]*Table645[[#This Row],[Column14]])</f>
        <v>0</v>
      </c>
      <c r="BA214" s="90"/>
      <c r="BB214" s="91" t="str">
        <f>IF(BA214=0,"--",BA214*$BA$3*IF(Table645[[#This Row],[Column5]]&lt;4.1,1,2)/60/24)</f>
        <v>--</v>
      </c>
      <c r="BC214" s="92">
        <f>IF(Table645[[#This Row],[Column54]]="--",0,Table645[[#This Row],[Column4]]*Table645[[#This Row],[Column54]])</f>
        <v>0</v>
      </c>
      <c r="BD214" s="119"/>
      <c r="BE214" s="119"/>
      <c r="BF214" s="119"/>
      <c r="BG214" s="91" t="str">
        <f>IF(BD214+Table645[[#This Row],[Column58]]=0,"--",(BD214*$BF$3*Table645[[#This Row],[Column57]]+Table645[[#This Row],[Column58]]*$BF$4)/60/24)</f>
        <v>--</v>
      </c>
      <c r="BH214" s="92">
        <f>IF(Table645[[#This Row],[Column59]]="--",0,Table645[[#This Row],[Column4]]*Table645[[#This Row],[Column59]])</f>
        <v>0</v>
      </c>
      <c r="BI214" s="119"/>
      <c r="BJ214" s="91" t="str">
        <f t="shared" si="126"/>
        <v>--</v>
      </c>
      <c r="BK214" s="92">
        <f>IF(Table645[[#This Row],[Column62]]="--",0,Table645[[#This Row],[Column4]]*Table645[[#This Row],[Column62]])</f>
        <v>0</v>
      </c>
      <c r="BL214" s="93"/>
      <c r="BM214" s="91" t="str">
        <f t="shared" si="141"/>
        <v>--</v>
      </c>
      <c r="BN214" s="89">
        <f>IF(Table645[[#This Row],[Column65]]="--",0,Table645[[#This Row],[Column4]]*Table645[[#This Row],[Column65]])</f>
        <v>0</v>
      </c>
      <c r="BO214" s="163"/>
      <c r="BP214" s="164" t="str">
        <f t="shared" si="142"/>
        <v>--</v>
      </c>
      <c r="BQ214" s="160">
        <f>IF(Table645[[#This Row],[Column68]]="--",0,Table645[[#This Row],[Column4]]*Table645[[#This Row],[Column68]])</f>
        <v>0</v>
      </c>
      <c r="BR214" s="94"/>
      <c r="BS214" s="91" t="str">
        <f t="shared" si="143"/>
        <v>--</v>
      </c>
      <c r="BT214" s="92">
        <f>IF(Table645[[#This Row],[Column71]]="--",0,Table645[[#This Row],[Column4]]*Table645[[#This Row],[Column71]])</f>
        <v>0</v>
      </c>
      <c r="BU214" s="44"/>
      <c r="BV214" s="90"/>
      <c r="BW214" s="91" t="str">
        <f>IF(BV214=0,"--",(Table645[[#This Row],[Column73]]*$BV$4*(IF(J214&lt;0.5001,1,IF(J214&lt;2.0001,2,3)))+BV214/$BV$3)/60/24)</f>
        <v>--</v>
      </c>
      <c r="BX214" s="92">
        <f>IF(Table645[[#This Row],[Column75]]="--",0,Table645[[#This Row],[Column4]]*Table645[[#This Row],[Column75]])</f>
        <v>0</v>
      </c>
      <c r="BY214" s="95" t="s">
        <v>70</v>
      </c>
      <c r="BZ214" s="91" t="str">
        <f>IF(Table645[[#This Row],[Column74]]=0,"--",BW214*$BY$3)</f>
        <v>--</v>
      </c>
      <c r="CA214" s="89">
        <f>IF(Table645[[#This Row],[Column78]]="--",0,Table645[[#This Row],[Column4]]*Table645[[#This Row],[Column78]])</f>
        <v>0</v>
      </c>
      <c r="CB214" s="95" t="s">
        <v>70</v>
      </c>
      <c r="CC214" s="91" t="str">
        <f>IF(Table645[[#This Row],[Column10]]+Table645[[#This Row],[Column74]]=0,"--",J214*$CB$4*$CB$5/(24*60)+IF(Table645[[#This Row],[Column74]]=0,0,$CB$3*Table645[[#This Row],[Column75]]))</f>
        <v>--</v>
      </c>
      <c r="CD214" s="92">
        <f>IF(Table645[[#This Row],[Column81]]="--",0,Table645[[#This Row],[Column4]]*Table645[[#This Row],[Column81]])</f>
        <v>0</v>
      </c>
      <c r="CE214" s="215"/>
      <c r="CF214" s="91" t="str">
        <f t="shared" si="127"/>
        <v>--</v>
      </c>
      <c r="CG214" s="92">
        <f>IF(Table645[[#This Row],[Column84]]="--",0,Table645[[#This Row],[Column4]]*Table645[[#This Row],[Column84]])</f>
        <v>0</v>
      </c>
      <c r="CH214" s="226"/>
      <c r="CI214" s="216"/>
      <c r="CJ214" s="91" t="str">
        <f>IF(CI214=0,"--",(Table645[[#This Row],[Column86]]*$CI$4*(IF(W214&lt;0.5001,1,IF(W214&lt;2.0001,2,3)))+CI214/$CI$3)/60/24)</f>
        <v>--</v>
      </c>
      <c r="CK214" s="92">
        <f>IF(Table645[[#This Row],[Column88]]="--",0,Table645[[#This Row],[Column4]]*Table645[[#This Row],[Column88]])</f>
        <v>0</v>
      </c>
      <c r="CL214" s="217"/>
      <c r="CM214" s="91" t="str">
        <f>IF(Table645[[#This Row],[Column87]]=0,"--",CJ214*$CL$3)</f>
        <v>--</v>
      </c>
      <c r="CN214" s="92">
        <f>IF(Table645[[#This Row],[Column91]]="--",0,Table645[[#This Row],[Column4]]*Table645[[#This Row],[Column91]])</f>
        <v>0</v>
      </c>
      <c r="CO214" s="217"/>
      <c r="CP214" s="91" t="str">
        <f>IF(Table645[[#This Row],[Column10]]+Table645[[#This Row],[Column87]]=0, "--", IF($D214="", 1, $D214) * IF($J214="", 1, $J214) * $CO$3 * $CO$4 * IF(Table645[[#This Row],[Column95]]="", 1, Table645[[#This Row],[Column95]]) / (24 * 60))</f>
        <v>--</v>
      </c>
      <c r="CQ214" s="164"/>
      <c r="CR214" s="92">
        <f>IF(Table645[[#This Row],[Column94]]="--",0,Table645[[#This Row],[Column4]]*Table645[[#This Row],[Column94]])</f>
        <v>0</v>
      </c>
      <c r="CS214" s="218" t="str">
        <f>IF(Table645[[#This Row],[Column87]]="","",Table645[[#This Row],[Column87]])</f>
        <v/>
      </c>
      <c r="CT214" s="91" t="str">
        <f>IF(Table645[[#This Row],[Column97]]="","--",Table645[[#This Row],[Column97]]/$CS$3/60/24)</f>
        <v>--</v>
      </c>
      <c r="CU214" s="92">
        <f>IF(Table645[[#This Row],[Column98]]="--",0,Table645[[#This Row],[Column4]]*Table645[[#This Row],[Column98]])</f>
        <v>0</v>
      </c>
      <c r="CV214" s="93"/>
      <c r="CW214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14" s="91" t="str">
        <f>IF(OR(Table645[[#This Row],[Column74]]&gt;0,Table645[[#This Row],[Column87]]&gt;0),(Table645[[#This Row],[Column73]]+Table645[[#This Row],[Column86]]+1)*$CW$3/60/24,"--")</f>
        <v>--</v>
      </c>
      <c r="CY214" s="92">
        <f>IF(Table645[[#This Row],[Column102]]="--",0,Table645[[#This Row],[Column4]]*Table645[[#This Row],[Column102]])</f>
        <v>0</v>
      </c>
      <c r="CZ214" s="158" t="str">
        <f t="shared" si="144"/>
        <v>--</v>
      </c>
      <c r="DA214" s="153"/>
      <c r="DB214" s="160">
        <f>IF(Table645[[#This Row],[Column104]]="--",0,Table645[[#This Row],[Column4]]*Table645[[#This Row],[Column104]])</f>
        <v>0</v>
      </c>
      <c r="DC214" s="219"/>
      <c r="DD214" s="220" t="str">
        <f>IF(DC214=0,"--",1/$DC$3*1000/(60*60*24)*Table645[[#This Row],[Column107]])</f>
        <v>--</v>
      </c>
      <c r="DE214" s="160">
        <f>IF(Table645[[#This Row],[Column108]]="--",0,Table645[[#This Row],[Column4]]*Table645[[#This Row],[Column108]])</f>
        <v>0</v>
      </c>
      <c r="DF214" s="101" t="s">
        <v>70</v>
      </c>
      <c r="DG214" s="91" t="str">
        <f t="shared" si="145"/>
        <v>--</v>
      </c>
      <c r="DH214" s="89">
        <f>IF(Table645[[#This Row],[Column111]]="--",0,Table645[[#This Row],[Column4]]*Table645[[#This Row],[Column111]])</f>
        <v>0</v>
      </c>
      <c r="DI214" s="96"/>
      <c r="DJ214" s="96"/>
      <c r="DK214" s="96"/>
      <c r="DL214" s="96"/>
      <c r="DM214" s="96"/>
      <c r="DN214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14" s="89">
        <f>IF(Table645[[#This Row],[Column118]]="--",0,Table645[[#This Row],[Column4]]*Table645[[#This Row],[Column118]])</f>
        <v>0</v>
      </c>
      <c r="DP214" s="96"/>
      <c r="DQ214" s="96"/>
      <c r="DR214" s="91" t="str">
        <f t="shared" si="146"/>
        <v>--</v>
      </c>
      <c r="DS214" s="89">
        <f>IF(Table645[[#This Row],[Column122]]="--",0,Table645[[#This Row],[Column4]]*Table645[[#This Row],[Column122]])</f>
        <v>0</v>
      </c>
      <c r="DT214" t="str">
        <f>IF(Table645[[#This Row],[Column125]]=0,"--",Table645[[#This Row],[Column125]]*Table645[[#This Row],[Column126]]*Table645[[#This Row],[Column127]]/1000000000)</f>
        <v>--</v>
      </c>
      <c r="DU214" s="53"/>
      <c r="DV214" s="53"/>
      <c r="DW214" s="53"/>
      <c r="DX214" s="91" t="str">
        <f t="shared" si="147"/>
        <v>--</v>
      </c>
      <c r="DY214" s="89">
        <f>IF(Table645[[#This Row],[Column128]]="--",0,Table645[[#This Row],[Column4]]*Table645[[#This Row],[Column128]])</f>
        <v>0</v>
      </c>
      <c r="EA214" s="89">
        <f>IF(Table645[[#This Row],[Column128]]="--",0,Table645[[#This Row],[Column4]]*Table645[[#This Row],[Column128]])</f>
        <v>0</v>
      </c>
      <c r="EC214" s="89">
        <f>IF(Table645[[#This Row],[Column128]]="--",0,Table645[[#This Row],[Column4]]*Table645[[#This Row],[Column128]])</f>
        <v>0</v>
      </c>
      <c r="EE214" s="89">
        <f>IF(Table645[[#This Row],[Column128]]="--",0,Table645[[#This Row],[Column4]]*Table645[[#This Row],[Column128]])</f>
        <v>0</v>
      </c>
      <c r="EG214" s="89">
        <f>IF(Table645[[#This Row],[Column128]]="--",0,Table645[[#This Row],[Column4]]*Table645[[#This Row],[Column128]])</f>
        <v>0</v>
      </c>
      <c r="EI214" s="89">
        <f>IF(Table645[[#This Row],[Column128]]="--",0,Table645[[#This Row],[Column4]]*Table645[[#This Row],[Column128]])</f>
        <v>0</v>
      </c>
    </row>
    <row r="215" spans="1:139" x14ac:dyDescent="0.25">
      <c r="A215" s="140"/>
      <c r="B215" s="79"/>
      <c r="C215" s="140"/>
      <c r="D215" s="167"/>
      <c r="E215" s="52"/>
      <c r="F215" s="81"/>
      <c r="G215" s="81"/>
      <c r="H215" s="102" t="str">
        <f t="shared" si="138"/>
        <v>--</v>
      </c>
      <c r="I215" s="100">
        <f>IF(Table645[[#This Row],[Column8]]="--",0,Table645[[#This Row],[Column4]]*Table645[[#This Row],[Column8]])</f>
        <v>0</v>
      </c>
      <c r="J215" s="169"/>
      <c r="K215" s="85">
        <f>Table645[[#This Row],[Column4]]*Table645[[#This Row],[Column10]]</f>
        <v>0</v>
      </c>
      <c r="L215" s="170" t="str">
        <f t="shared" si="139"/>
        <v>--</v>
      </c>
      <c r="M215" s="214">
        <f>IF(Table645[[#This Row],[Column10]]=0,0,Table645[[#This Row],[Column4]]*Table645[[#This Row],[Column12]])</f>
        <v>0</v>
      </c>
      <c r="N215" s="87" t="str">
        <f t="shared" si="140"/>
        <v>--</v>
      </c>
      <c r="O215" s="138"/>
      <c r="AZ215" s="89">
        <f>IF(Table645[[#This Row],[Column14]]="--",0,Table645[[#This Row],[Column4]]*Table645[[#This Row],[Column14]])</f>
        <v>0</v>
      </c>
      <c r="BA215" s="90"/>
      <c r="BB215" s="91" t="str">
        <f>IF(BA215=0,"--",BA215*$BA$3*IF(Table645[[#This Row],[Column5]]&lt;4.1,1,2)/60/24)</f>
        <v>--</v>
      </c>
      <c r="BC215" s="92">
        <f>IF(Table645[[#This Row],[Column54]]="--",0,Table645[[#This Row],[Column4]]*Table645[[#This Row],[Column54]])</f>
        <v>0</v>
      </c>
      <c r="BD215" s="119"/>
      <c r="BE215" s="119"/>
      <c r="BF215" s="119"/>
      <c r="BG215" s="91" t="str">
        <f>IF(BD215+Table645[[#This Row],[Column58]]=0,"--",(BD215*$BF$3*Table645[[#This Row],[Column57]]+Table645[[#This Row],[Column58]]*$BF$4)/60/24)</f>
        <v>--</v>
      </c>
      <c r="BH215" s="92">
        <f>IF(Table645[[#This Row],[Column59]]="--",0,Table645[[#This Row],[Column4]]*Table645[[#This Row],[Column59]])</f>
        <v>0</v>
      </c>
      <c r="BI215" s="119"/>
      <c r="BJ215" s="91" t="str">
        <f t="shared" si="126"/>
        <v>--</v>
      </c>
      <c r="BK215" s="92">
        <f>IF(Table645[[#This Row],[Column62]]="--",0,Table645[[#This Row],[Column4]]*Table645[[#This Row],[Column62]])</f>
        <v>0</v>
      </c>
      <c r="BL215" s="93"/>
      <c r="BM215" s="91" t="str">
        <f t="shared" si="141"/>
        <v>--</v>
      </c>
      <c r="BN215" s="89">
        <f>IF(Table645[[#This Row],[Column65]]="--",0,Table645[[#This Row],[Column4]]*Table645[[#This Row],[Column65]])</f>
        <v>0</v>
      </c>
      <c r="BO215" s="163"/>
      <c r="BP215" s="164" t="str">
        <f t="shared" si="142"/>
        <v>--</v>
      </c>
      <c r="BQ215" s="160">
        <f>IF(Table645[[#This Row],[Column68]]="--",0,Table645[[#This Row],[Column4]]*Table645[[#This Row],[Column68]])</f>
        <v>0</v>
      </c>
      <c r="BR215" s="94"/>
      <c r="BS215" s="91" t="str">
        <f t="shared" si="143"/>
        <v>--</v>
      </c>
      <c r="BT215" s="92">
        <f>IF(Table645[[#This Row],[Column71]]="--",0,Table645[[#This Row],[Column4]]*Table645[[#This Row],[Column71]])</f>
        <v>0</v>
      </c>
      <c r="BU215" s="44"/>
      <c r="BV215" s="90"/>
      <c r="BW215" s="91" t="str">
        <f>IF(BV215=0,"--",(Table645[[#This Row],[Column73]]*$BV$4*(IF(J215&lt;0.5001,1,IF(J215&lt;2.0001,2,3)))+BV215/$BV$3)/60/24)</f>
        <v>--</v>
      </c>
      <c r="BX215" s="92">
        <f>IF(Table645[[#This Row],[Column75]]="--",0,Table645[[#This Row],[Column4]]*Table645[[#This Row],[Column75]])</f>
        <v>0</v>
      </c>
      <c r="BY215" s="95" t="s">
        <v>70</v>
      </c>
      <c r="BZ215" s="91" t="str">
        <f>IF(Table645[[#This Row],[Column74]]=0,"--",BW215*$BY$3)</f>
        <v>--</v>
      </c>
      <c r="CA215" s="89">
        <f>IF(Table645[[#This Row],[Column78]]="--",0,Table645[[#This Row],[Column4]]*Table645[[#This Row],[Column78]])</f>
        <v>0</v>
      </c>
      <c r="CB215" s="95" t="s">
        <v>70</v>
      </c>
      <c r="CC215" s="91" t="str">
        <f>IF(Table645[[#This Row],[Column10]]+Table645[[#This Row],[Column74]]=0,"--",J215*$CB$4*$CB$5/(24*60)+IF(Table645[[#This Row],[Column74]]=0,0,$CB$3*Table645[[#This Row],[Column75]]))</f>
        <v>--</v>
      </c>
      <c r="CD215" s="92">
        <f>IF(Table645[[#This Row],[Column81]]="--",0,Table645[[#This Row],[Column4]]*Table645[[#This Row],[Column81]])</f>
        <v>0</v>
      </c>
      <c r="CE215" s="215"/>
      <c r="CF215" s="91" t="str">
        <f t="shared" si="127"/>
        <v>--</v>
      </c>
      <c r="CG215" s="92">
        <f>IF(Table645[[#This Row],[Column84]]="--",0,Table645[[#This Row],[Column4]]*Table645[[#This Row],[Column84]])</f>
        <v>0</v>
      </c>
      <c r="CH215" s="226"/>
      <c r="CI215" s="216"/>
      <c r="CJ215" s="91" t="str">
        <f>IF(CI215=0,"--",(Table645[[#This Row],[Column86]]*$CI$4*(IF(W215&lt;0.5001,1,IF(W215&lt;2.0001,2,3)))+CI215/$CI$3)/60/24)</f>
        <v>--</v>
      </c>
      <c r="CK215" s="92">
        <f>IF(Table645[[#This Row],[Column88]]="--",0,Table645[[#This Row],[Column4]]*Table645[[#This Row],[Column88]])</f>
        <v>0</v>
      </c>
      <c r="CL215" s="217"/>
      <c r="CM215" s="91" t="str">
        <f>IF(Table645[[#This Row],[Column87]]=0,"--",CJ215*$CL$3)</f>
        <v>--</v>
      </c>
      <c r="CN215" s="92">
        <f>IF(Table645[[#This Row],[Column91]]="--",0,Table645[[#This Row],[Column4]]*Table645[[#This Row],[Column91]])</f>
        <v>0</v>
      </c>
      <c r="CO215" s="217"/>
      <c r="CP215" s="91" t="str">
        <f>IF(Table645[[#This Row],[Column10]]+Table645[[#This Row],[Column87]]=0, "--", IF($D215="", 1, $D215) * IF($J215="", 1, $J215) * $CO$3 * $CO$4 * IF(Table645[[#This Row],[Column95]]="", 1, Table645[[#This Row],[Column95]]) / (24 * 60))</f>
        <v>--</v>
      </c>
      <c r="CQ215" s="164"/>
      <c r="CR215" s="92">
        <f>IF(Table645[[#This Row],[Column94]]="--",0,Table645[[#This Row],[Column4]]*Table645[[#This Row],[Column94]])</f>
        <v>0</v>
      </c>
      <c r="CS215" s="218" t="str">
        <f>IF(Table645[[#This Row],[Column87]]="","",Table645[[#This Row],[Column87]])</f>
        <v/>
      </c>
      <c r="CT215" s="91" t="str">
        <f>IF(Table645[[#This Row],[Column97]]="","--",Table645[[#This Row],[Column97]]/$CS$3/60/24)</f>
        <v>--</v>
      </c>
      <c r="CU215" s="92">
        <f>IF(Table645[[#This Row],[Column98]]="--",0,Table645[[#This Row],[Column4]]*Table645[[#This Row],[Column98]])</f>
        <v>0</v>
      </c>
      <c r="CV215" s="93"/>
      <c r="CW215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15" s="91" t="str">
        <f>IF(OR(Table645[[#This Row],[Column74]]&gt;0,Table645[[#This Row],[Column87]]&gt;0),(Table645[[#This Row],[Column73]]+Table645[[#This Row],[Column86]]+1)*$CW$3/60/24,"--")</f>
        <v>--</v>
      </c>
      <c r="CY215" s="92">
        <f>IF(Table645[[#This Row],[Column102]]="--",0,Table645[[#This Row],[Column4]]*Table645[[#This Row],[Column102]])</f>
        <v>0</v>
      </c>
      <c r="CZ215" s="158" t="str">
        <f t="shared" si="144"/>
        <v>--</v>
      </c>
      <c r="DA215" s="153"/>
      <c r="DB215" s="160">
        <f>IF(Table645[[#This Row],[Column104]]="--",0,Table645[[#This Row],[Column4]]*Table645[[#This Row],[Column104]])</f>
        <v>0</v>
      </c>
      <c r="DC215" s="219"/>
      <c r="DD215" s="220" t="str">
        <f>IF(DC215=0,"--",1/$DC$3*1000/(60*60*24)*Table645[[#This Row],[Column107]])</f>
        <v>--</v>
      </c>
      <c r="DE215" s="160">
        <f>IF(Table645[[#This Row],[Column108]]="--",0,Table645[[#This Row],[Column4]]*Table645[[#This Row],[Column108]])</f>
        <v>0</v>
      </c>
      <c r="DF215" s="101" t="s">
        <v>70</v>
      </c>
      <c r="DG215" s="91" t="str">
        <f t="shared" si="145"/>
        <v>--</v>
      </c>
      <c r="DH215" s="89">
        <f>IF(Table645[[#This Row],[Column111]]="--",0,Table645[[#This Row],[Column4]]*Table645[[#This Row],[Column111]])</f>
        <v>0</v>
      </c>
      <c r="DI215" s="96"/>
      <c r="DJ215" s="96"/>
      <c r="DK215" s="96"/>
      <c r="DL215" s="96"/>
      <c r="DM215" s="96"/>
      <c r="DN215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15" s="89">
        <f>IF(Table645[[#This Row],[Column118]]="--",0,Table645[[#This Row],[Column4]]*Table645[[#This Row],[Column118]])</f>
        <v>0</v>
      </c>
      <c r="DP215" s="96"/>
      <c r="DQ215" s="96"/>
      <c r="DR215" s="91" t="str">
        <f t="shared" si="146"/>
        <v>--</v>
      </c>
      <c r="DS215" s="89">
        <f>IF(Table645[[#This Row],[Column122]]="--",0,Table645[[#This Row],[Column4]]*Table645[[#This Row],[Column122]])</f>
        <v>0</v>
      </c>
      <c r="DT215" t="str">
        <f>IF(Table645[[#This Row],[Column125]]=0,"--",Table645[[#This Row],[Column125]]*Table645[[#This Row],[Column126]]*Table645[[#This Row],[Column127]]/1000000000)</f>
        <v>--</v>
      </c>
      <c r="DU215" s="53"/>
      <c r="DV215" s="53"/>
      <c r="DW215" s="53"/>
      <c r="DX215" s="91" t="str">
        <f t="shared" si="147"/>
        <v>--</v>
      </c>
      <c r="DY215" s="89">
        <f>IF(Table645[[#This Row],[Column128]]="--",0,Table645[[#This Row],[Column4]]*Table645[[#This Row],[Column128]])</f>
        <v>0</v>
      </c>
      <c r="EA215" s="89">
        <f>IF(Table645[[#This Row],[Column128]]="--",0,Table645[[#This Row],[Column4]]*Table645[[#This Row],[Column128]])</f>
        <v>0</v>
      </c>
      <c r="EC215" s="89">
        <f>IF(Table645[[#This Row],[Column128]]="--",0,Table645[[#This Row],[Column4]]*Table645[[#This Row],[Column128]])</f>
        <v>0</v>
      </c>
      <c r="EE215" s="89">
        <f>IF(Table645[[#This Row],[Column128]]="--",0,Table645[[#This Row],[Column4]]*Table645[[#This Row],[Column128]])</f>
        <v>0</v>
      </c>
      <c r="EG215" s="89">
        <f>IF(Table645[[#This Row],[Column128]]="--",0,Table645[[#This Row],[Column4]]*Table645[[#This Row],[Column128]])</f>
        <v>0</v>
      </c>
      <c r="EI215" s="89">
        <f>IF(Table645[[#This Row],[Column128]]="--",0,Table645[[#This Row],[Column4]]*Table645[[#This Row],[Column128]])</f>
        <v>0</v>
      </c>
    </row>
    <row r="216" spans="1:139" x14ac:dyDescent="0.25">
      <c r="A216" s="140"/>
      <c r="B216" s="79"/>
      <c r="C216" s="140"/>
      <c r="D216" s="167"/>
      <c r="E216" s="52"/>
      <c r="F216" s="81"/>
      <c r="G216" s="81"/>
      <c r="H216" s="102" t="str">
        <f t="shared" si="138"/>
        <v>--</v>
      </c>
      <c r="I216" s="100">
        <f>IF(Table645[[#This Row],[Column8]]="--",0,Table645[[#This Row],[Column4]]*Table645[[#This Row],[Column8]])</f>
        <v>0</v>
      </c>
      <c r="J216" s="169"/>
      <c r="K216" s="85">
        <f>Table645[[#This Row],[Column4]]*Table645[[#This Row],[Column10]]</f>
        <v>0</v>
      </c>
      <c r="L216" s="170" t="str">
        <f t="shared" si="139"/>
        <v>--</v>
      </c>
      <c r="M216" s="214">
        <f>IF(Table645[[#This Row],[Column10]]=0,0,Table645[[#This Row],[Column4]]*Table645[[#This Row],[Column12]])</f>
        <v>0</v>
      </c>
      <c r="N216" s="87" t="str">
        <f t="shared" si="140"/>
        <v>--</v>
      </c>
      <c r="O216" s="138"/>
      <c r="AZ216" s="89">
        <f>IF(Table645[[#This Row],[Column14]]="--",0,Table645[[#This Row],[Column4]]*Table645[[#This Row],[Column14]])</f>
        <v>0</v>
      </c>
      <c r="BA216" s="90"/>
      <c r="BB216" s="91" t="str">
        <f>IF(BA216=0,"--",BA216*$BA$3*IF(Table645[[#This Row],[Column5]]&lt;4.1,1,2)/60/24)</f>
        <v>--</v>
      </c>
      <c r="BC216" s="92">
        <f>IF(Table645[[#This Row],[Column54]]="--",0,Table645[[#This Row],[Column4]]*Table645[[#This Row],[Column54]])</f>
        <v>0</v>
      </c>
      <c r="BD216" s="119"/>
      <c r="BE216" s="119"/>
      <c r="BF216" s="119"/>
      <c r="BG216" s="91" t="str">
        <f>IF(BD216+Table645[[#This Row],[Column58]]=0,"--",(BD216*$BF$3*Table645[[#This Row],[Column57]]+Table645[[#This Row],[Column58]]*$BF$4)/60/24)</f>
        <v>--</v>
      </c>
      <c r="BH216" s="92">
        <f>IF(Table645[[#This Row],[Column59]]="--",0,Table645[[#This Row],[Column4]]*Table645[[#This Row],[Column59]])</f>
        <v>0</v>
      </c>
      <c r="BI216" s="119"/>
      <c r="BJ216" s="91" t="str">
        <f t="shared" si="126"/>
        <v>--</v>
      </c>
      <c r="BK216" s="92">
        <f>IF(Table645[[#This Row],[Column62]]="--",0,Table645[[#This Row],[Column4]]*Table645[[#This Row],[Column62]])</f>
        <v>0</v>
      </c>
      <c r="BL216" s="93"/>
      <c r="BM216" s="91" t="str">
        <f t="shared" si="141"/>
        <v>--</v>
      </c>
      <c r="BN216" s="89">
        <f>IF(Table645[[#This Row],[Column65]]="--",0,Table645[[#This Row],[Column4]]*Table645[[#This Row],[Column65]])</f>
        <v>0</v>
      </c>
      <c r="BO216" s="163"/>
      <c r="BP216" s="164" t="str">
        <f t="shared" si="142"/>
        <v>--</v>
      </c>
      <c r="BQ216" s="160">
        <f>IF(Table645[[#This Row],[Column68]]="--",0,Table645[[#This Row],[Column4]]*Table645[[#This Row],[Column68]])</f>
        <v>0</v>
      </c>
      <c r="BR216" s="94"/>
      <c r="BS216" s="91" t="str">
        <f t="shared" si="143"/>
        <v>--</v>
      </c>
      <c r="BT216" s="92">
        <f>IF(Table645[[#This Row],[Column71]]="--",0,Table645[[#This Row],[Column4]]*Table645[[#This Row],[Column71]])</f>
        <v>0</v>
      </c>
      <c r="BU216" s="44"/>
      <c r="BV216" s="90"/>
      <c r="BW216" s="91" t="str">
        <f>IF(BV216=0,"--",(Table645[[#This Row],[Column73]]*$BV$4*(IF(J216&lt;0.5001,1,IF(J216&lt;2.0001,2,3)))+BV216/$BV$3)/60/24)</f>
        <v>--</v>
      </c>
      <c r="BX216" s="92">
        <f>IF(Table645[[#This Row],[Column75]]="--",0,Table645[[#This Row],[Column4]]*Table645[[#This Row],[Column75]])</f>
        <v>0</v>
      </c>
      <c r="BY216" s="95" t="s">
        <v>70</v>
      </c>
      <c r="BZ216" s="91" t="str">
        <f>IF(Table645[[#This Row],[Column74]]=0,"--",BW216*$BY$3)</f>
        <v>--</v>
      </c>
      <c r="CA216" s="89">
        <f>IF(Table645[[#This Row],[Column78]]="--",0,Table645[[#This Row],[Column4]]*Table645[[#This Row],[Column78]])</f>
        <v>0</v>
      </c>
      <c r="CB216" s="95" t="s">
        <v>70</v>
      </c>
      <c r="CC216" s="91" t="str">
        <f>IF(Table645[[#This Row],[Column10]]+Table645[[#This Row],[Column74]]=0,"--",J216*$CB$4*$CB$5/(24*60)+IF(Table645[[#This Row],[Column74]]=0,0,$CB$3*Table645[[#This Row],[Column75]]))</f>
        <v>--</v>
      </c>
      <c r="CD216" s="92">
        <f>IF(Table645[[#This Row],[Column81]]="--",0,Table645[[#This Row],[Column4]]*Table645[[#This Row],[Column81]])</f>
        <v>0</v>
      </c>
      <c r="CE216" s="215"/>
      <c r="CF216" s="91" t="str">
        <f t="shared" si="127"/>
        <v>--</v>
      </c>
      <c r="CG216" s="92">
        <f>IF(Table645[[#This Row],[Column84]]="--",0,Table645[[#This Row],[Column4]]*Table645[[#This Row],[Column84]])</f>
        <v>0</v>
      </c>
      <c r="CH216" s="226"/>
      <c r="CI216" s="216"/>
      <c r="CJ216" s="91" t="str">
        <f>IF(CI216=0,"--",(Table645[[#This Row],[Column86]]*$CI$4*(IF(W216&lt;0.5001,1,IF(W216&lt;2.0001,2,3)))+CI216/$CI$3)/60/24)</f>
        <v>--</v>
      </c>
      <c r="CK216" s="92">
        <f>IF(Table645[[#This Row],[Column88]]="--",0,Table645[[#This Row],[Column4]]*Table645[[#This Row],[Column88]])</f>
        <v>0</v>
      </c>
      <c r="CL216" s="217"/>
      <c r="CM216" s="91" t="str">
        <f>IF(Table645[[#This Row],[Column87]]=0,"--",CJ216*$CL$3)</f>
        <v>--</v>
      </c>
      <c r="CN216" s="92">
        <f>IF(Table645[[#This Row],[Column91]]="--",0,Table645[[#This Row],[Column4]]*Table645[[#This Row],[Column91]])</f>
        <v>0</v>
      </c>
      <c r="CO216" s="217"/>
      <c r="CP216" s="91" t="str">
        <f>IF(Table645[[#This Row],[Column10]]+Table645[[#This Row],[Column87]]=0, "--", IF($D216="", 1, $D216) * IF($J216="", 1, $J216) * $CO$3 * $CO$4 * IF(Table645[[#This Row],[Column95]]="", 1, Table645[[#This Row],[Column95]]) / (24 * 60))</f>
        <v>--</v>
      </c>
      <c r="CQ216" s="164"/>
      <c r="CR216" s="92">
        <f>IF(Table645[[#This Row],[Column94]]="--",0,Table645[[#This Row],[Column4]]*Table645[[#This Row],[Column94]])</f>
        <v>0</v>
      </c>
      <c r="CS216" s="218" t="str">
        <f>IF(Table645[[#This Row],[Column87]]="","",Table645[[#This Row],[Column87]])</f>
        <v/>
      </c>
      <c r="CT216" s="91" t="str">
        <f>IF(Table645[[#This Row],[Column97]]="","--",Table645[[#This Row],[Column97]]/$CS$3/60/24)</f>
        <v>--</v>
      </c>
      <c r="CU216" s="92">
        <f>IF(Table645[[#This Row],[Column98]]="--",0,Table645[[#This Row],[Column4]]*Table645[[#This Row],[Column98]])</f>
        <v>0</v>
      </c>
      <c r="CV216" s="93"/>
      <c r="CW216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16" s="91" t="str">
        <f>IF(OR(Table645[[#This Row],[Column74]]&gt;0,Table645[[#This Row],[Column87]]&gt;0),(Table645[[#This Row],[Column73]]+Table645[[#This Row],[Column86]]+1)*$CW$3/60/24,"--")</f>
        <v>--</v>
      </c>
      <c r="CY216" s="92">
        <f>IF(Table645[[#This Row],[Column102]]="--",0,Table645[[#This Row],[Column4]]*Table645[[#This Row],[Column102]])</f>
        <v>0</v>
      </c>
      <c r="CZ216" s="158" t="str">
        <f t="shared" si="144"/>
        <v>--</v>
      </c>
      <c r="DA216" s="153"/>
      <c r="DB216" s="160">
        <f>IF(Table645[[#This Row],[Column104]]="--",0,Table645[[#This Row],[Column4]]*Table645[[#This Row],[Column104]])</f>
        <v>0</v>
      </c>
      <c r="DC216" s="219"/>
      <c r="DD216" s="220" t="str">
        <f>IF(DC216=0,"--",1/$DC$3*1000/(60*60*24)*Table645[[#This Row],[Column107]])</f>
        <v>--</v>
      </c>
      <c r="DE216" s="160">
        <f>IF(Table645[[#This Row],[Column108]]="--",0,Table645[[#This Row],[Column4]]*Table645[[#This Row],[Column108]])</f>
        <v>0</v>
      </c>
      <c r="DF216" s="101" t="s">
        <v>70</v>
      </c>
      <c r="DG216" s="91" t="str">
        <f t="shared" si="145"/>
        <v>--</v>
      </c>
      <c r="DH216" s="89">
        <f>IF(Table645[[#This Row],[Column111]]="--",0,Table645[[#This Row],[Column4]]*Table645[[#This Row],[Column111]])</f>
        <v>0</v>
      </c>
      <c r="DI216" s="96"/>
      <c r="DJ216" s="96"/>
      <c r="DK216" s="96"/>
      <c r="DL216" s="96"/>
      <c r="DM216" s="96"/>
      <c r="DN216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16" s="89">
        <f>IF(Table645[[#This Row],[Column118]]="--",0,Table645[[#This Row],[Column4]]*Table645[[#This Row],[Column118]])</f>
        <v>0</v>
      </c>
      <c r="DP216" s="96"/>
      <c r="DQ216" s="96"/>
      <c r="DR216" s="91" t="str">
        <f t="shared" si="146"/>
        <v>--</v>
      </c>
      <c r="DS216" s="89">
        <f>IF(Table645[[#This Row],[Column122]]="--",0,Table645[[#This Row],[Column4]]*Table645[[#This Row],[Column122]])</f>
        <v>0</v>
      </c>
      <c r="DT216" t="str">
        <f>IF(Table645[[#This Row],[Column125]]=0,"--",Table645[[#This Row],[Column125]]*Table645[[#This Row],[Column126]]*Table645[[#This Row],[Column127]]/1000000000)</f>
        <v>--</v>
      </c>
      <c r="DU216" s="53"/>
      <c r="DV216" s="53"/>
      <c r="DW216" s="53"/>
      <c r="DX216" s="91" t="str">
        <f t="shared" si="147"/>
        <v>--</v>
      </c>
      <c r="DY216" s="89">
        <f>IF(Table645[[#This Row],[Column128]]="--",0,Table645[[#This Row],[Column4]]*Table645[[#This Row],[Column128]])</f>
        <v>0</v>
      </c>
      <c r="EA216" s="89">
        <f>IF(Table645[[#This Row],[Column128]]="--",0,Table645[[#This Row],[Column4]]*Table645[[#This Row],[Column128]])</f>
        <v>0</v>
      </c>
      <c r="EC216" s="89">
        <f>IF(Table645[[#This Row],[Column128]]="--",0,Table645[[#This Row],[Column4]]*Table645[[#This Row],[Column128]])</f>
        <v>0</v>
      </c>
      <c r="EE216" s="89">
        <f>IF(Table645[[#This Row],[Column128]]="--",0,Table645[[#This Row],[Column4]]*Table645[[#This Row],[Column128]])</f>
        <v>0</v>
      </c>
      <c r="EG216" s="89">
        <f>IF(Table645[[#This Row],[Column128]]="--",0,Table645[[#This Row],[Column4]]*Table645[[#This Row],[Column128]])</f>
        <v>0</v>
      </c>
      <c r="EI216" s="89">
        <f>IF(Table645[[#This Row],[Column128]]="--",0,Table645[[#This Row],[Column4]]*Table645[[#This Row],[Column128]])</f>
        <v>0</v>
      </c>
    </row>
    <row r="217" spans="1:139" x14ac:dyDescent="0.25">
      <c r="A217" s="140"/>
      <c r="B217" s="79"/>
      <c r="C217" s="140"/>
      <c r="D217" s="167"/>
      <c r="E217" s="52"/>
      <c r="F217" s="81"/>
      <c r="G217" s="81"/>
      <c r="H217" s="102" t="str">
        <f t="shared" si="138"/>
        <v>--</v>
      </c>
      <c r="I217" s="100">
        <f>IF(Table645[[#This Row],[Column8]]="--",0,Table645[[#This Row],[Column4]]*Table645[[#This Row],[Column8]])</f>
        <v>0</v>
      </c>
      <c r="J217" s="169"/>
      <c r="K217" s="85">
        <f>Table645[[#This Row],[Column4]]*Table645[[#This Row],[Column10]]</f>
        <v>0</v>
      </c>
      <c r="L217" s="170" t="str">
        <f t="shared" si="139"/>
        <v>--</v>
      </c>
      <c r="M217" s="214">
        <f>IF(Table645[[#This Row],[Column10]]=0,0,Table645[[#This Row],[Column4]]*Table645[[#This Row],[Column12]])</f>
        <v>0</v>
      </c>
      <c r="N217" s="87" t="str">
        <f t="shared" si="140"/>
        <v>--</v>
      </c>
      <c r="O217" s="138"/>
      <c r="AZ217" s="89">
        <f>IF(Table645[[#This Row],[Column14]]="--",0,Table645[[#This Row],[Column4]]*Table645[[#This Row],[Column14]])</f>
        <v>0</v>
      </c>
      <c r="BA217" s="90"/>
      <c r="BB217" s="91" t="str">
        <f>IF(BA217=0,"--",BA217*$BA$3*IF(Table645[[#This Row],[Column5]]&lt;4.1,1,2)/60/24)</f>
        <v>--</v>
      </c>
      <c r="BC217" s="92">
        <f>IF(Table645[[#This Row],[Column54]]="--",0,Table645[[#This Row],[Column4]]*Table645[[#This Row],[Column54]])</f>
        <v>0</v>
      </c>
      <c r="BD217" s="119"/>
      <c r="BE217" s="119"/>
      <c r="BF217" s="119"/>
      <c r="BG217" s="91" t="str">
        <f>IF(BD217+Table645[[#This Row],[Column58]]=0,"--",(BD217*$BF$3*Table645[[#This Row],[Column57]]+Table645[[#This Row],[Column58]]*$BF$4)/60/24)</f>
        <v>--</v>
      </c>
      <c r="BH217" s="92">
        <f>IF(Table645[[#This Row],[Column59]]="--",0,Table645[[#This Row],[Column4]]*Table645[[#This Row],[Column59]])</f>
        <v>0</v>
      </c>
      <c r="BI217" s="119"/>
      <c r="BJ217" s="91" t="str">
        <f t="shared" si="126"/>
        <v>--</v>
      </c>
      <c r="BK217" s="92">
        <f>IF(Table645[[#This Row],[Column62]]="--",0,Table645[[#This Row],[Column4]]*Table645[[#This Row],[Column62]])</f>
        <v>0</v>
      </c>
      <c r="BL217" s="93"/>
      <c r="BM217" s="91" t="str">
        <f t="shared" si="141"/>
        <v>--</v>
      </c>
      <c r="BN217" s="89">
        <f>IF(Table645[[#This Row],[Column65]]="--",0,Table645[[#This Row],[Column4]]*Table645[[#This Row],[Column65]])</f>
        <v>0</v>
      </c>
      <c r="BO217" s="163"/>
      <c r="BP217" s="164" t="str">
        <f t="shared" si="142"/>
        <v>--</v>
      </c>
      <c r="BQ217" s="160">
        <f>IF(Table645[[#This Row],[Column68]]="--",0,Table645[[#This Row],[Column4]]*Table645[[#This Row],[Column68]])</f>
        <v>0</v>
      </c>
      <c r="BR217" s="94"/>
      <c r="BS217" s="91" t="str">
        <f t="shared" si="143"/>
        <v>--</v>
      </c>
      <c r="BT217" s="92">
        <f>IF(Table645[[#This Row],[Column71]]="--",0,Table645[[#This Row],[Column4]]*Table645[[#This Row],[Column71]])</f>
        <v>0</v>
      </c>
      <c r="BU217" s="44"/>
      <c r="BV217" s="90"/>
      <c r="BW217" s="91" t="str">
        <f>IF(BV217=0,"--",(Table645[[#This Row],[Column73]]*$BV$4*(IF(J217&lt;0.5001,1,IF(J217&lt;2.0001,2,3)))+BV217/$BV$3)/60/24)</f>
        <v>--</v>
      </c>
      <c r="BX217" s="92">
        <f>IF(Table645[[#This Row],[Column75]]="--",0,Table645[[#This Row],[Column4]]*Table645[[#This Row],[Column75]])</f>
        <v>0</v>
      </c>
      <c r="BY217" s="95" t="s">
        <v>70</v>
      </c>
      <c r="BZ217" s="91" t="str">
        <f>IF(Table645[[#This Row],[Column74]]=0,"--",BW217*$BY$3)</f>
        <v>--</v>
      </c>
      <c r="CA217" s="89">
        <f>IF(Table645[[#This Row],[Column78]]="--",0,Table645[[#This Row],[Column4]]*Table645[[#This Row],[Column78]])</f>
        <v>0</v>
      </c>
      <c r="CB217" s="95" t="s">
        <v>70</v>
      </c>
      <c r="CC217" s="91" t="str">
        <f>IF(Table645[[#This Row],[Column10]]+Table645[[#This Row],[Column74]]=0,"--",J217*$CB$4*$CB$5/(24*60)+IF(Table645[[#This Row],[Column74]]=0,0,$CB$3*Table645[[#This Row],[Column75]]))</f>
        <v>--</v>
      </c>
      <c r="CD217" s="92">
        <f>IF(Table645[[#This Row],[Column81]]="--",0,Table645[[#This Row],[Column4]]*Table645[[#This Row],[Column81]])</f>
        <v>0</v>
      </c>
      <c r="CE217" s="215"/>
      <c r="CF217" s="91" t="str">
        <f t="shared" si="127"/>
        <v>--</v>
      </c>
      <c r="CG217" s="92">
        <f>IF(Table645[[#This Row],[Column84]]="--",0,Table645[[#This Row],[Column4]]*Table645[[#This Row],[Column84]])</f>
        <v>0</v>
      </c>
      <c r="CH217" s="226"/>
      <c r="CI217" s="216"/>
      <c r="CJ217" s="91" t="str">
        <f>IF(CI217=0,"--",(Table645[[#This Row],[Column86]]*$CI$4*(IF(W217&lt;0.5001,1,IF(W217&lt;2.0001,2,3)))+CI217/$CI$3)/60/24)</f>
        <v>--</v>
      </c>
      <c r="CK217" s="92">
        <f>IF(Table645[[#This Row],[Column88]]="--",0,Table645[[#This Row],[Column4]]*Table645[[#This Row],[Column88]])</f>
        <v>0</v>
      </c>
      <c r="CL217" s="217"/>
      <c r="CM217" s="91" t="str">
        <f>IF(Table645[[#This Row],[Column87]]=0,"--",CJ217*$CL$3)</f>
        <v>--</v>
      </c>
      <c r="CN217" s="92">
        <f>IF(Table645[[#This Row],[Column91]]="--",0,Table645[[#This Row],[Column4]]*Table645[[#This Row],[Column91]])</f>
        <v>0</v>
      </c>
      <c r="CO217" s="217"/>
      <c r="CP217" s="91" t="str">
        <f>IF(Table645[[#This Row],[Column10]]+Table645[[#This Row],[Column87]]=0, "--", IF($D217="", 1, $D217) * IF($J217="", 1, $J217) * $CO$3 * $CO$4 * IF(Table645[[#This Row],[Column95]]="", 1, Table645[[#This Row],[Column95]]) / (24 * 60))</f>
        <v>--</v>
      </c>
      <c r="CQ217" s="164"/>
      <c r="CR217" s="92">
        <f>IF(Table645[[#This Row],[Column94]]="--",0,Table645[[#This Row],[Column4]]*Table645[[#This Row],[Column94]])</f>
        <v>0</v>
      </c>
      <c r="CS217" s="218" t="str">
        <f>IF(Table645[[#This Row],[Column87]]="","",Table645[[#This Row],[Column87]])</f>
        <v/>
      </c>
      <c r="CT217" s="91" t="str">
        <f>IF(Table645[[#This Row],[Column97]]="","--",Table645[[#This Row],[Column97]]/$CS$3/60/24)</f>
        <v>--</v>
      </c>
      <c r="CU217" s="92">
        <f>IF(Table645[[#This Row],[Column98]]="--",0,Table645[[#This Row],[Column4]]*Table645[[#This Row],[Column98]])</f>
        <v>0</v>
      </c>
      <c r="CV217" s="93"/>
      <c r="CW217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17" s="91" t="str">
        <f>IF(OR(Table645[[#This Row],[Column74]]&gt;0,Table645[[#This Row],[Column87]]&gt;0),(Table645[[#This Row],[Column73]]+Table645[[#This Row],[Column86]]+1)*$CW$3/60/24,"--")</f>
        <v>--</v>
      </c>
      <c r="CY217" s="92">
        <f>IF(Table645[[#This Row],[Column102]]="--",0,Table645[[#This Row],[Column4]]*Table645[[#This Row],[Column102]])</f>
        <v>0</v>
      </c>
      <c r="CZ217" s="158" t="str">
        <f t="shared" si="144"/>
        <v>--</v>
      </c>
      <c r="DA217" s="153"/>
      <c r="DB217" s="160">
        <f>IF(Table645[[#This Row],[Column104]]="--",0,Table645[[#This Row],[Column4]]*Table645[[#This Row],[Column104]])</f>
        <v>0</v>
      </c>
      <c r="DC217" s="219"/>
      <c r="DD217" s="220" t="str">
        <f>IF(DC217=0,"--",1/$DC$3*1000/(60*60*24)*Table645[[#This Row],[Column107]])</f>
        <v>--</v>
      </c>
      <c r="DE217" s="160">
        <f>IF(Table645[[#This Row],[Column108]]="--",0,Table645[[#This Row],[Column4]]*Table645[[#This Row],[Column108]])</f>
        <v>0</v>
      </c>
      <c r="DF217" s="101" t="s">
        <v>70</v>
      </c>
      <c r="DG217" s="91" t="str">
        <f t="shared" si="145"/>
        <v>--</v>
      </c>
      <c r="DH217" s="89">
        <f>IF(Table645[[#This Row],[Column111]]="--",0,Table645[[#This Row],[Column4]]*Table645[[#This Row],[Column111]])</f>
        <v>0</v>
      </c>
      <c r="DI217" s="96"/>
      <c r="DJ217" s="96"/>
      <c r="DK217" s="96"/>
      <c r="DL217" s="96"/>
      <c r="DM217" s="96"/>
      <c r="DN217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17" s="89">
        <f>IF(Table645[[#This Row],[Column118]]="--",0,Table645[[#This Row],[Column4]]*Table645[[#This Row],[Column118]])</f>
        <v>0</v>
      </c>
      <c r="DP217" s="96"/>
      <c r="DQ217" s="96"/>
      <c r="DR217" s="91" t="str">
        <f t="shared" si="146"/>
        <v>--</v>
      </c>
      <c r="DS217" s="89">
        <f>IF(Table645[[#This Row],[Column122]]="--",0,Table645[[#This Row],[Column4]]*Table645[[#This Row],[Column122]])</f>
        <v>0</v>
      </c>
      <c r="DT217" t="str">
        <f>IF(Table645[[#This Row],[Column125]]=0,"--",Table645[[#This Row],[Column125]]*Table645[[#This Row],[Column126]]*Table645[[#This Row],[Column127]]/1000000000)</f>
        <v>--</v>
      </c>
      <c r="DU217" s="53"/>
      <c r="DV217" s="53"/>
      <c r="DW217" s="53"/>
      <c r="DX217" s="91" t="str">
        <f t="shared" si="147"/>
        <v>--</v>
      </c>
      <c r="DY217" s="89">
        <f>IF(Table645[[#This Row],[Column128]]="--",0,Table645[[#This Row],[Column4]]*Table645[[#This Row],[Column128]])</f>
        <v>0</v>
      </c>
      <c r="EA217" s="89">
        <f>IF(Table645[[#This Row],[Column128]]="--",0,Table645[[#This Row],[Column4]]*Table645[[#This Row],[Column128]])</f>
        <v>0</v>
      </c>
      <c r="EC217" s="89">
        <f>IF(Table645[[#This Row],[Column128]]="--",0,Table645[[#This Row],[Column4]]*Table645[[#This Row],[Column128]])</f>
        <v>0</v>
      </c>
      <c r="EE217" s="89">
        <f>IF(Table645[[#This Row],[Column128]]="--",0,Table645[[#This Row],[Column4]]*Table645[[#This Row],[Column128]])</f>
        <v>0</v>
      </c>
      <c r="EG217" s="89">
        <f>IF(Table645[[#This Row],[Column128]]="--",0,Table645[[#This Row],[Column4]]*Table645[[#This Row],[Column128]])</f>
        <v>0</v>
      </c>
      <c r="EI217" s="89">
        <f>IF(Table645[[#This Row],[Column128]]="--",0,Table645[[#This Row],[Column4]]*Table645[[#This Row],[Column128]])</f>
        <v>0</v>
      </c>
    </row>
    <row r="218" spans="1:139" x14ac:dyDescent="0.25">
      <c r="A218" s="140"/>
      <c r="B218" s="79"/>
      <c r="C218" s="140"/>
      <c r="D218" s="167"/>
      <c r="E218" s="52"/>
      <c r="F218" s="81"/>
      <c r="G218" s="81"/>
      <c r="H218" s="102" t="str">
        <f t="shared" si="128"/>
        <v>--</v>
      </c>
      <c r="I218" s="100">
        <f>IF(Table645[[#This Row],[Column8]]="--",0,Table645[[#This Row],[Column4]]*Table645[[#This Row],[Column8]])</f>
        <v>0</v>
      </c>
      <c r="J218" s="169"/>
      <c r="K218" s="85">
        <f>Table645[[#This Row],[Column4]]*Table645[[#This Row],[Column10]]</f>
        <v>0</v>
      </c>
      <c r="L218" s="170" t="str">
        <f t="shared" si="129"/>
        <v>--</v>
      </c>
      <c r="M218" s="214">
        <f>IF(Table645[[#This Row],[Column10]]=0,0,Table645[[#This Row],[Column4]]*Table645[[#This Row],[Column12]])</f>
        <v>0</v>
      </c>
      <c r="N218" s="87" t="str">
        <f t="shared" si="130"/>
        <v>--</v>
      </c>
      <c r="O218" s="138"/>
      <c r="AZ218" s="89">
        <f>IF(Table645[[#This Row],[Column14]]="--",0,Table645[[#This Row],[Column4]]*Table645[[#This Row],[Column14]])</f>
        <v>0</v>
      </c>
      <c r="BA218" s="90"/>
      <c r="BB218" s="91" t="str">
        <f>IF(BA218=0,"--",BA218*$BA$3*IF(Table645[[#This Row],[Column5]]&lt;4.1,1,2)/60/24)</f>
        <v>--</v>
      </c>
      <c r="BC218" s="92">
        <f>IF(Table645[[#This Row],[Column54]]="--",0,Table645[[#This Row],[Column4]]*Table645[[#This Row],[Column54]])</f>
        <v>0</v>
      </c>
      <c r="BD218" s="119"/>
      <c r="BE218" s="119"/>
      <c r="BF218" s="119"/>
      <c r="BG218" s="91" t="str">
        <f>IF(BD218+Table645[[#This Row],[Column58]]=0,"--",(BD218*$BF$3*Table645[[#This Row],[Column57]]+Table645[[#This Row],[Column58]]*$BF$4)/60/24)</f>
        <v>--</v>
      </c>
      <c r="BH218" s="92">
        <f>IF(Table645[[#This Row],[Column59]]="--",0,Table645[[#This Row],[Column4]]*Table645[[#This Row],[Column59]])</f>
        <v>0</v>
      </c>
      <c r="BI218" s="119"/>
      <c r="BJ218" s="91" t="str">
        <f t="shared" si="126"/>
        <v>--</v>
      </c>
      <c r="BK218" s="92">
        <f>IF(Table645[[#This Row],[Column62]]="--",0,Table645[[#This Row],[Column4]]*Table645[[#This Row],[Column62]])</f>
        <v>0</v>
      </c>
      <c r="BL218" s="93"/>
      <c r="BM218" s="91" t="str">
        <f t="shared" si="131"/>
        <v>--</v>
      </c>
      <c r="BN218" s="89">
        <f>IF(Table645[[#This Row],[Column65]]="--",0,Table645[[#This Row],[Column4]]*Table645[[#This Row],[Column65]])</f>
        <v>0</v>
      </c>
      <c r="BO218" s="163"/>
      <c r="BP218" s="164" t="str">
        <f t="shared" si="132"/>
        <v>--</v>
      </c>
      <c r="BQ218" s="160">
        <f>IF(Table645[[#This Row],[Column68]]="--",0,Table645[[#This Row],[Column4]]*Table645[[#This Row],[Column68]])</f>
        <v>0</v>
      </c>
      <c r="BR218" s="94"/>
      <c r="BS218" s="91" t="str">
        <f t="shared" si="133"/>
        <v>--</v>
      </c>
      <c r="BT218" s="92">
        <f>IF(Table645[[#This Row],[Column71]]="--",0,Table645[[#This Row],[Column4]]*Table645[[#This Row],[Column71]])</f>
        <v>0</v>
      </c>
      <c r="BU218" s="44"/>
      <c r="BV218" s="90"/>
      <c r="BW218" s="91" t="str">
        <f>IF(BV218=0,"--",(Table645[[#This Row],[Column73]]*$BV$4*(IF(J218&lt;0.5001,1,IF(J218&lt;2.0001,2,3)))+BV218/$BV$3)/60/24)</f>
        <v>--</v>
      </c>
      <c r="BX218" s="92">
        <f>IF(Table645[[#This Row],[Column75]]="--",0,Table645[[#This Row],[Column4]]*Table645[[#This Row],[Column75]])</f>
        <v>0</v>
      </c>
      <c r="BY218" s="95" t="s">
        <v>70</v>
      </c>
      <c r="BZ218" s="91" t="str">
        <f>IF(Table645[[#This Row],[Column74]]=0,"--",BW218*$BY$3)</f>
        <v>--</v>
      </c>
      <c r="CA218" s="89">
        <f>IF(Table645[[#This Row],[Column78]]="--",0,Table645[[#This Row],[Column4]]*Table645[[#This Row],[Column78]])</f>
        <v>0</v>
      </c>
      <c r="CB218" s="95" t="s">
        <v>70</v>
      </c>
      <c r="CC218" s="91" t="str">
        <f>IF(Table645[[#This Row],[Column10]]+Table645[[#This Row],[Column74]]=0,"--",J218*$CB$4*$CB$5/(24*60)+IF(Table645[[#This Row],[Column74]]=0,0,$CB$3*Table645[[#This Row],[Column75]]))</f>
        <v>--</v>
      </c>
      <c r="CD218" s="92">
        <f>IF(Table645[[#This Row],[Column81]]="--",0,Table645[[#This Row],[Column4]]*Table645[[#This Row],[Column81]])</f>
        <v>0</v>
      </c>
      <c r="CE218" s="215"/>
      <c r="CF218" s="91" t="str">
        <f t="shared" si="127"/>
        <v>--</v>
      </c>
      <c r="CG218" s="92">
        <f>IF(Table645[[#This Row],[Column84]]="--",0,Table645[[#This Row],[Column4]]*Table645[[#This Row],[Column84]])</f>
        <v>0</v>
      </c>
      <c r="CH218" s="226"/>
      <c r="CI218" s="216"/>
      <c r="CJ218" s="91" t="str">
        <f>IF(CI218=0,"--",(Table645[[#This Row],[Column86]]*$CI$4*(IF(W218&lt;0.5001,1,IF(W218&lt;2.0001,2,3)))+CI218/$CI$3)/60/24)</f>
        <v>--</v>
      </c>
      <c r="CK218" s="92">
        <f>IF(Table645[[#This Row],[Column88]]="--",0,Table645[[#This Row],[Column4]]*Table645[[#This Row],[Column88]])</f>
        <v>0</v>
      </c>
      <c r="CL218" s="217"/>
      <c r="CM218" s="91" t="str">
        <f>IF(Table645[[#This Row],[Column87]]=0,"--",CJ218*$CL$3)</f>
        <v>--</v>
      </c>
      <c r="CN218" s="92">
        <f>IF(Table645[[#This Row],[Column91]]="--",0,Table645[[#This Row],[Column4]]*Table645[[#This Row],[Column91]])</f>
        <v>0</v>
      </c>
      <c r="CO218" s="217"/>
      <c r="CP218" s="91" t="str">
        <f>IF(Table645[[#This Row],[Column10]]+Table645[[#This Row],[Column87]]=0, "--", IF($D218="", 1, $D218) * IF($J218="", 1, $J218) * $CO$3 * $CO$4 * IF(Table645[[#This Row],[Column95]]="", 1, Table645[[#This Row],[Column95]]) / (24 * 60))</f>
        <v>--</v>
      </c>
      <c r="CQ218" s="164"/>
      <c r="CR218" s="92">
        <f>IF(Table645[[#This Row],[Column94]]="--",0,Table645[[#This Row],[Column4]]*Table645[[#This Row],[Column94]])</f>
        <v>0</v>
      </c>
      <c r="CS218" s="218" t="str">
        <f>IF(Table645[[#This Row],[Column87]]="","",Table645[[#This Row],[Column87]])</f>
        <v/>
      </c>
      <c r="CT218" s="91" t="str">
        <f>IF(Table645[[#This Row],[Column97]]="","--",Table645[[#This Row],[Column97]]/$CS$3/60/24)</f>
        <v>--</v>
      </c>
      <c r="CU218" s="92">
        <f>IF(Table645[[#This Row],[Column98]]="--",0,Table645[[#This Row],[Column4]]*Table645[[#This Row],[Column98]])</f>
        <v>0</v>
      </c>
      <c r="CV218" s="93"/>
      <c r="CW218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18" s="91" t="str">
        <f>IF(OR(Table645[[#This Row],[Column74]]&gt;0,Table645[[#This Row],[Column87]]&gt;0),(Table645[[#This Row],[Column73]]+Table645[[#This Row],[Column86]]+1)*$CW$3/60/24,"--")</f>
        <v>--</v>
      </c>
      <c r="CY218" s="92">
        <f>IF(Table645[[#This Row],[Column102]]="--",0,Table645[[#This Row],[Column4]]*Table645[[#This Row],[Column102]])</f>
        <v>0</v>
      </c>
      <c r="CZ218" s="158" t="str">
        <f t="shared" si="134"/>
        <v>--</v>
      </c>
      <c r="DA218" s="153"/>
      <c r="DB218" s="160">
        <f>IF(Table645[[#This Row],[Column104]]="--",0,Table645[[#This Row],[Column4]]*Table645[[#This Row],[Column104]])</f>
        <v>0</v>
      </c>
      <c r="DC218" s="219"/>
      <c r="DD218" s="220" t="str">
        <f>IF(DC218=0,"--",1/$DC$3*1000/(60*60*24)*Table645[[#This Row],[Column107]])</f>
        <v>--</v>
      </c>
      <c r="DE218" s="160">
        <f>IF(Table645[[#This Row],[Column108]]="--",0,Table645[[#This Row],[Column4]]*Table645[[#This Row],[Column108]])</f>
        <v>0</v>
      </c>
      <c r="DF218" s="101" t="s">
        <v>70</v>
      </c>
      <c r="DG218" s="91" t="str">
        <f t="shared" si="135"/>
        <v>--</v>
      </c>
      <c r="DH218" s="89">
        <f>IF(Table645[[#This Row],[Column111]]="--",0,Table645[[#This Row],[Column4]]*Table645[[#This Row],[Column111]])</f>
        <v>0</v>
      </c>
      <c r="DI218" s="96"/>
      <c r="DJ218" s="96"/>
      <c r="DK218" s="96"/>
      <c r="DL218" s="96"/>
      <c r="DM218" s="96"/>
      <c r="DN218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18" s="89">
        <f>IF(Table645[[#This Row],[Column118]]="--",0,Table645[[#This Row],[Column4]]*Table645[[#This Row],[Column118]])</f>
        <v>0</v>
      </c>
      <c r="DP218" s="96"/>
      <c r="DQ218" s="96"/>
      <c r="DR218" s="91" t="str">
        <f t="shared" si="136"/>
        <v>--</v>
      </c>
      <c r="DS218" s="89">
        <f>IF(Table645[[#This Row],[Column122]]="--",0,Table645[[#This Row],[Column4]]*Table645[[#This Row],[Column122]])</f>
        <v>0</v>
      </c>
      <c r="DT218" t="str">
        <f>IF(Table645[[#This Row],[Column125]]=0,"--",Table645[[#This Row],[Column125]]*Table645[[#This Row],[Column126]]*Table645[[#This Row],[Column127]]/1000000000)</f>
        <v>--</v>
      </c>
      <c r="DU218" s="53"/>
      <c r="DV218" s="53"/>
      <c r="DW218" s="53"/>
      <c r="DX218" s="91" t="str">
        <f t="shared" si="137"/>
        <v>--</v>
      </c>
      <c r="DY218" s="89">
        <f>IF(Table645[[#This Row],[Column128]]="--",0,Table645[[#This Row],[Column4]]*Table645[[#This Row],[Column128]])</f>
        <v>0</v>
      </c>
      <c r="EA218" s="89">
        <f>IF(Table645[[#This Row],[Column128]]="--",0,Table645[[#This Row],[Column4]]*Table645[[#This Row],[Column128]])</f>
        <v>0</v>
      </c>
      <c r="EC218" s="89">
        <f>IF(Table645[[#This Row],[Column128]]="--",0,Table645[[#This Row],[Column4]]*Table645[[#This Row],[Column128]])</f>
        <v>0</v>
      </c>
      <c r="EE218" s="89">
        <f>IF(Table645[[#This Row],[Column128]]="--",0,Table645[[#This Row],[Column4]]*Table645[[#This Row],[Column128]])</f>
        <v>0</v>
      </c>
      <c r="EG218" s="89">
        <f>IF(Table645[[#This Row],[Column128]]="--",0,Table645[[#This Row],[Column4]]*Table645[[#This Row],[Column128]])</f>
        <v>0</v>
      </c>
      <c r="EI218" s="89">
        <f>IF(Table645[[#This Row],[Column128]]="--",0,Table645[[#This Row],[Column4]]*Table645[[#This Row],[Column128]])</f>
        <v>0</v>
      </c>
    </row>
    <row r="219" spans="1:139" x14ac:dyDescent="0.25">
      <c r="A219" s="140"/>
      <c r="B219" s="79"/>
      <c r="C219" s="140"/>
      <c r="D219" s="167"/>
      <c r="E219" s="52"/>
      <c r="F219" s="81"/>
      <c r="G219" s="81"/>
      <c r="H219" s="102" t="str">
        <f t="shared" si="128"/>
        <v>--</v>
      </c>
      <c r="I219" s="100">
        <f>IF(Table645[[#This Row],[Column8]]="--",0,Table645[[#This Row],[Column4]]*Table645[[#This Row],[Column8]])</f>
        <v>0</v>
      </c>
      <c r="J219" s="169"/>
      <c r="K219" s="85">
        <f>Table645[[#This Row],[Column4]]*Table645[[#This Row],[Column10]]</f>
        <v>0</v>
      </c>
      <c r="L219" s="170" t="str">
        <f t="shared" si="129"/>
        <v>--</v>
      </c>
      <c r="M219" s="214">
        <f>IF(Table645[[#This Row],[Column10]]=0,0,Table645[[#This Row],[Column4]]*Table645[[#This Row],[Column12]])</f>
        <v>0</v>
      </c>
      <c r="N219" s="87" t="str">
        <f t="shared" si="130"/>
        <v>--</v>
      </c>
      <c r="O219" s="138"/>
      <c r="AZ219" s="89">
        <f>IF(Table645[[#This Row],[Column14]]="--",0,Table645[[#This Row],[Column4]]*Table645[[#This Row],[Column14]])</f>
        <v>0</v>
      </c>
      <c r="BA219" s="90"/>
      <c r="BB219" s="91" t="str">
        <f>IF(BA219=0,"--",BA219*$BA$3*IF(Table645[[#This Row],[Column5]]&lt;4.1,1,2)/60/24)</f>
        <v>--</v>
      </c>
      <c r="BC219" s="92">
        <f>IF(Table645[[#This Row],[Column54]]="--",0,Table645[[#This Row],[Column4]]*Table645[[#This Row],[Column54]])</f>
        <v>0</v>
      </c>
      <c r="BD219" s="119"/>
      <c r="BE219" s="119"/>
      <c r="BF219" s="119"/>
      <c r="BG219" s="91" t="str">
        <f>IF(BD219+Table645[[#This Row],[Column58]]=0,"--",(BD219*$BF$3*Table645[[#This Row],[Column57]]+Table645[[#This Row],[Column58]]*$BF$4)/60/24)</f>
        <v>--</v>
      </c>
      <c r="BH219" s="92">
        <f>IF(Table645[[#This Row],[Column59]]="--",0,Table645[[#This Row],[Column4]]*Table645[[#This Row],[Column59]])</f>
        <v>0</v>
      </c>
      <c r="BI219" s="119"/>
      <c r="BJ219" s="91" t="str">
        <f t="shared" si="126"/>
        <v>--</v>
      </c>
      <c r="BK219" s="92">
        <f>IF(Table645[[#This Row],[Column62]]="--",0,Table645[[#This Row],[Column4]]*Table645[[#This Row],[Column62]])</f>
        <v>0</v>
      </c>
      <c r="BL219" s="93"/>
      <c r="BM219" s="91" t="str">
        <f t="shared" si="131"/>
        <v>--</v>
      </c>
      <c r="BN219" s="89">
        <f>IF(Table645[[#This Row],[Column65]]="--",0,Table645[[#This Row],[Column4]]*Table645[[#This Row],[Column65]])</f>
        <v>0</v>
      </c>
      <c r="BO219" s="163"/>
      <c r="BP219" s="164" t="str">
        <f t="shared" si="132"/>
        <v>--</v>
      </c>
      <c r="BQ219" s="160">
        <f>IF(Table645[[#This Row],[Column68]]="--",0,Table645[[#This Row],[Column4]]*Table645[[#This Row],[Column68]])</f>
        <v>0</v>
      </c>
      <c r="BR219" s="94"/>
      <c r="BS219" s="91" t="str">
        <f t="shared" si="133"/>
        <v>--</v>
      </c>
      <c r="BT219" s="92">
        <f>IF(Table645[[#This Row],[Column71]]="--",0,Table645[[#This Row],[Column4]]*Table645[[#This Row],[Column71]])</f>
        <v>0</v>
      </c>
      <c r="BU219" s="44"/>
      <c r="BV219" s="90"/>
      <c r="BW219" s="91" t="str">
        <f>IF(BV219=0,"--",(Table645[[#This Row],[Column73]]*$BV$4*(IF(J219&lt;0.5001,1,IF(J219&lt;2.0001,2,3)))+BV219/$BV$3)/60/24)</f>
        <v>--</v>
      </c>
      <c r="BX219" s="92">
        <f>IF(Table645[[#This Row],[Column75]]="--",0,Table645[[#This Row],[Column4]]*Table645[[#This Row],[Column75]])</f>
        <v>0</v>
      </c>
      <c r="BY219" s="95" t="s">
        <v>70</v>
      </c>
      <c r="BZ219" s="91" t="str">
        <f>IF(Table645[[#This Row],[Column74]]=0,"--",BW219*$BY$3)</f>
        <v>--</v>
      </c>
      <c r="CA219" s="89">
        <f>IF(Table645[[#This Row],[Column78]]="--",0,Table645[[#This Row],[Column4]]*Table645[[#This Row],[Column78]])</f>
        <v>0</v>
      </c>
      <c r="CB219" s="95" t="s">
        <v>70</v>
      </c>
      <c r="CC219" s="91" t="str">
        <f>IF(Table645[[#This Row],[Column10]]+Table645[[#This Row],[Column74]]=0,"--",J219*$CB$4*$CB$5/(24*60)+IF(Table645[[#This Row],[Column74]]=0,0,$CB$3*Table645[[#This Row],[Column75]]))</f>
        <v>--</v>
      </c>
      <c r="CD219" s="92">
        <f>IF(Table645[[#This Row],[Column81]]="--",0,Table645[[#This Row],[Column4]]*Table645[[#This Row],[Column81]])</f>
        <v>0</v>
      </c>
      <c r="CE219" s="215"/>
      <c r="CF219" s="91" t="str">
        <f t="shared" si="127"/>
        <v>--</v>
      </c>
      <c r="CG219" s="92">
        <f>IF(Table645[[#This Row],[Column84]]="--",0,Table645[[#This Row],[Column4]]*Table645[[#This Row],[Column84]])</f>
        <v>0</v>
      </c>
      <c r="CH219" s="226"/>
      <c r="CI219" s="216"/>
      <c r="CJ219" s="91" t="str">
        <f>IF(CI219=0,"--",(Table645[[#This Row],[Column86]]*$CI$4*(IF(W219&lt;0.5001,1,IF(W219&lt;2.0001,2,3)))+CI219/$CI$3)/60/24)</f>
        <v>--</v>
      </c>
      <c r="CK219" s="92">
        <f>IF(Table645[[#This Row],[Column88]]="--",0,Table645[[#This Row],[Column4]]*Table645[[#This Row],[Column88]])</f>
        <v>0</v>
      </c>
      <c r="CL219" s="217"/>
      <c r="CM219" s="91" t="str">
        <f>IF(Table645[[#This Row],[Column87]]=0,"--",CJ219*$CL$3)</f>
        <v>--</v>
      </c>
      <c r="CN219" s="92">
        <f>IF(Table645[[#This Row],[Column91]]="--",0,Table645[[#This Row],[Column4]]*Table645[[#This Row],[Column91]])</f>
        <v>0</v>
      </c>
      <c r="CO219" s="217"/>
      <c r="CP219" s="91" t="str">
        <f>IF(Table645[[#This Row],[Column10]]+Table645[[#This Row],[Column87]]=0, "--", IF($D219="", 1, $D219) * IF($J219="", 1, $J219) * $CO$3 * $CO$4 * IF(Table645[[#This Row],[Column95]]="", 1, Table645[[#This Row],[Column95]]) / (24 * 60))</f>
        <v>--</v>
      </c>
      <c r="CQ219" s="164"/>
      <c r="CR219" s="92">
        <f>IF(Table645[[#This Row],[Column94]]="--",0,Table645[[#This Row],[Column4]]*Table645[[#This Row],[Column94]])</f>
        <v>0</v>
      </c>
      <c r="CS219" s="218" t="str">
        <f>IF(Table645[[#This Row],[Column87]]="","",Table645[[#This Row],[Column87]])</f>
        <v/>
      </c>
      <c r="CT219" s="91" t="str">
        <f>IF(Table645[[#This Row],[Column97]]="","--",Table645[[#This Row],[Column97]]/$CS$3/60/24)</f>
        <v>--</v>
      </c>
      <c r="CU219" s="92">
        <f>IF(Table645[[#This Row],[Column98]]="--",0,Table645[[#This Row],[Column4]]*Table645[[#This Row],[Column98]])</f>
        <v>0</v>
      </c>
      <c r="CV219" s="93"/>
      <c r="CW219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19" s="91" t="str">
        <f>IF(OR(Table645[[#This Row],[Column74]]&gt;0,Table645[[#This Row],[Column87]]&gt;0),(Table645[[#This Row],[Column73]]+Table645[[#This Row],[Column86]]+1)*$CW$3/60/24,"--")</f>
        <v>--</v>
      </c>
      <c r="CY219" s="92">
        <f>IF(Table645[[#This Row],[Column102]]="--",0,Table645[[#This Row],[Column4]]*Table645[[#This Row],[Column102]])</f>
        <v>0</v>
      </c>
      <c r="CZ219" s="158" t="str">
        <f t="shared" si="134"/>
        <v>--</v>
      </c>
      <c r="DA219" s="153"/>
      <c r="DB219" s="160">
        <f>IF(Table645[[#This Row],[Column104]]="--",0,Table645[[#This Row],[Column4]]*Table645[[#This Row],[Column104]])</f>
        <v>0</v>
      </c>
      <c r="DC219" s="219"/>
      <c r="DD219" s="220" t="str">
        <f>IF(DC219=0,"--",1/$DC$3*1000/(60*60*24)*Table645[[#This Row],[Column107]])</f>
        <v>--</v>
      </c>
      <c r="DE219" s="160">
        <f>IF(Table645[[#This Row],[Column108]]="--",0,Table645[[#This Row],[Column4]]*Table645[[#This Row],[Column108]])</f>
        <v>0</v>
      </c>
      <c r="DF219" s="101" t="s">
        <v>70</v>
      </c>
      <c r="DG219" s="91" t="str">
        <f t="shared" si="135"/>
        <v>--</v>
      </c>
      <c r="DH219" s="89">
        <f>IF(Table645[[#This Row],[Column111]]="--",0,Table645[[#This Row],[Column4]]*Table645[[#This Row],[Column111]])</f>
        <v>0</v>
      </c>
      <c r="DI219" s="96"/>
      <c r="DJ219" s="96"/>
      <c r="DK219" s="96"/>
      <c r="DL219" s="96"/>
      <c r="DM219" s="96"/>
      <c r="DN219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19" s="89">
        <f>IF(Table645[[#This Row],[Column118]]="--",0,Table645[[#This Row],[Column4]]*Table645[[#This Row],[Column118]])</f>
        <v>0</v>
      </c>
      <c r="DP219" s="96"/>
      <c r="DQ219" s="96"/>
      <c r="DR219" s="91" t="str">
        <f t="shared" si="136"/>
        <v>--</v>
      </c>
      <c r="DS219" s="89">
        <f>IF(Table645[[#This Row],[Column122]]="--",0,Table645[[#This Row],[Column4]]*Table645[[#This Row],[Column122]])</f>
        <v>0</v>
      </c>
      <c r="DT219" t="str">
        <f>IF(Table645[[#This Row],[Column125]]=0,"--",Table645[[#This Row],[Column125]]*Table645[[#This Row],[Column126]]*Table645[[#This Row],[Column127]]/1000000000)</f>
        <v>--</v>
      </c>
      <c r="DU219" s="53"/>
      <c r="DV219" s="53"/>
      <c r="DW219" s="53"/>
      <c r="DX219" s="91" t="str">
        <f t="shared" si="137"/>
        <v>--</v>
      </c>
      <c r="DY219" s="89">
        <f>IF(Table645[[#This Row],[Column128]]="--",0,Table645[[#This Row],[Column4]]*Table645[[#This Row],[Column128]])</f>
        <v>0</v>
      </c>
      <c r="EA219" s="89">
        <f>IF(Table645[[#This Row],[Column128]]="--",0,Table645[[#This Row],[Column4]]*Table645[[#This Row],[Column128]])</f>
        <v>0</v>
      </c>
      <c r="EC219" s="89">
        <f>IF(Table645[[#This Row],[Column128]]="--",0,Table645[[#This Row],[Column4]]*Table645[[#This Row],[Column128]])</f>
        <v>0</v>
      </c>
      <c r="EE219" s="89">
        <f>IF(Table645[[#This Row],[Column128]]="--",0,Table645[[#This Row],[Column4]]*Table645[[#This Row],[Column128]])</f>
        <v>0</v>
      </c>
      <c r="EG219" s="89">
        <f>IF(Table645[[#This Row],[Column128]]="--",0,Table645[[#This Row],[Column4]]*Table645[[#This Row],[Column128]])</f>
        <v>0</v>
      </c>
      <c r="EI219" s="89">
        <f>IF(Table645[[#This Row],[Column128]]="--",0,Table645[[#This Row],[Column4]]*Table645[[#This Row],[Column128]])</f>
        <v>0</v>
      </c>
    </row>
    <row r="220" spans="1:139" x14ac:dyDescent="0.25">
      <c r="A220" s="140"/>
      <c r="B220" s="79"/>
      <c r="C220" s="140"/>
      <c r="D220" s="167"/>
      <c r="E220" s="52"/>
      <c r="F220" s="81"/>
      <c r="G220" s="81"/>
      <c r="H220" s="102" t="str">
        <f t="shared" si="128"/>
        <v>--</v>
      </c>
      <c r="I220" s="100">
        <f>IF(Table645[[#This Row],[Column8]]="--",0,Table645[[#This Row],[Column4]]*Table645[[#This Row],[Column8]])</f>
        <v>0</v>
      </c>
      <c r="J220" s="169"/>
      <c r="K220" s="85">
        <f>Table645[[#This Row],[Column4]]*Table645[[#This Row],[Column10]]</f>
        <v>0</v>
      </c>
      <c r="L220" s="170" t="str">
        <f t="shared" si="129"/>
        <v>--</v>
      </c>
      <c r="M220" s="214">
        <f>IF(Table645[[#This Row],[Column10]]=0,0,Table645[[#This Row],[Column4]]*Table645[[#This Row],[Column12]])</f>
        <v>0</v>
      </c>
      <c r="N220" s="87" t="str">
        <f t="shared" si="130"/>
        <v>--</v>
      </c>
      <c r="O220" s="138"/>
      <c r="AZ220" s="89">
        <f>IF(Table645[[#This Row],[Column14]]="--",0,Table645[[#This Row],[Column4]]*Table645[[#This Row],[Column14]])</f>
        <v>0</v>
      </c>
      <c r="BA220" s="90"/>
      <c r="BB220" s="91" t="str">
        <f>IF(BA220=0,"--",BA220*$BA$3*IF(Table645[[#This Row],[Column5]]&lt;4.1,1,2)/60/24)</f>
        <v>--</v>
      </c>
      <c r="BC220" s="92">
        <f>IF(Table645[[#This Row],[Column54]]="--",0,Table645[[#This Row],[Column4]]*Table645[[#This Row],[Column54]])</f>
        <v>0</v>
      </c>
      <c r="BD220" s="119"/>
      <c r="BE220" s="119"/>
      <c r="BF220" s="119"/>
      <c r="BG220" s="91" t="str">
        <f>IF(BD220+Table645[[#This Row],[Column58]]=0,"--",(BD220*$BF$3*Table645[[#This Row],[Column57]]+Table645[[#This Row],[Column58]]*$BF$4)/60/24)</f>
        <v>--</v>
      </c>
      <c r="BH220" s="92">
        <f>IF(Table645[[#This Row],[Column59]]="--",0,Table645[[#This Row],[Column4]]*Table645[[#This Row],[Column59]])</f>
        <v>0</v>
      </c>
      <c r="BI220" s="119"/>
      <c r="BJ220" s="91" t="str">
        <f t="shared" si="126"/>
        <v>--</v>
      </c>
      <c r="BK220" s="92">
        <f>IF(Table645[[#This Row],[Column62]]="--",0,Table645[[#This Row],[Column4]]*Table645[[#This Row],[Column62]])</f>
        <v>0</v>
      </c>
      <c r="BL220" s="93"/>
      <c r="BM220" s="91" t="str">
        <f t="shared" si="131"/>
        <v>--</v>
      </c>
      <c r="BN220" s="89">
        <f>IF(Table645[[#This Row],[Column65]]="--",0,Table645[[#This Row],[Column4]]*Table645[[#This Row],[Column65]])</f>
        <v>0</v>
      </c>
      <c r="BO220" s="163"/>
      <c r="BP220" s="164" t="str">
        <f t="shared" si="132"/>
        <v>--</v>
      </c>
      <c r="BQ220" s="160">
        <f>IF(Table645[[#This Row],[Column68]]="--",0,Table645[[#This Row],[Column4]]*Table645[[#This Row],[Column68]])</f>
        <v>0</v>
      </c>
      <c r="BR220" s="94"/>
      <c r="BS220" s="91" t="str">
        <f t="shared" si="133"/>
        <v>--</v>
      </c>
      <c r="BT220" s="92">
        <f>IF(Table645[[#This Row],[Column71]]="--",0,Table645[[#This Row],[Column4]]*Table645[[#This Row],[Column71]])</f>
        <v>0</v>
      </c>
      <c r="BU220" s="44"/>
      <c r="BV220" s="90"/>
      <c r="BW220" s="91" t="str">
        <f>IF(BV220=0,"--",(Table645[[#This Row],[Column73]]*$BV$4*(IF(J220&lt;0.5001,1,IF(J220&lt;2.0001,2,3)))+BV220/$BV$3)/60/24)</f>
        <v>--</v>
      </c>
      <c r="BX220" s="92">
        <f>IF(Table645[[#This Row],[Column75]]="--",0,Table645[[#This Row],[Column4]]*Table645[[#This Row],[Column75]])</f>
        <v>0</v>
      </c>
      <c r="BY220" s="95" t="s">
        <v>70</v>
      </c>
      <c r="BZ220" s="91" t="str">
        <f>IF(Table645[[#This Row],[Column74]]=0,"--",BW220*$BY$3)</f>
        <v>--</v>
      </c>
      <c r="CA220" s="89">
        <f>IF(Table645[[#This Row],[Column78]]="--",0,Table645[[#This Row],[Column4]]*Table645[[#This Row],[Column78]])</f>
        <v>0</v>
      </c>
      <c r="CB220" s="95" t="s">
        <v>70</v>
      </c>
      <c r="CC220" s="91" t="str">
        <f>IF(Table645[[#This Row],[Column10]]+Table645[[#This Row],[Column74]]=0,"--",J220*$CB$4*$CB$5/(24*60)+IF(Table645[[#This Row],[Column74]]=0,0,$CB$3*Table645[[#This Row],[Column75]]))</f>
        <v>--</v>
      </c>
      <c r="CD220" s="92">
        <f>IF(Table645[[#This Row],[Column81]]="--",0,Table645[[#This Row],[Column4]]*Table645[[#This Row],[Column81]])</f>
        <v>0</v>
      </c>
      <c r="CE220" s="215"/>
      <c r="CF220" s="91" t="str">
        <f t="shared" si="127"/>
        <v>--</v>
      </c>
      <c r="CG220" s="92">
        <f>IF(Table645[[#This Row],[Column84]]="--",0,Table645[[#This Row],[Column4]]*Table645[[#This Row],[Column84]])</f>
        <v>0</v>
      </c>
      <c r="CH220" s="226"/>
      <c r="CI220" s="216"/>
      <c r="CJ220" s="91" t="str">
        <f>IF(CI220=0,"--",(Table645[[#This Row],[Column86]]*$CI$4*(IF(W220&lt;0.5001,1,IF(W220&lt;2.0001,2,3)))+CI220/$CI$3)/60/24)</f>
        <v>--</v>
      </c>
      <c r="CK220" s="92">
        <f>IF(Table645[[#This Row],[Column88]]="--",0,Table645[[#This Row],[Column4]]*Table645[[#This Row],[Column88]])</f>
        <v>0</v>
      </c>
      <c r="CL220" s="217"/>
      <c r="CM220" s="91" t="str">
        <f>IF(Table645[[#This Row],[Column87]]=0,"--",CJ220*$CL$3)</f>
        <v>--</v>
      </c>
      <c r="CN220" s="92">
        <f>IF(Table645[[#This Row],[Column91]]="--",0,Table645[[#This Row],[Column4]]*Table645[[#This Row],[Column91]])</f>
        <v>0</v>
      </c>
      <c r="CO220" s="217"/>
      <c r="CP220" s="91" t="str">
        <f>IF(Table645[[#This Row],[Column10]]+Table645[[#This Row],[Column87]]=0, "--", IF($D220="", 1, $D220) * IF($J220="", 1, $J220) * $CO$3 * $CO$4 * IF(Table645[[#This Row],[Column95]]="", 1, Table645[[#This Row],[Column95]]) / (24 * 60))</f>
        <v>--</v>
      </c>
      <c r="CQ220" s="164"/>
      <c r="CR220" s="92">
        <f>IF(Table645[[#This Row],[Column94]]="--",0,Table645[[#This Row],[Column4]]*Table645[[#This Row],[Column94]])</f>
        <v>0</v>
      </c>
      <c r="CS220" s="218" t="str">
        <f>IF(Table645[[#This Row],[Column87]]="","",Table645[[#This Row],[Column87]])</f>
        <v/>
      </c>
      <c r="CT220" s="91" t="str">
        <f>IF(Table645[[#This Row],[Column97]]="","--",Table645[[#This Row],[Column97]]/$CS$3/60/24)</f>
        <v>--</v>
      </c>
      <c r="CU220" s="92">
        <f>IF(Table645[[#This Row],[Column98]]="--",0,Table645[[#This Row],[Column4]]*Table645[[#This Row],[Column98]])</f>
        <v>0</v>
      </c>
      <c r="CV220" s="93"/>
      <c r="CW220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20" s="91" t="str">
        <f>IF(OR(Table645[[#This Row],[Column74]]&gt;0,Table645[[#This Row],[Column87]]&gt;0),(Table645[[#This Row],[Column73]]+Table645[[#This Row],[Column86]]+1)*$CW$3/60/24,"--")</f>
        <v>--</v>
      </c>
      <c r="CY220" s="92">
        <f>IF(Table645[[#This Row],[Column102]]="--",0,Table645[[#This Row],[Column4]]*Table645[[#This Row],[Column102]])</f>
        <v>0</v>
      </c>
      <c r="CZ220" s="158" t="str">
        <f t="shared" si="134"/>
        <v>--</v>
      </c>
      <c r="DA220" s="153"/>
      <c r="DB220" s="160">
        <f>IF(Table645[[#This Row],[Column104]]="--",0,Table645[[#This Row],[Column4]]*Table645[[#This Row],[Column104]])</f>
        <v>0</v>
      </c>
      <c r="DC220" s="219"/>
      <c r="DD220" s="220" t="str">
        <f>IF(DC220=0,"--",1/$DC$3*1000/(60*60*24)*Table645[[#This Row],[Column107]])</f>
        <v>--</v>
      </c>
      <c r="DE220" s="160">
        <f>IF(Table645[[#This Row],[Column108]]="--",0,Table645[[#This Row],[Column4]]*Table645[[#This Row],[Column108]])</f>
        <v>0</v>
      </c>
      <c r="DF220" s="101" t="s">
        <v>70</v>
      </c>
      <c r="DG220" s="91" t="str">
        <f t="shared" si="135"/>
        <v>--</v>
      </c>
      <c r="DH220" s="89">
        <f>IF(Table645[[#This Row],[Column111]]="--",0,Table645[[#This Row],[Column4]]*Table645[[#This Row],[Column111]])</f>
        <v>0</v>
      </c>
      <c r="DI220" s="96"/>
      <c r="DJ220" s="96"/>
      <c r="DK220" s="96"/>
      <c r="DL220" s="96"/>
      <c r="DM220" s="96"/>
      <c r="DN220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20" s="89">
        <f>IF(Table645[[#This Row],[Column118]]="--",0,Table645[[#This Row],[Column4]]*Table645[[#This Row],[Column118]])</f>
        <v>0</v>
      </c>
      <c r="DP220" s="96"/>
      <c r="DQ220" s="96"/>
      <c r="DR220" s="91" t="str">
        <f t="shared" si="136"/>
        <v>--</v>
      </c>
      <c r="DS220" s="89">
        <f>IF(Table645[[#This Row],[Column122]]="--",0,Table645[[#This Row],[Column4]]*Table645[[#This Row],[Column122]])</f>
        <v>0</v>
      </c>
      <c r="DT220" t="str">
        <f>IF(Table645[[#This Row],[Column125]]=0,"--",Table645[[#This Row],[Column125]]*Table645[[#This Row],[Column126]]*Table645[[#This Row],[Column127]]/1000000000)</f>
        <v>--</v>
      </c>
      <c r="DU220" s="53"/>
      <c r="DV220" s="53"/>
      <c r="DW220" s="53"/>
      <c r="DX220" s="91" t="str">
        <f t="shared" si="137"/>
        <v>--</v>
      </c>
      <c r="DY220" s="89">
        <f>IF(Table645[[#This Row],[Column128]]="--",0,Table645[[#This Row],[Column4]]*Table645[[#This Row],[Column128]])</f>
        <v>0</v>
      </c>
      <c r="EA220" s="89">
        <f>IF(Table645[[#This Row],[Column128]]="--",0,Table645[[#This Row],[Column4]]*Table645[[#This Row],[Column128]])</f>
        <v>0</v>
      </c>
      <c r="EC220" s="89">
        <f>IF(Table645[[#This Row],[Column128]]="--",0,Table645[[#This Row],[Column4]]*Table645[[#This Row],[Column128]])</f>
        <v>0</v>
      </c>
      <c r="EE220" s="89">
        <f>IF(Table645[[#This Row],[Column128]]="--",0,Table645[[#This Row],[Column4]]*Table645[[#This Row],[Column128]])</f>
        <v>0</v>
      </c>
      <c r="EG220" s="89">
        <f>IF(Table645[[#This Row],[Column128]]="--",0,Table645[[#This Row],[Column4]]*Table645[[#This Row],[Column128]])</f>
        <v>0</v>
      </c>
      <c r="EI220" s="89">
        <f>IF(Table645[[#This Row],[Column128]]="--",0,Table645[[#This Row],[Column4]]*Table645[[#This Row],[Column128]])</f>
        <v>0</v>
      </c>
    </row>
    <row r="221" spans="1:139" x14ac:dyDescent="0.25">
      <c r="A221" s="140"/>
      <c r="B221" s="79"/>
      <c r="C221" s="140"/>
      <c r="D221" s="167"/>
      <c r="E221" s="52"/>
      <c r="F221" s="81"/>
      <c r="G221" s="81"/>
      <c r="H221" s="102" t="str">
        <f t="shared" si="128"/>
        <v>--</v>
      </c>
      <c r="I221" s="100">
        <f>IF(Table645[[#This Row],[Column8]]="--",0,Table645[[#This Row],[Column4]]*Table645[[#This Row],[Column8]])</f>
        <v>0</v>
      </c>
      <c r="J221" s="169"/>
      <c r="K221" s="85">
        <f>Table645[[#This Row],[Column4]]*Table645[[#This Row],[Column10]]</f>
        <v>0</v>
      </c>
      <c r="L221" s="170" t="str">
        <f t="shared" si="129"/>
        <v>--</v>
      </c>
      <c r="M221" s="214">
        <f>IF(Table645[[#This Row],[Column10]]=0,0,Table645[[#This Row],[Column4]]*Table645[[#This Row],[Column12]])</f>
        <v>0</v>
      </c>
      <c r="N221" s="87" t="str">
        <f t="shared" si="130"/>
        <v>--</v>
      </c>
      <c r="O221" s="138"/>
      <c r="AZ221" s="89">
        <f>IF(Table645[[#This Row],[Column14]]="--",0,Table645[[#This Row],[Column4]]*Table645[[#This Row],[Column14]])</f>
        <v>0</v>
      </c>
      <c r="BA221" s="90"/>
      <c r="BB221" s="91" t="str">
        <f>IF(BA221=0,"--",BA221*$BA$3*IF(Table645[[#This Row],[Column5]]&lt;4.1,1,2)/60/24)</f>
        <v>--</v>
      </c>
      <c r="BC221" s="92">
        <f>IF(Table645[[#This Row],[Column54]]="--",0,Table645[[#This Row],[Column4]]*Table645[[#This Row],[Column54]])</f>
        <v>0</v>
      </c>
      <c r="BD221" s="119"/>
      <c r="BE221" s="119"/>
      <c r="BF221" s="119"/>
      <c r="BG221" s="91" t="str">
        <f>IF(BD221+Table645[[#This Row],[Column58]]=0,"--",(BD221*$BF$3*Table645[[#This Row],[Column57]]+Table645[[#This Row],[Column58]]*$BF$4)/60/24)</f>
        <v>--</v>
      </c>
      <c r="BH221" s="92">
        <f>IF(Table645[[#This Row],[Column59]]="--",0,Table645[[#This Row],[Column4]]*Table645[[#This Row],[Column59]])</f>
        <v>0</v>
      </c>
      <c r="BI221" s="119"/>
      <c r="BJ221" s="91" t="str">
        <f t="shared" si="126"/>
        <v>--</v>
      </c>
      <c r="BK221" s="92">
        <f>IF(Table645[[#This Row],[Column62]]="--",0,Table645[[#This Row],[Column4]]*Table645[[#This Row],[Column62]])</f>
        <v>0</v>
      </c>
      <c r="BL221" s="93"/>
      <c r="BM221" s="91" t="str">
        <f t="shared" si="131"/>
        <v>--</v>
      </c>
      <c r="BN221" s="89">
        <f>IF(Table645[[#This Row],[Column65]]="--",0,Table645[[#This Row],[Column4]]*Table645[[#This Row],[Column65]])</f>
        <v>0</v>
      </c>
      <c r="BO221" s="163"/>
      <c r="BP221" s="164" t="str">
        <f t="shared" si="132"/>
        <v>--</v>
      </c>
      <c r="BQ221" s="160">
        <f>IF(Table645[[#This Row],[Column68]]="--",0,Table645[[#This Row],[Column4]]*Table645[[#This Row],[Column68]])</f>
        <v>0</v>
      </c>
      <c r="BR221" s="94"/>
      <c r="BS221" s="91" t="str">
        <f t="shared" si="133"/>
        <v>--</v>
      </c>
      <c r="BT221" s="92">
        <f>IF(Table645[[#This Row],[Column71]]="--",0,Table645[[#This Row],[Column4]]*Table645[[#This Row],[Column71]])</f>
        <v>0</v>
      </c>
      <c r="BU221" s="44"/>
      <c r="BV221" s="90"/>
      <c r="BW221" s="91" t="str">
        <f>IF(BV221=0,"--",(Table645[[#This Row],[Column73]]*$BV$4*(IF(J221&lt;0.5001,1,IF(J221&lt;2.0001,2,3)))+BV221/$BV$3)/60/24)</f>
        <v>--</v>
      </c>
      <c r="BX221" s="92">
        <f>IF(Table645[[#This Row],[Column75]]="--",0,Table645[[#This Row],[Column4]]*Table645[[#This Row],[Column75]])</f>
        <v>0</v>
      </c>
      <c r="BY221" s="95" t="s">
        <v>70</v>
      </c>
      <c r="BZ221" s="91" t="str">
        <f>IF(Table645[[#This Row],[Column74]]=0,"--",BW221*$BY$3)</f>
        <v>--</v>
      </c>
      <c r="CA221" s="89">
        <f>IF(Table645[[#This Row],[Column78]]="--",0,Table645[[#This Row],[Column4]]*Table645[[#This Row],[Column78]])</f>
        <v>0</v>
      </c>
      <c r="CB221" s="95" t="s">
        <v>70</v>
      </c>
      <c r="CC221" s="91" t="str">
        <f>IF(Table645[[#This Row],[Column10]]+Table645[[#This Row],[Column74]]=0,"--",J221*$CB$4*$CB$5/(24*60)+IF(Table645[[#This Row],[Column74]]=0,0,$CB$3*Table645[[#This Row],[Column75]]))</f>
        <v>--</v>
      </c>
      <c r="CD221" s="92">
        <f>IF(Table645[[#This Row],[Column81]]="--",0,Table645[[#This Row],[Column4]]*Table645[[#This Row],[Column81]])</f>
        <v>0</v>
      </c>
      <c r="CE221" s="215"/>
      <c r="CF221" s="91" t="str">
        <f t="shared" si="127"/>
        <v>--</v>
      </c>
      <c r="CG221" s="92">
        <f>IF(Table645[[#This Row],[Column84]]="--",0,Table645[[#This Row],[Column4]]*Table645[[#This Row],[Column84]])</f>
        <v>0</v>
      </c>
      <c r="CH221" s="226"/>
      <c r="CI221" s="216"/>
      <c r="CJ221" s="91" t="str">
        <f>IF(CI221=0,"--",(Table645[[#This Row],[Column86]]*$CI$4*(IF(W221&lt;0.5001,1,IF(W221&lt;2.0001,2,3)))+CI221/$CI$3)/60/24)</f>
        <v>--</v>
      </c>
      <c r="CK221" s="92">
        <f>IF(Table645[[#This Row],[Column88]]="--",0,Table645[[#This Row],[Column4]]*Table645[[#This Row],[Column88]])</f>
        <v>0</v>
      </c>
      <c r="CL221" s="217"/>
      <c r="CM221" s="91" t="str">
        <f>IF(Table645[[#This Row],[Column87]]=0,"--",CJ221*$CL$3)</f>
        <v>--</v>
      </c>
      <c r="CN221" s="92">
        <f>IF(Table645[[#This Row],[Column91]]="--",0,Table645[[#This Row],[Column4]]*Table645[[#This Row],[Column91]])</f>
        <v>0</v>
      </c>
      <c r="CO221" s="217"/>
      <c r="CP221" s="91" t="str">
        <f>IF(Table645[[#This Row],[Column10]]+Table645[[#This Row],[Column87]]=0, "--", IF($D221="", 1, $D221) * IF($J221="", 1, $J221) * $CO$3 * $CO$4 * IF(Table645[[#This Row],[Column95]]="", 1, Table645[[#This Row],[Column95]]) / (24 * 60))</f>
        <v>--</v>
      </c>
      <c r="CQ221" s="164"/>
      <c r="CR221" s="92">
        <f>IF(Table645[[#This Row],[Column94]]="--",0,Table645[[#This Row],[Column4]]*Table645[[#This Row],[Column94]])</f>
        <v>0</v>
      </c>
      <c r="CS221" s="218" t="str">
        <f>IF(Table645[[#This Row],[Column87]]="","",Table645[[#This Row],[Column87]])</f>
        <v/>
      </c>
      <c r="CT221" s="91" t="str">
        <f>IF(Table645[[#This Row],[Column97]]="","--",Table645[[#This Row],[Column97]]/$CS$3/60/24)</f>
        <v>--</v>
      </c>
      <c r="CU221" s="92">
        <f>IF(Table645[[#This Row],[Column98]]="--",0,Table645[[#This Row],[Column4]]*Table645[[#This Row],[Column98]])</f>
        <v>0</v>
      </c>
      <c r="CV221" s="93"/>
      <c r="CW221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21" s="91" t="str">
        <f>IF(OR(Table645[[#This Row],[Column74]]&gt;0,Table645[[#This Row],[Column87]]&gt;0),(Table645[[#This Row],[Column73]]+Table645[[#This Row],[Column86]]+1)*$CW$3/60/24,"--")</f>
        <v>--</v>
      </c>
      <c r="CY221" s="92">
        <f>IF(Table645[[#This Row],[Column102]]="--",0,Table645[[#This Row],[Column4]]*Table645[[#This Row],[Column102]])</f>
        <v>0</v>
      </c>
      <c r="CZ221" s="158" t="str">
        <f t="shared" si="134"/>
        <v>--</v>
      </c>
      <c r="DA221" s="153"/>
      <c r="DB221" s="160">
        <f>IF(Table645[[#This Row],[Column104]]="--",0,Table645[[#This Row],[Column4]]*Table645[[#This Row],[Column104]])</f>
        <v>0</v>
      </c>
      <c r="DC221" s="219"/>
      <c r="DD221" s="220" t="str">
        <f>IF(DC221=0,"--",1/$DC$3*1000/(60*60*24)*Table645[[#This Row],[Column107]])</f>
        <v>--</v>
      </c>
      <c r="DE221" s="160">
        <f>IF(Table645[[#This Row],[Column108]]="--",0,Table645[[#This Row],[Column4]]*Table645[[#This Row],[Column108]])</f>
        <v>0</v>
      </c>
      <c r="DF221" s="101" t="s">
        <v>70</v>
      </c>
      <c r="DG221" s="91" t="str">
        <f t="shared" si="135"/>
        <v>--</v>
      </c>
      <c r="DH221" s="89">
        <f>IF(Table645[[#This Row],[Column111]]="--",0,Table645[[#This Row],[Column4]]*Table645[[#This Row],[Column111]])</f>
        <v>0</v>
      </c>
      <c r="DI221" s="96"/>
      <c r="DJ221" s="96"/>
      <c r="DK221" s="96"/>
      <c r="DL221" s="96"/>
      <c r="DM221" s="96"/>
      <c r="DN221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21" s="89">
        <f>IF(Table645[[#This Row],[Column118]]="--",0,Table645[[#This Row],[Column4]]*Table645[[#This Row],[Column118]])</f>
        <v>0</v>
      </c>
      <c r="DP221" s="96"/>
      <c r="DQ221" s="96"/>
      <c r="DR221" s="91" t="str">
        <f t="shared" si="136"/>
        <v>--</v>
      </c>
      <c r="DS221" s="89">
        <f>IF(Table645[[#This Row],[Column122]]="--",0,Table645[[#This Row],[Column4]]*Table645[[#This Row],[Column122]])</f>
        <v>0</v>
      </c>
      <c r="DT221" t="str">
        <f>IF(Table645[[#This Row],[Column125]]=0,"--",Table645[[#This Row],[Column125]]*Table645[[#This Row],[Column126]]*Table645[[#This Row],[Column127]]/1000000000)</f>
        <v>--</v>
      </c>
      <c r="DU221" s="53"/>
      <c r="DV221" s="53"/>
      <c r="DW221" s="53"/>
      <c r="DX221" s="91" t="str">
        <f t="shared" si="137"/>
        <v>--</v>
      </c>
      <c r="DY221" s="89">
        <f>IF(Table645[[#This Row],[Column128]]="--",0,Table645[[#This Row],[Column4]]*Table645[[#This Row],[Column128]])</f>
        <v>0</v>
      </c>
      <c r="EA221" s="89">
        <f>IF(Table645[[#This Row],[Column128]]="--",0,Table645[[#This Row],[Column4]]*Table645[[#This Row],[Column128]])</f>
        <v>0</v>
      </c>
      <c r="EC221" s="89">
        <f>IF(Table645[[#This Row],[Column128]]="--",0,Table645[[#This Row],[Column4]]*Table645[[#This Row],[Column128]])</f>
        <v>0</v>
      </c>
      <c r="EE221" s="89">
        <f>IF(Table645[[#This Row],[Column128]]="--",0,Table645[[#This Row],[Column4]]*Table645[[#This Row],[Column128]])</f>
        <v>0</v>
      </c>
      <c r="EG221" s="89">
        <f>IF(Table645[[#This Row],[Column128]]="--",0,Table645[[#This Row],[Column4]]*Table645[[#This Row],[Column128]])</f>
        <v>0</v>
      </c>
      <c r="EI221" s="89">
        <f>IF(Table645[[#This Row],[Column128]]="--",0,Table645[[#This Row],[Column4]]*Table645[[#This Row],[Column128]])</f>
        <v>0</v>
      </c>
    </row>
    <row r="222" spans="1:139" x14ac:dyDescent="0.25">
      <c r="A222" s="140"/>
      <c r="B222" s="79"/>
      <c r="C222" s="140"/>
      <c r="D222" s="167"/>
      <c r="E222" s="52"/>
      <c r="F222" s="81"/>
      <c r="G222" s="81"/>
      <c r="H222" s="102" t="str">
        <f t="shared" si="128"/>
        <v>--</v>
      </c>
      <c r="I222" s="100">
        <f>IF(Table645[[#This Row],[Column8]]="--",0,Table645[[#This Row],[Column4]]*Table645[[#This Row],[Column8]])</f>
        <v>0</v>
      </c>
      <c r="J222" s="169"/>
      <c r="K222" s="85">
        <f>Table645[[#This Row],[Column4]]*Table645[[#This Row],[Column10]]</f>
        <v>0</v>
      </c>
      <c r="L222" s="170" t="str">
        <f t="shared" si="129"/>
        <v>--</v>
      </c>
      <c r="M222" s="214">
        <f>IF(Table645[[#This Row],[Column10]]=0,0,Table645[[#This Row],[Column4]]*Table645[[#This Row],[Column12]])</f>
        <v>0</v>
      </c>
      <c r="N222" s="87" t="str">
        <f t="shared" si="130"/>
        <v>--</v>
      </c>
      <c r="O222" s="138"/>
      <c r="AZ222" s="89">
        <f>IF(Table645[[#This Row],[Column14]]="--",0,Table645[[#This Row],[Column4]]*Table645[[#This Row],[Column14]])</f>
        <v>0</v>
      </c>
      <c r="BA222" s="90"/>
      <c r="BB222" s="91" t="str">
        <f>IF(BA222=0,"--",BA222*$BA$3*IF(Table645[[#This Row],[Column5]]&lt;4.1,1,2)/60/24)</f>
        <v>--</v>
      </c>
      <c r="BC222" s="92">
        <f>IF(Table645[[#This Row],[Column54]]="--",0,Table645[[#This Row],[Column4]]*Table645[[#This Row],[Column54]])</f>
        <v>0</v>
      </c>
      <c r="BD222" s="119"/>
      <c r="BE222" s="119"/>
      <c r="BF222" s="119"/>
      <c r="BG222" s="91" t="str">
        <f>IF(BD222+Table645[[#This Row],[Column58]]=0,"--",(BD222*$BF$3*Table645[[#This Row],[Column57]]+Table645[[#This Row],[Column58]]*$BF$4)/60/24)</f>
        <v>--</v>
      </c>
      <c r="BH222" s="92">
        <f>IF(Table645[[#This Row],[Column59]]="--",0,Table645[[#This Row],[Column4]]*Table645[[#This Row],[Column59]])</f>
        <v>0</v>
      </c>
      <c r="BI222" s="119"/>
      <c r="BJ222" s="91" t="str">
        <f t="shared" si="126"/>
        <v>--</v>
      </c>
      <c r="BK222" s="92">
        <f>IF(Table645[[#This Row],[Column62]]="--",0,Table645[[#This Row],[Column4]]*Table645[[#This Row],[Column62]])</f>
        <v>0</v>
      </c>
      <c r="BL222" s="93"/>
      <c r="BM222" s="91" t="str">
        <f t="shared" si="131"/>
        <v>--</v>
      </c>
      <c r="BN222" s="89">
        <f>IF(Table645[[#This Row],[Column65]]="--",0,Table645[[#This Row],[Column4]]*Table645[[#This Row],[Column65]])</f>
        <v>0</v>
      </c>
      <c r="BO222" s="163"/>
      <c r="BP222" s="164" t="str">
        <f t="shared" si="132"/>
        <v>--</v>
      </c>
      <c r="BQ222" s="160">
        <f>IF(Table645[[#This Row],[Column68]]="--",0,Table645[[#This Row],[Column4]]*Table645[[#This Row],[Column68]])</f>
        <v>0</v>
      </c>
      <c r="BR222" s="94"/>
      <c r="BS222" s="91" t="str">
        <f t="shared" si="133"/>
        <v>--</v>
      </c>
      <c r="BT222" s="92">
        <f>IF(Table645[[#This Row],[Column71]]="--",0,Table645[[#This Row],[Column4]]*Table645[[#This Row],[Column71]])</f>
        <v>0</v>
      </c>
      <c r="BU222" s="44"/>
      <c r="BV222" s="90"/>
      <c r="BW222" s="91" t="str">
        <f>IF(BV222=0,"--",(Table645[[#This Row],[Column73]]*$BV$4*(IF(J222&lt;0.5001,1,IF(J222&lt;2.0001,2,3)))+BV222/$BV$3)/60/24)</f>
        <v>--</v>
      </c>
      <c r="BX222" s="92">
        <f>IF(Table645[[#This Row],[Column75]]="--",0,Table645[[#This Row],[Column4]]*Table645[[#This Row],[Column75]])</f>
        <v>0</v>
      </c>
      <c r="BY222" s="95" t="s">
        <v>70</v>
      </c>
      <c r="BZ222" s="91" t="str">
        <f>IF(Table645[[#This Row],[Column74]]=0,"--",BW222*$BY$3)</f>
        <v>--</v>
      </c>
      <c r="CA222" s="89">
        <f>IF(Table645[[#This Row],[Column78]]="--",0,Table645[[#This Row],[Column4]]*Table645[[#This Row],[Column78]])</f>
        <v>0</v>
      </c>
      <c r="CB222" s="95" t="s">
        <v>70</v>
      </c>
      <c r="CC222" s="91" t="str">
        <f>IF(Table645[[#This Row],[Column10]]+Table645[[#This Row],[Column74]]=0,"--",J222*$CB$4*$CB$5/(24*60)+IF(Table645[[#This Row],[Column74]]=0,0,$CB$3*Table645[[#This Row],[Column75]]))</f>
        <v>--</v>
      </c>
      <c r="CD222" s="92">
        <f>IF(Table645[[#This Row],[Column81]]="--",0,Table645[[#This Row],[Column4]]*Table645[[#This Row],[Column81]])</f>
        <v>0</v>
      </c>
      <c r="CE222" s="215"/>
      <c r="CF222" s="91" t="str">
        <f t="shared" si="127"/>
        <v>--</v>
      </c>
      <c r="CG222" s="92">
        <f>IF(Table645[[#This Row],[Column84]]="--",0,Table645[[#This Row],[Column4]]*Table645[[#This Row],[Column84]])</f>
        <v>0</v>
      </c>
      <c r="CH222" s="226"/>
      <c r="CI222" s="216"/>
      <c r="CJ222" s="91" t="str">
        <f>IF(CI222=0,"--",(Table645[[#This Row],[Column86]]*$CI$4*(IF(W222&lt;0.5001,1,IF(W222&lt;2.0001,2,3)))+CI222/$CI$3)/60/24)</f>
        <v>--</v>
      </c>
      <c r="CK222" s="92">
        <f>IF(Table645[[#This Row],[Column88]]="--",0,Table645[[#This Row],[Column4]]*Table645[[#This Row],[Column88]])</f>
        <v>0</v>
      </c>
      <c r="CL222" s="217"/>
      <c r="CM222" s="91" t="str">
        <f>IF(Table645[[#This Row],[Column87]]=0,"--",CJ222*$CL$3)</f>
        <v>--</v>
      </c>
      <c r="CN222" s="92">
        <f>IF(Table645[[#This Row],[Column91]]="--",0,Table645[[#This Row],[Column4]]*Table645[[#This Row],[Column91]])</f>
        <v>0</v>
      </c>
      <c r="CO222" s="217"/>
      <c r="CP222" s="91" t="str">
        <f>IF(Table645[[#This Row],[Column10]]+Table645[[#This Row],[Column87]]=0, "--", IF($D222="", 1, $D222) * IF($J222="", 1, $J222) * $CO$3 * $CO$4 * IF(Table645[[#This Row],[Column95]]="", 1, Table645[[#This Row],[Column95]]) / (24 * 60))</f>
        <v>--</v>
      </c>
      <c r="CQ222" s="164"/>
      <c r="CR222" s="92">
        <f>IF(Table645[[#This Row],[Column94]]="--",0,Table645[[#This Row],[Column4]]*Table645[[#This Row],[Column94]])</f>
        <v>0</v>
      </c>
      <c r="CS222" s="218" t="str">
        <f>IF(Table645[[#This Row],[Column87]]="","",Table645[[#This Row],[Column87]])</f>
        <v/>
      </c>
      <c r="CT222" s="91" t="str">
        <f>IF(Table645[[#This Row],[Column97]]="","--",Table645[[#This Row],[Column97]]/$CS$3/60/24)</f>
        <v>--</v>
      </c>
      <c r="CU222" s="92">
        <f>IF(Table645[[#This Row],[Column98]]="--",0,Table645[[#This Row],[Column4]]*Table645[[#This Row],[Column98]])</f>
        <v>0</v>
      </c>
      <c r="CV222" s="93"/>
      <c r="CW222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22" s="91" t="str">
        <f>IF(OR(Table645[[#This Row],[Column74]]&gt;0,Table645[[#This Row],[Column87]]&gt;0),(Table645[[#This Row],[Column73]]+Table645[[#This Row],[Column86]]+1)*$CW$3/60/24,"--")</f>
        <v>--</v>
      </c>
      <c r="CY222" s="92">
        <f>IF(Table645[[#This Row],[Column102]]="--",0,Table645[[#This Row],[Column4]]*Table645[[#This Row],[Column102]])</f>
        <v>0</v>
      </c>
      <c r="CZ222" s="158" t="str">
        <f t="shared" si="134"/>
        <v>--</v>
      </c>
      <c r="DA222" s="153"/>
      <c r="DB222" s="160">
        <f>IF(Table645[[#This Row],[Column104]]="--",0,Table645[[#This Row],[Column4]]*Table645[[#This Row],[Column104]])</f>
        <v>0</v>
      </c>
      <c r="DC222" s="219"/>
      <c r="DD222" s="220" t="str">
        <f>IF(DC222=0,"--",1/$DC$3*1000/(60*60*24)*Table645[[#This Row],[Column107]])</f>
        <v>--</v>
      </c>
      <c r="DE222" s="160">
        <f>IF(Table645[[#This Row],[Column108]]="--",0,Table645[[#This Row],[Column4]]*Table645[[#This Row],[Column108]])</f>
        <v>0</v>
      </c>
      <c r="DF222" s="101" t="s">
        <v>70</v>
      </c>
      <c r="DG222" s="91" t="str">
        <f t="shared" si="135"/>
        <v>--</v>
      </c>
      <c r="DH222" s="89">
        <f>IF(Table645[[#This Row],[Column111]]="--",0,Table645[[#This Row],[Column4]]*Table645[[#This Row],[Column111]])</f>
        <v>0</v>
      </c>
      <c r="DI222" s="96"/>
      <c r="DJ222" s="96"/>
      <c r="DK222" s="96"/>
      <c r="DL222" s="96"/>
      <c r="DM222" s="96"/>
      <c r="DN222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22" s="89">
        <f>IF(Table645[[#This Row],[Column118]]="--",0,Table645[[#This Row],[Column4]]*Table645[[#This Row],[Column118]])</f>
        <v>0</v>
      </c>
      <c r="DP222" s="96"/>
      <c r="DQ222" s="96"/>
      <c r="DR222" s="91" t="str">
        <f t="shared" si="136"/>
        <v>--</v>
      </c>
      <c r="DS222" s="89">
        <f>IF(Table645[[#This Row],[Column122]]="--",0,Table645[[#This Row],[Column4]]*Table645[[#This Row],[Column122]])</f>
        <v>0</v>
      </c>
      <c r="DT222" t="str">
        <f>IF(Table645[[#This Row],[Column125]]=0,"--",Table645[[#This Row],[Column125]]*Table645[[#This Row],[Column126]]*Table645[[#This Row],[Column127]]/1000000000)</f>
        <v>--</v>
      </c>
      <c r="DU222" s="53"/>
      <c r="DV222" s="53"/>
      <c r="DW222" s="53"/>
      <c r="DX222" s="91" t="str">
        <f t="shared" si="137"/>
        <v>--</v>
      </c>
      <c r="DY222" s="89">
        <f>IF(Table645[[#This Row],[Column128]]="--",0,Table645[[#This Row],[Column4]]*Table645[[#This Row],[Column128]])</f>
        <v>0</v>
      </c>
      <c r="EA222" s="89">
        <f>IF(Table645[[#This Row],[Column128]]="--",0,Table645[[#This Row],[Column4]]*Table645[[#This Row],[Column128]])</f>
        <v>0</v>
      </c>
      <c r="EC222" s="89">
        <f>IF(Table645[[#This Row],[Column128]]="--",0,Table645[[#This Row],[Column4]]*Table645[[#This Row],[Column128]])</f>
        <v>0</v>
      </c>
      <c r="EE222" s="89">
        <f>IF(Table645[[#This Row],[Column128]]="--",0,Table645[[#This Row],[Column4]]*Table645[[#This Row],[Column128]])</f>
        <v>0</v>
      </c>
      <c r="EG222" s="89">
        <f>IF(Table645[[#This Row],[Column128]]="--",0,Table645[[#This Row],[Column4]]*Table645[[#This Row],[Column128]])</f>
        <v>0</v>
      </c>
      <c r="EI222" s="89">
        <f>IF(Table645[[#This Row],[Column128]]="--",0,Table645[[#This Row],[Column4]]*Table645[[#This Row],[Column128]])</f>
        <v>0</v>
      </c>
    </row>
    <row r="223" spans="1:139" x14ac:dyDescent="0.25">
      <c r="A223" s="140"/>
      <c r="B223" s="79"/>
      <c r="C223" s="140"/>
      <c r="D223" s="167"/>
      <c r="E223" s="52"/>
      <c r="F223" s="81"/>
      <c r="G223" s="81"/>
      <c r="H223" s="102" t="str">
        <f t="shared" si="106"/>
        <v>--</v>
      </c>
      <c r="I223" s="100">
        <f>IF(Table645[[#This Row],[Column8]]="--",0,Table645[[#This Row],[Column4]]*Table645[[#This Row],[Column8]])</f>
        <v>0</v>
      </c>
      <c r="J223" s="169"/>
      <c r="K223" s="85">
        <f>Table645[[#This Row],[Column4]]*Table645[[#This Row],[Column10]]</f>
        <v>0</v>
      </c>
      <c r="L223" s="170" t="str">
        <f t="shared" si="107"/>
        <v>--</v>
      </c>
      <c r="M223" s="214">
        <f>IF(Table645[[#This Row],[Column10]]=0,0,Table645[[#This Row],[Column4]]*Table645[[#This Row],[Column12]])</f>
        <v>0</v>
      </c>
      <c r="N223" s="87" t="str">
        <f t="shared" si="108"/>
        <v>--</v>
      </c>
      <c r="O223" s="138"/>
      <c r="AZ223" s="89">
        <f>IF(Table645[[#This Row],[Column14]]="--",0,Table645[[#This Row],[Column4]]*Table645[[#This Row],[Column14]])</f>
        <v>0</v>
      </c>
      <c r="BA223" s="90"/>
      <c r="BB223" s="91" t="str">
        <f>IF(BA223=0,"--",BA223*$BA$3*IF(Table645[[#This Row],[Column5]]&lt;4.1,1,2)/60/24)</f>
        <v>--</v>
      </c>
      <c r="BC223" s="92">
        <f>IF(Table645[[#This Row],[Column54]]="--",0,Table645[[#This Row],[Column4]]*Table645[[#This Row],[Column54]])</f>
        <v>0</v>
      </c>
      <c r="BD223" s="119"/>
      <c r="BE223" s="119"/>
      <c r="BF223" s="119"/>
      <c r="BG223" s="91" t="str">
        <f>IF(BD223+Table645[[#This Row],[Column58]]=0,"--",(BD223*$BF$3*Table645[[#This Row],[Column57]]+Table645[[#This Row],[Column58]]*$BF$4)/60/24)</f>
        <v>--</v>
      </c>
      <c r="BH223" s="92">
        <f>IF(Table645[[#This Row],[Column59]]="--",0,Table645[[#This Row],[Column4]]*Table645[[#This Row],[Column59]])</f>
        <v>0</v>
      </c>
      <c r="BI223" s="119"/>
      <c r="BJ223" s="91" t="str">
        <f t="shared" si="126"/>
        <v>--</v>
      </c>
      <c r="BK223" s="92">
        <f>IF(Table645[[#This Row],[Column62]]="--",0,Table645[[#This Row],[Column4]]*Table645[[#This Row],[Column62]])</f>
        <v>0</v>
      </c>
      <c r="BL223" s="93"/>
      <c r="BM223" s="91" t="str">
        <f t="shared" si="109"/>
        <v>--</v>
      </c>
      <c r="BN223" s="89">
        <f>IF(Table645[[#This Row],[Column65]]="--",0,Table645[[#This Row],[Column4]]*Table645[[#This Row],[Column65]])</f>
        <v>0</v>
      </c>
      <c r="BO223" s="163"/>
      <c r="BP223" s="164" t="str">
        <f t="shared" si="110"/>
        <v>--</v>
      </c>
      <c r="BQ223" s="160">
        <f>IF(Table645[[#This Row],[Column68]]="--",0,Table645[[#This Row],[Column4]]*Table645[[#This Row],[Column68]])</f>
        <v>0</v>
      </c>
      <c r="BR223" s="94"/>
      <c r="BS223" s="91" t="str">
        <f t="shared" si="111"/>
        <v>--</v>
      </c>
      <c r="BT223" s="92">
        <f>IF(Table645[[#This Row],[Column71]]="--",0,Table645[[#This Row],[Column4]]*Table645[[#This Row],[Column71]])</f>
        <v>0</v>
      </c>
      <c r="BU223" s="44"/>
      <c r="BV223" s="90"/>
      <c r="BW223" s="91" t="str">
        <f>IF(BV223=0,"--",(Table645[[#This Row],[Column73]]*$BV$4*(IF(J223&lt;0.5001,1,IF(J223&lt;2.0001,2,3)))+BV223/$BV$3)/60/24)</f>
        <v>--</v>
      </c>
      <c r="BX223" s="92">
        <f>IF(Table645[[#This Row],[Column75]]="--",0,Table645[[#This Row],[Column4]]*Table645[[#This Row],[Column75]])</f>
        <v>0</v>
      </c>
      <c r="BY223" s="95" t="s">
        <v>70</v>
      </c>
      <c r="BZ223" s="91" t="str">
        <f>IF(Table645[[#This Row],[Column74]]=0,"--",BW223*$BY$3)</f>
        <v>--</v>
      </c>
      <c r="CA223" s="89">
        <f>IF(Table645[[#This Row],[Column78]]="--",0,Table645[[#This Row],[Column4]]*Table645[[#This Row],[Column78]])</f>
        <v>0</v>
      </c>
      <c r="CB223" s="95" t="s">
        <v>70</v>
      </c>
      <c r="CC223" s="91" t="str">
        <f>IF(Table645[[#This Row],[Column10]]+Table645[[#This Row],[Column74]]=0,"--",J223*$CB$4*$CB$5/(24*60)+IF(Table645[[#This Row],[Column74]]=0,0,$CB$3*Table645[[#This Row],[Column75]]))</f>
        <v>--</v>
      </c>
      <c r="CD223" s="92">
        <f>IF(Table645[[#This Row],[Column81]]="--",0,Table645[[#This Row],[Column4]]*Table645[[#This Row],[Column81]])</f>
        <v>0</v>
      </c>
      <c r="CE223" s="215"/>
      <c r="CF223" s="91" t="str">
        <f t="shared" si="127"/>
        <v>--</v>
      </c>
      <c r="CG223" s="92">
        <f>IF(Table645[[#This Row],[Column84]]="--",0,Table645[[#This Row],[Column4]]*Table645[[#This Row],[Column84]])</f>
        <v>0</v>
      </c>
      <c r="CH223" s="226"/>
      <c r="CI223" s="216"/>
      <c r="CJ223" s="91" t="str">
        <f>IF(CI223=0,"--",(Table645[[#This Row],[Column86]]*$CI$4*(IF(W223&lt;0.5001,1,IF(W223&lt;2.0001,2,3)))+CI223/$CI$3)/60/24)</f>
        <v>--</v>
      </c>
      <c r="CK223" s="92">
        <f>IF(Table645[[#This Row],[Column88]]="--",0,Table645[[#This Row],[Column4]]*Table645[[#This Row],[Column88]])</f>
        <v>0</v>
      </c>
      <c r="CL223" s="217"/>
      <c r="CM223" s="91" t="str">
        <f>IF(Table645[[#This Row],[Column87]]=0,"--",CJ223*$CL$3)</f>
        <v>--</v>
      </c>
      <c r="CN223" s="92">
        <f>IF(Table645[[#This Row],[Column91]]="--",0,Table645[[#This Row],[Column4]]*Table645[[#This Row],[Column91]])</f>
        <v>0</v>
      </c>
      <c r="CO223" s="217"/>
      <c r="CP223" s="91" t="str">
        <f>IF(Table645[[#This Row],[Column10]]+Table645[[#This Row],[Column87]]=0, "--", IF($D223="", 1, $D223) * IF($J223="", 1, $J223) * $CO$3 * $CO$4 * IF(Table645[[#This Row],[Column95]]="", 1, Table645[[#This Row],[Column95]]) / (24 * 60))</f>
        <v>--</v>
      </c>
      <c r="CQ223" s="164"/>
      <c r="CR223" s="92">
        <f>IF(Table645[[#This Row],[Column94]]="--",0,Table645[[#This Row],[Column4]]*Table645[[#This Row],[Column94]])</f>
        <v>0</v>
      </c>
      <c r="CS223" s="218" t="str">
        <f>IF(Table645[[#This Row],[Column87]]="","",Table645[[#This Row],[Column87]])</f>
        <v/>
      </c>
      <c r="CT223" s="91" t="str">
        <f>IF(Table645[[#This Row],[Column97]]="","--",Table645[[#This Row],[Column97]]/$CS$3/60/24)</f>
        <v>--</v>
      </c>
      <c r="CU223" s="92">
        <f>IF(Table645[[#This Row],[Column98]]="--",0,Table645[[#This Row],[Column4]]*Table645[[#This Row],[Column98]])</f>
        <v>0</v>
      </c>
      <c r="CV223" s="93"/>
      <c r="CW223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23" s="91" t="str">
        <f>IF(OR(Table645[[#This Row],[Column74]]&gt;0,Table645[[#This Row],[Column87]]&gt;0),(Table645[[#This Row],[Column73]]+Table645[[#This Row],[Column86]]+1)*$CW$3/60/24,"--")</f>
        <v>--</v>
      </c>
      <c r="CY223" s="92">
        <f>IF(Table645[[#This Row],[Column102]]="--",0,Table645[[#This Row],[Column4]]*Table645[[#This Row],[Column102]])</f>
        <v>0</v>
      </c>
      <c r="CZ223" s="158" t="str">
        <f t="shared" si="112"/>
        <v>--</v>
      </c>
      <c r="DA223" s="153"/>
      <c r="DB223" s="160">
        <f>IF(Table645[[#This Row],[Column104]]="--",0,Table645[[#This Row],[Column4]]*Table645[[#This Row],[Column104]])</f>
        <v>0</v>
      </c>
      <c r="DC223" s="219"/>
      <c r="DD223" s="220" t="str">
        <f>IF(DC223=0,"--",1/$DC$3*1000/(60*60*24)*Table645[[#This Row],[Column107]])</f>
        <v>--</v>
      </c>
      <c r="DE223" s="160">
        <f>IF(Table645[[#This Row],[Column108]]="--",0,Table645[[#This Row],[Column4]]*Table645[[#This Row],[Column108]])</f>
        <v>0</v>
      </c>
      <c r="DF223" s="101" t="s">
        <v>70</v>
      </c>
      <c r="DG223" s="91" t="str">
        <f t="shared" si="113"/>
        <v>--</v>
      </c>
      <c r="DH223" s="89">
        <f>IF(Table645[[#This Row],[Column111]]="--",0,Table645[[#This Row],[Column4]]*Table645[[#This Row],[Column111]])</f>
        <v>0</v>
      </c>
      <c r="DI223" s="96"/>
      <c r="DJ223" s="96"/>
      <c r="DK223" s="96"/>
      <c r="DL223" s="96"/>
      <c r="DM223" s="96"/>
      <c r="DN223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23" s="89">
        <f>IF(Table645[[#This Row],[Column118]]="--",0,Table645[[#This Row],[Column4]]*Table645[[#This Row],[Column118]])</f>
        <v>0</v>
      </c>
      <c r="DP223" s="96"/>
      <c r="DQ223" s="96"/>
      <c r="DR223" s="91" t="str">
        <f t="shared" si="114"/>
        <v>--</v>
      </c>
      <c r="DS223" s="89">
        <f>IF(Table645[[#This Row],[Column122]]="--",0,Table645[[#This Row],[Column4]]*Table645[[#This Row],[Column122]])</f>
        <v>0</v>
      </c>
      <c r="DT223" t="str">
        <f>IF(Table645[[#This Row],[Column125]]=0,"--",Table645[[#This Row],[Column125]]*Table645[[#This Row],[Column126]]*Table645[[#This Row],[Column127]]/1000000000)</f>
        <v>--</v>
      </c>
      <c r="DU223" s="53"/>
      <c r="DV223" s="53"/>
      <c r="DW223" s="53"/>
      <c r="DX223" s="91" t="str">
        <f t="shared" si="115"/>
        <v>--</v>
      </c>
      <c r="DY223" s="89">
        <f>IF(Table645[[#This Row],[Column128]]="--",0,Table645[[#This Row],[Column4]]*Table645[[#This Row],[Column128]])</f>
        <v>0</v>
      </c>
      <c r="EA223" s="89">
        <f>IF(Table645[[#This Row],[Column128]]="--",0,Table645[[#This Row],[Column4]]*Table645[[#This Row],[Column128]])</f>
        <v>0</v>
      </c>
      <c r="EC223" s="89">
        <f>IF(Table645[[#This Row],[Column128]]="--",0,Table645[[#This Row],[Column4]]*Table645[[#This Row],[Column128]])</f>
        <v>0</v>
      </c>
      <c r="EE223" s="89">
        <f>IF(Table645[[#This Row],[Column128]]="--",0,Table645[[#This Row],[Column4]]*Table645[[#This Row],[Column128]])</f>
        <v>0</v>
      </c>
      <c r="EG223" s="89">
        <f>IF(Table645[[#This Row],[Column128]]="--",0,Table645[[#This Row],[Column4]]*Table645[[#This Row],[Column128]])</f>
        <v>0</v>
      </c>
      <c r="EI223" s="89">
        <f>IF(Table645[[#This Row],[Column128]]="--",0,Table645[[#This Row],[Column4]]*Table645[[#This Row],[Column128]])</f>
        <v>0</v>
      </c>
    </row>
    <row r="224" spans="1:139" x14ac:dyDescent="0.25">
      <c r="A224" s="140"/>
      <c r="B224" s="79"/>
      <c r="C224" s="140"/>
      <c r="D224" s="167"/>
      <c r="E224" s="52"/>
      <c r="F224" s="81"/>
      <c r="G224" s="81"/>
      <c r="H224" s="102" t="str">
        <f t="shared" si="106"/>
        <v>--</v>
      </c>
      <c r="I224" s="100">
        <f>IF(Table645[[#This Row],[Column8]]="--",0,Table645[[#This Row],[Column4]]*Table645[[#This Row],[Column8]])</f>
        <v>0</v>
      </c>
      <c r="J224" s="169"/>
      <c r="K224" s="85">
        <f>Table645[[#This Row],[Column4]]*Table645[[#This Row],[Column10]]</f>
        <v>0</v>
      </c>
      <c r="L224" s="170" t="str">
        <f t="shared" si="107"/>
        <v>--</v>
      </c>
      <c r="M224" s="214">
        <f>IF(Table645[[#This Row],[Column10]]=0,0,Table645[[#This Row],[Column4]]*Table645[[#This Row],[Column12]])</f>
        <v>0</v>
      </c>
      <c r="N224" s="87" t="str">
        <f t="shared" si="108"/>
        <v>--</v>
      </c>
      <c r="O224" s="138"/>
      <c r="AZ224" s="89">
        <f>IF(Table645[[#This Row],[Column14]]="--",0,Table645[[#This Row],[Column4]]*Table645[[#This Row],[Column14]])</f>
        <v>0</v>
      </c>
      <c r="BA224" s="90"/>
      <c r="BB224" s="91" t="str">
        <f>IF(BA224=0,"--",BA224*$BA$3*IF(Table645[[#This Row],[Column5]]&lt;4.1,1,2)/60/24)</f>
        <v>--</v>
      </c>
      <c r="BC224" s="92">
        <f>IF(Table645[[#This Row],[Column54]]="--",0,Table645[[#This Row],[Column4]]*Table645[[#This Row],[Column54]])</f>
        <v>0</v>
      </c>
      <c r="BD224" s="119"/>
      <c r="BE224" s="119"/>
      <c r="BF224" s="119"/>
      <c r="BG224" s="91" t="str">
        <f>IF(BD224+Table645[[#This Row],[Column58]]=0,"--",(BD224*$BF$3*Table645[[#This Row],[Column57]]+Table645[[#This Row],[Column58]]*$BF$4)/60/24)</f>
        <v>--</v>
      </c>
      <c r="BH224" s="92">
        <f>IF(Table645[[#This Row],[Column59]]="--",0,Table645[[#This Row],[Column4]]*Table645[[#This Row],[Column59]])</f>
        <v>0</v>
      </c>
      <c r="BI224" s="119"/>
      <c r="BJ224" s="91" t="str">
        <f t="shared" si="126"/>
        <v>--</v>
      </c>
      <c r="BK224" s="92">
        <f>IF(Table645[[#This Row],[Column62]]="--",0,Table645[[#This Row],[Column4]]*Table645[[#This Row],[Column62]])</f>
        <v>0</v>
      </c>
      <c r="BL224" s="93"/>
      <c r="BM224" s="91" t="str">
        <f t="shared" si="109"/>
        <v>--</v>
      </c>
      <c r="BN224" s="89">
        <f>IF(Table645[[#This Row],[Column65]]="--",0,Table645[[#This Row],[Column4]]*Table645[[#This Row],[Column65]])</f>
        <v>0</v>
      </c>
      <c r="BO224" s="163"/>
      <c r="BP224" s="164" t="str">
        <f t="shared" si="110"/>
        <v>--</v>
      </c>
      <c r="BQ224" s="160">
        <f>IF(Table645[[#This Row],[Column68]]="--",0,Table645[[#This Row],[Column4]]*Table645[[#This Row],[Column68]])</f>
        <v>0</v>
      </c>
      <c r="BR224" s="94"/>
      <c r="BS224" s="91" t="str">
        <f t="shared" si="111"/>
        <v>--</v>
      </c>
      <c r="BT224" s="92">
        <f>IF(Table645[[#This Row],[Column71]]="--",0,Table645[[#This Row],[Column4]]*Table645[[#This Row],[Column71]])</f>
        <v>0</v>
      </c>
      <c r="BU224" s="44"/>
      <c r="BV224" s="90"/>
      <c r="BW224" s="91" t="str">
        <f>IF(BV224=0,"--",(Table645[[#This Row],[Column73]]*$BV$4*(IF(J224&lt;0.5001,1,IF(J224&lt;2.0001,2,3)))+BV224/$BV$3)/60/24)</f>
        <v>--</v>
      </c>
      <c r="BX224" s="92">
        <f>IF(Table645[[#This Row],[Column75]]="--",0,Table645[[#This Row],[Column4]]*Table645[[#This Row],[Column75]])</f>
        <v>0</v>
      </c>
      <c r="BY224" s="95" t="s">
        <v>70</v>
      </c>
      <c r="BZ224" s="91" t="str">
        <f>IF(Table645[[#This Row],[Column74]]=0,"--",BW224*$BY$3)</f>
        <v>--</v>
      </c>
      <c r="CA224" s="89">
        <f>IF(Table645[[#This Row],[Column78]]="--",0,Table645[[#This Row],[Column4]]*Table645[[#This Row],[Column78]])</f>
        <v>0</v>
      </c>
      <c r="CB224" s="95" t="s">
        <v>70</v>
      </c>
      <c r="CC224" s="91" t="str">
        <f>IF(Table645[[#This Row],[Column10]]+Table645[[#This Row],[Column74]]=0,"--",J224*$CB$4*$CB$5/(24*60)+IF(Table645[[#This Row],[Column74]]=0,0,$CB$3*Table645[[#This Row],[Column75]]))</f>
        <v>--</v>
      </c>
      <c r="CD224" s="92">
        <f>IF(Table645[[#This Row],[Column81]]="--",0,Table645[[#This Row],[Column4]]*Table645[[#This Row],[Column81]])</f>
        <v>0</v>
      </c>
      <c r="CE224" s="215"/>
      <c r="CF224" s="91" t="str">
        <f t="shared" si="127"/>
        <v>--</v>
      </c>
      <c r="CG224" s="92">
        <f>IF(Table645[[#This Row],[Column84]]="--",0,Table645[[#This Row],[Column4]]*Table645[[#This Row],[Column84]])</f>
        <v>0</v>
      </c>
      <c r="CH224" s="226"/>
      <c r="CI224" s="216"/>
      <c r="CJ224" s="91" t="str">
        <f>IF(CI224=0,"--",(Table645[[#This Row],[Column86]]*$CI$4*(IF(W224&lt;0.5001,1,IF(W224&lt;2.0001,2,3)))+CI224/$CI$3)/60/24)</f>
        <v>--</v>
      </c>
      <c r="CK224" s="92">
        <f>IF(Table645[[#This Row],[Column88]]="--",0,Table645[[#This Row],[Column4]]*Table645[[#This Row],[Column88]])</f>
        <v>0</v>
      </c>
      <c r="CL224" s="217"/>
      <c r="CM224" s="91" t="str">
        <f>IF(Table645[[#This Row],[Column87]]=0,"--",CJ224*$CL$3)</f>
        <v>--</v>
      </c>
      <c r="CN224" s="92">
        <f>IF(Table645[[#This Row],[Column91]]="--",0,Table645[[#This Row],[Column4]]*Table645[[#This Row],[Column91]])</f>
        <v>0</v>
      </c>
      <c r="CO224" s="217"/>
      <c r="CP224" s="91" t="str">
        <f>IF(Table645[[#This Row],[Column10]]+Table645[[#This Row],[Column87]]=0, "--", IF($D224="", 1, $D224) * IF($J224="", 1, $J224) * $CO$3 * $CO$4 * IF(Table645[[#This Row],[Column95]]="", 1, Table645[[#This Row],[Column95]]) / (24 * 60))</f>
        <v>--</v>
      </c>
      <c r="CQ224" s="164"/>
      <c r="CR224" s="92">
        <f>IF(Table645[[#This Row],[Column94]]="--",0,Table645[[#This Row],[Column4]]*Table645[[#This Row],[Column94]])</f>
        <v>0</v>
      </c>
      <c r="CS224" s="218" t="str">
        <f>IF(Table645[[#This Row],[Column87]]="","",Table645[[#This Row],[Column87]])</f>
        <v/>
      </c>
      <c r="CT224" s="91" t="str">
        <f>IF(Table645[[#This Row],[Column97]]="","--",Table645[[#This Row],[Column97]]/$CS$3/60/24)</f>
        <v>--</v>
      </c>
      <c r="CU224" s="92">
        <f>IF(Table645[[#This Row],[Column98]]="--",0,Table645[[#This Row],[Column4]]*Table645[[#This Row],[Column98]])</f>
        <v>0</v>
      </c>
      <c r="CV224" s="93"/>
      <c r="CW224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24" s="91" t="str">
        <f>IF(OR(Table645[[#This Row],[Column74]]&gt;0,Table645[[#This Row],[Column87]]&gt;0),(Table645[[#This Row],[Column73]]+Table645[[#This Row],[Column86]]+1)*$CW$3/60/24,"--")</f>
        <v>--</v>
      </c>
      <c r="CY224" s="92">
        <f>IF(Table645[[#This Row],[Column102]]="--",0,Table645[[#This Row],[Column4]]*Table645[[#This Row],[Column102]])</f>
        <v>0</v>
      </c>
      <c r="CZ224" s="158" t="str">
        <f t="shared" si="112"/>
        <v>--</v>
      </c>
      <c r="DA224" s="153"/>
      <c r="DB224" s="160">
        <f>IF(Table645[[#This Row],[Column104]]="--",0,Table645[[#This Row],[Column4]]*Table645[[#This Row],[Column104]])</f>
        <v>0</v>
      </c>
      <c r="DC224" s="219"/>
      <c r="DD224" s="220" t="str">
        <f>IF(DC224=0,"--",1/$DC$3*1000/(60*60*24)*Table645[[#This Row],[Column107]])</f>
        <v>--</v>
      </c>
      <c r="DE224" s="160">
        <f>IF(Table645[[#This Row],[Column108]]="--",0,Table645[[#This Row],[Column4]]*Table645[[#This Row],[Column108]])</f>
        <v>0</v>
      </c>
      <c r="DF224" s="101" t="s">
        <v>70</v>
      </c>
      <c r="DG224" s="91" t="str">
        <f t="shared" si="113"/>
        <v>--</v>
      </c>
      <c r="DH224" s="89">
        <f>IF(Table645[[#This Row],[Column111]]="--",0,Table645[[#This Row],[Column4]]*Table645[[#This Row],[Column111]])</f>
        <v>0</v>
      </c>
      <c r="DI224" s="96"/>
      <c r="DJ224" s="96"/>
      <c r="DK224" s="96"/>
      <c r="DL224" s="96"/>
      <c r="DM224" s="96"/>
      <c r="DN224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24" s="89">
        <f>IF(Table645[[#This Row],[Column118]]="--",0,Table645[[#This Row],[Column4]]*Table645[[#This Row],[Column118]])</f>
        <v>0</v>
      </c>
      <c r="DP224" s="96"/>
      <c r="DQ224" s="96"/>
      <c r="DR224" s="91" t="str">
        <f t="shared" si="114"/>
        <v>--</v>
      </c>
      <c r="DS224" s="89">
        <f>IF(Table645[[#This Row],[Column122]]="--",0,Table645[[#This Row],[Column4]]*Table645[[#This Row],[Column122]])</f>
        <v>0</v>
      </c>
      <c r="DT224" t="str">
        <f>IF(Table645[[#This Row],[Column125]]=0,"--",Table645[[#This Row],[Column125]]*Table645[[#This Row],[Column126]]*Table645[[#This Row],[Column127]]/1000000000)</f>
        <v>--</v>
      </c>
      <c r="DU224" s="53"/>
      <c r="DV224" s="53"/>
      <c r="DW224" s="53"/>
      <c r="DX224" s="91" t="str">
        <f t="shared" si="115"/>
        <v>--</v>
      </c>
      <c r="DY224" s="89">
        <f>IF(Table645[[#This Row],[Column128]]="--",0,Table645[[#This Row],[Column4]]*Table645[[#This Row],[Column128]])</f>
        <v>0</v>
      </c>
      <c r="EA224" s="89">
        <f>IF(Table645[[#This Row],[Column128]]="--",0,Table645[[#This Row],[Column4]]*Table645[[#This Row],[Column128]])</f>
        <v>0</v>
      </c>
      <c r="EC224" s="89">
        <f>IF(Table645[[#This Row],[Column128]]="--",0,Table645[[#This Row],[Column4]]*Table645[[#This Row],[Column128]])</f>
        <v>0</v>
      </c>
      <c r="EE224" s="89">
        <f>IF(Table645[[#This Row],[Column128]]="--",0,Table645[[#This Row],[Column4]]*Table645[[#This Row],[Column128]])</f>
        <v>0</v>
      </c>
      <c r="EG224" s="89">
        <f>IF(Table645[[#This Row],[Column128]]="--",0,Table645[[#This Row],[Column4]]*Table645[[#This Row],[Column128]])</f>
        <v>0</v>
      </c>
      <c r="EI224" s="89">
        <f>IF(Table645[[#This Row],[Column128]]="--",0,Table645[[#This Row],[Column4]]*Table645[[#This Row],[Column128]])</f>
        <v>0</v>
      </c>
    </row>
    <row r="225" spans="1:139" x14ac:dyDescent="0.25">
      <c r="A225" s="140"/>
      <c r="B225" s="79"/>
      <c r="C225" s="140"/>
      <c r="D225" s="167"/>
      <c r="E225" s="52"/>
      <c r="F225" s="81"/>
      <c r="G225" s="81"/>
      <c r="H225" s="102" t="str">
        <f t="shared" si="106"/>
        <v>--</v>
      </c>
      <c r="I225" s="100">
        <f>IF(Table645[[#This Row],[Column8]]="--",0,Table645[[#This Row],[Column4]]*Table645[[#This Row],[Column8]])</f>
        <v>0</v>
      </c>
      <c r="J225" s="169"/>
      <c r="K225" s="85">
        <f>Table645[[#This Row],[Column4]]*Table645[[#This Row],[Column10]]</f>
        <v>0</v>
      </c>
      <c r="L225" s="170" t="str">
        <f t="shared" si="107"/>
        <v>--</v>
      </c>
      <c r="M225" s="214">
        <f>IF(Table645[[#This Row],[Column10]]=0,0,Table645[[#This Row],[Column4]]*Table645[[#This Row],[Column12]])</f>
        <v>0</v>
      </c>
      <c r="N225" s="87" t="str">
        <f t="shared" si="108"/>
        <v>--</v>
      </c>
      <c r="O225" s="138"/>
      <c r="AZ225" s="89">
        <f>IF(Table645[[#This Row],[Column14]]="--",0,Table645[[#This Row],[Column4]]*Table645[[#This Row],[Column14]])</f>
        <v>0</v>
      </c>
      <c r="BA225" s="90"/>
      <c r="BB225" s="91" t="str">
        <f>IF(BA225=0,"--",BA225*$BA$3*IF(Table645[[#This Row],[Column5]]&lt;4.1,1,2)/60/24)</f>
        <v>--</v>
      </c>
      <c r="BC225" s="92">
        <f>IF(Table645[[#This Row],[Column54]]="--",0,Table645[[#This Row],[Column4]]*Table645[[#This Row],[Column54]])</f>
        <v>0</v>
      </c>
      <c r="BD225" s="119"/>
      <c r="BE225" s="119"/>
      <c r="BF225" s="119"/>
      <c r="BG225" s="91" t="str">
        <f>IF(BD225+Table645[[#This Row],[Column58]]=0,"--",(BD225*$BF$3*Table645[[#This Row],[Column57]]+Table645[[#This Row],[Column58]]*$BF$4)/60/24)</f>
        <v>--</v>
      </c>
      <c r="BH225" s="92">
        <f>IF(Table645[[#This Row],[Column59]]="--",0,Table645[[#This Row],[Column4]]*Table645[[#This Row],[Column59]])</f>
        <v>0</v>
      </c>
      <c r="BI225" s="119"/>
      <c r="BJ225" s="91" t="str">
        <f t="shared" si="126"/>
        <v>--</v>
      </c>
      <c r="BK225" s="92">
        <f>IF(Table645[[#This Row],[Column62]]="--",0,Table645[[#This Row],[Column4]]*Table645[[#This Row],[Column62]])</f>
        <v>0</v>
      </c>
      <c r="BL225" s="93"/>
      <c r="BM225" s="91" t="str">
        <f t="shared" si="109"/>
        <v>--</v>
      </c>
      <c r="BN225" s="89">
        <f>IF(Table645[[#This Row],[Column65]]="--",0,Table645[[#This Row],[Column4]]*Table645[[#This Row],[Column65]])</f>
        <v>0</v>
      </c>
      <c r="BO225" s="163"/>
      <c r="BP225" s="164" t="str">
        <f t="shared" si="110"/>
        <v>--</v>
      </c>
      <c r="BQ225" s="160">
        <f>IF(Table645[[#This Row],[Column68]]="--",0,Table645[[#This Row],[Column4]]*Table645[[#This Row],[Column68]])</f>
        <v>0</v>
      </c>
      <c r="BR225" s="94"/>
      <c r="BS225" s="91" t="str">
        <f t="shared" si="111"/>
        <v>--</v>
      </c>
      <c r="BT225" s="92">
        <f>IF(Table645[[#This Row],[Column71]]="--",0,Table645[[#This Row],[Column4]]*Table645[[#This Row],[Column71]])</f>
        <v>0</v>
      </c>
      <c r="BU225" s="44"/>
      <c r="BV225" s="90"/>
      <c r="BW225" s="91" t="str">
        <f>IF(BV225=0,"--",(Table645[[#This Row],[Column73]]*$BV$4*(IF(J225&lt;0.5001,1,IF(J225&lt;2.0001,2,3)))+BV225/$BV$3)/60/24)</f>
        <v>--</v>
      </c>
      <c r="BX225" s="92">
        <f>IF(Table645[[#This Row],[Column75]]="--",0,Table645[[#This Row],[Column4]]*Table645[[#This Row],[Column75]])</f>
        <v>0</v>
      </c>
      <c r="BY225" s="95" t="s">
        <v>70</v>
      </c>
      <c r="BZ225" s="91" t="str">
        <f>IF(Table645[[#This Row],[Column74]]=0,"--",BW225*$BY$3)</f>
        <v>--</v>
      </c>
      <c r="CA225" s="89">
        <f>IF(Table645[[#This Row],[Column78]]="--",0,Table645[[#This Row],[Column4]]*Table645[[#This Row],[Column78]])</f>
        <v>0</v>
      </c>
      <c r="CB225" s="95" t="s">
        <v>70</v>
      </c>
      <c r="CC225" s="91" t="str">
        <f>IF(Table645[[#This Row],[Column10]]+Table645[[#This Row],[Column74]]=0,"--",J225*$CB$4*$CB$5/(24*60)+IF(Table645[[#This Row],[Column74]]=0,0,$CB$3*Table645[[#This Row],[Column75]]))</f>
        <v>--</v>
      </c>
      <c r="CD225" s="92">
        <f>IF(Table645[[#This Row],[Column81]]="--",0,Table645[[#This Row],[Column4]]*Table645[[#This Row],[Column81]])</f>
        <v>0</v>
      </c>
      <c r="CE225" s="215"/>
      <c r="CF225" s="91" t="str">
        <f t="shared" si="127"/>
        <v>--</v>
      </c>
      <c r="CG225" s="92">
        <f>IF(Table645[[#This Row],[Column84]]="--",0,Table645[[#This Row],[Column4]]*Table645[[#This Row],[Column84]])</f>
        <v>0</v>
      </c>
      <c r="CH225" s="226"/>
      <c r="CI225" s="216"/>
      <c r="CJ225" s="91" t="str">
        <f>IF(CI225=0,"--",(Table645[[#This Row],[Column86]]*$CI$4*(IF(W225&lt;0.5001,1,IF(W225&lt;2.0001,2,3)))+CI225/$CI$3)/60/24)</f>
        <v>--</v>
      </c>
      <c r="CK225" s="92">
        <f>IF(Table645[[#This Row],[Column88]]="--",0,Table645[[#This Row],[Column4]]*Table645[[#This Row],[Column88]])</f>
        <v>0</v>
      </c>
      <c r="CL225" s="217"/>
      <c r="CM225" s="91" t="str">
        <f>IF(Table645[[#This Row],[Column87]]=0,"--",CJ225*$CL$3)</f>
        <v>--</v>
      </c>
      <c r="CN225" s="92">
        <f>IF(Table645[[#This Row],[Column91]]="--",0,Table645[[#This Row],[Column4]]*Table645[[#This Row],[Column91]])</f>
        <v>0</v>
      </c>
      <c r="CO225" s="217"/>
      <c r="CP225" s="91" t="str">
        <f>IF(Table645[[#This Row],[Column10]]+Table645[[#This Row],[Column87]]=0, "--", IF($D225="", 1, $D225) * IF($J225="", 1, $J225) * $CO$3 * $CO$4 * IF(Table645[[#This Row],[Column95]]="", 1, Table645[[#This Row],[Column95]]) / (24 * 60))</f>
        <v>--</v>
      </c>
      <c r="CQ225" s="164"/>
      <c r="CR225" s="92">
        <f>IF(Table645[[#This Row],[Column94]]="--",0,Table645[[#This Row],[Column4]]*Table645[[#This Row],[Column94]])</f>
        <v>0</v>
      </c>
      <c r="CS225" s="218" t="str">
        <f>IF(Table645[[#This Row],[Column87]]="","",Table645[[#This Row],[Column87]])</f>
        <v/>
      </c>
      <c r="CT225" s="91" t="str">
        <f>IF(Table645[[#This Row],[Column97]]="","--",Table645[[#This Row],[Column97]]/$CS$3/60/24)</f>
        <v>--</v>
      </c>
      <c r="CU225" s="92">
        <f>IF(Table645[[#This Row],[Column98]]="--",0,Table645[[#This Row],[Column4]]*Table645[[#This Row],[Column98]])</f>
        <v>0</v>
      </c>
      <c r="CV225" s="93"/>
      <c r="CW225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25" s="91" t="str">
        <f>IF(OR(Table645[[#This Row],[Column74]]&gt;0,Table645[[#This Row],[Column87]]&gt;0),(Table645[[#This Row],[Column73]]+Table645[[#This Row],[Column86]]+1)*$CW$3/60/24,"--")</f>
        <v>--</v>
      </c>
      <c r="CY225" s="92">
        <f>IF(Table645[[#This Row],[Column102]]="--",0,Table645[[#This Row],[Column4]]*Table645[[#This Row],[Column102]])</f>
        <v>0</v>
      </c>
      <c r="CZ225" s="158" t="str">
        <f t="shared" si="112"/>
        <v>--</v>
      </c>
      <c r="DA225" s="153"/>
      <c r="DB225" s="160">
        <f>IF(Table645[[#This Row],[Column104]]="--",0,Table645[[#This Row],[Column4]]*Table645[[#This Row],[Column104]])</f>
        <v>0</v>
      </c>
      <c r="DC225" s="219"/>
      <c r="DD225" s="220" t="str">
        <f>IF(DC225=0,"--",1/$DC$3*1000/(60*60*24)*Table645[[#This Row],[Column107]])</f>
        <v>--</v>
      </c>
      <c r="DE225" s="160">
        <f>IF(Table645[[#This Row],[Column108]]="--",0,Table645[[#This Row],[Column4]]*Table645[[#This Row],[Column108]])</f>
        <v>0</v>
      </c>
      <c r="DF225" s="101" t="s">
        <v>70</v>
      </c>
      <c r="DG225" s="91" t="str">
        <f t="shared" si="113"/>
        <v>--</v>
      </c>
      <c r="DH225" s="89">
        <f>IF(Table645[[#This Row],[Column111]]="--",0,Table645[[#This Row],[Column4]]*Table645[[#This Row],[Column111]])</f>
        <v>0</v>
      </c>
      <c r="DI225" s="96"/>
      <c r="DJ225" s="96"/>
      <c r="DK225" s="96"/>
      <c r="DL225" s="96"/>
      <c r="DM225" s="96"/>
      <c r="DN225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25" s="89">
        <f>IF(Table645[[#This Row],[Column118]]="--",0,Table645[[#This Row],[Column4]]*Table645[[#This Row],[Column118]])</f>
        <v>0</v>
      </c>
      <c r="DP225" s="96"/>
      <c r="DQ225" s="96"/>
      <c r="DR225" s="91" t="str">
        <f t="shared" si="114"/>
        <v>--</v>
      </c>
      <c r="DS225" s="89">
        <f>IF(Table645[[#This Row],[Column122]]="--",0,Table645[[#This Row],[Column4]]*Table645[[#This Row],[Column122]])</f>
        <v>0</v>
      </c>
      <c r="DT225" t="str">
        <f>IF(Table645[[#This Row],[Column125]]=0,"--",Table645[[#This Row],[Column125]]*Table645[[#This Row],[Column126]]*Table645[[#This Row],[Column127]]/1000000000)</f>
        <v>--</v>
      </c>
      <c r="DU225" s="53"/>
      <c r="DV225" s="53"/>
      <c r="DW225" s="53"/>
      <c r="DX225" s="91" t="str">
        <f t="shared" si="115"/>
        <v>--</v>
      </c>
      <c r="DY225" s="89">
        <f>IF(Table645[[#This Row],[Column128]]="--",0,Table645[[#This Row],[Column4]]*Table645[[#This Row],[Column128]])</f>
        <v>0</v>
      </c>
      <c r="EA225" s="89">
        <f>IF(Table645[[#This Row],[Column128]]="--",0,Table645[[#This Row],[Column4]]*Table645[[#This Row],[Column128]])</f>
        <v>0</v>
      </c>
      <c r="EC225" s="89">
        <f>IF(Table645[[#This Row],[Column128]]="--",0,Table645[[#This Row],[Column4]]*Table645[[#This Row],[Column128]])</f>
        <v>0</v>
      </c>
      <c r="EE225" s="89">
        <f>IF(Table645[[#This Row],[Column128]]="--",0,Table645[[#This Row],[Column4]]*Table645[[#This Row],[Column128]])</f>
        <v>0</v>
      </c>
      <c r="EG225" s="89">
        <f>IF(Table645[[#This Row],[Column128]]="--",0,Table645[[#This Row],[Column4]]*Table645[[#This Row],[Column128]])</f>
        <v>0</v>
      </c>
      <c r="EI225" s="89">
        <f>IF(Table645[[#This Row],[Column128]]="--",0,Table645[[#This Row],[Column4]]*Table645[[#This Row],[Column128]])</f>
        <v>0</v>
      </c>
    </row>
    <row r="226" spans="1:139" x14ac:dyDescent="0.25">
      <c r="A226" s="140"/>
      <c r="B226" s="79"/>
      <c r="C226" s="140"/>
      <c r="D226" s="167"/>
      <c r="E226" s="52"/>
      <c r="F226" s="81"/>
      <c r="G226" s="81"/>
      <c r="H226" s="102" t="str">
        <f t="shared" si="106"/>
        <v>--</v>
      </c>
      <c r="I226" s="100">
        <f>IF(Table645[[#This Row],[Column8]]="--",0,Table645[[#This Row],[Column4]]*Table645[[#This Row],[Column8]])</f>
        <v>0</v>
      </c>
      <c r="J226" s="169"/>
      <c r="K226" s="85">
        <f>Table645[[#This Row],[Column4]]*Table645[[#This Row],[Column10]]</f>
        <v>0</v>
      </c>
      <c r="L226" s="170" t="str">
        <f t="shared" si="107"/>
        <v>--</v>
      </c>
      <c r="M226" s="214">
        <f>IF(Table645[[#This Row],[Column10]]=0,0,Table645[[#This Row],[Column4]]*Table645[[#This Row],[Column12]])</f>
        <v>0</v>
      </c>
      <c r="N226" s="87" t="str">
        <f t="shared" si="108"/>
        <v>--</v>
      </c>
      <c r="O226" s="138"/>
      <c r="AZ226" s="89">
        <f>IF(Table645[[#This Row],[Column14]]="--",0,Table645[[#This Row],[Column4]]*Table645[[#This Row],[Column14]])</f>
        <v>0</v>
      </c>
      <c r="BA226" s="90"/>
      <c r="BB226" s="91" t="str">
        <f>IF(BA226=0,"--",BA226*$BA$3*IF(Table645[[#This Row],[Column5]]&lt;4.1,1,2)/60/24)</f>
        <v>--</v>
      </c>
      <c r="BC226" s="92">
        <f>IF(Table645[[#This Row],[Column54]]="--",0,Table645[[#This Row],[Column4]]*Table645[[#This Row],[Column54]])</f>
        <v>0</v>
      </c>
      <c r="BD226" s="119"/>
      <c r="BE226" s="119"/>
      <c r="BF226" s="119"/>
      <c r="BG226" s="91" t="str">
        <f>IF(BD226+Table645[[#This Row],[Column58]]=0,"--",(BD226*$BF$3*Table645[[#This Row],[Column57]]+Table645[[#This Row],[Column58]]*$BF$4)/60/24)</f>
        <v>--</v>
      </c>
      <c r="BH226" s="92">
        <f>IF(Table645[[#This Row],[Column59]]="--",0,Table645[[#This Row],[Column4]]*Table645[[#This Row],[Column59]])</f>
        <v>0</v>
      </c>
      <c r="BI226" s="119"/>
      <c r="BJ226" s="91" t="str">
        <f t="shared" si="126"/>
        <v>--</v>
      </c>
      <c r="BK226" s="92">
        <f>IF(Table645[[#This Row],[Column62]]="--",0,Table645[[#This Row],[Column4]]*Table645[[#This Row],[Column62]])</f>
        <v>0</v>
      </c>
      <c r="BL226" s="93"/>
      <c r="BM226" s="91" t="str">
        <f t="shared" si="109"/>
        <v>--</v>
      </c>
      <c r="BN226" s="89">
        <f>IF(Table645[[#This Row],[Column65]]="--",0,Table645[[#This Row],[Column4]]*Table645[[#This Row],[Column65]])</f>
        <v>0</v>
      </c>
      <c r="BO226" s="163"/>
      <c r="BP226" s="164" t="str">
        <f t="shared" si="110"/>
        <v>--</v>
      </c>
      <c r="BQ226" s="160">
        <f>IF(Table645[[#This Row],[Column68]]="--",0,Table645[[#This Row],[Column4]]*Table645[[#This Row],[Column68]])</f>
        <v>0</v>
      </c>
      <c r="BR226" s="94"/>
      <c r="BS226" s="91" t="str">
        <f t="shared" si="111"/>
        <v>--</v>
      </c>
      <c r="BT226" s="92">
        <f>IF(Table645[[#This Row],[Column71]]="--",0,Table645[[#This Row],[Column4]]*Table645[[#This Row],[Column71]])</f>
        <v>0</v>
      </c>
      <c r="BU226" s="44"/>
      <c r="BV226" s="90"/>
      <c r="BW226" s="91" t="str">
        <f>IF(BV226=0,"--",(Table645[[#This Row],[Column73]]*$BV$4*(IF(J226&lt;0.5001,1,IF(J226&lt;2.0001,2,3)))+BV226/$BV$3)/60/24)</f>
        <v>--</v>
      </c>
      <c r="BX226" s="92">
        <f>IF(Table645[[#This Row],[Column75]]="--",0,Table645[[#This Row],[Column4]]*Table645[[#This Row],[Column75]])</f>
        <v>0</v>
      </c>
      <c r="BY226" s="95" t="s">
        <v>70</v>
      </c>
      <c r="BZ226" s="91" t="str">
        <f>IF(Table645[[#This Row],[Column74]]=0,"--",BW226*$BY$3)</f>
        <v>--</v>
      </c>
      <c r="CA226" s="89">
        <f>IF(Table645[[#This Row],[Column78]]="--",0,Table645[[#This Row],[Column4]]*Table645[[#This Row],[Column78]])</f>
        <v>0</v>
      </c>
      <c r="CB226" s="95" t="s">
        <v>70</v>
      </c>
      <c r="CC226" s="91" t="str">
        <f>IF(Table645[[#This Row],[Column10]]+Table645[[#This Row],[Column74]]=0,"--",J226*$CB$4*$CB$5/(24*60)+IF(Table645[[#This Row],[Column74]]=0,0,$CB$3*Table645[[#This Row],[Column75]]))</f>
        <v>--</v>
      </c>
      <c r="CD226" s="92">
        <f>IF(Table645[[#This Row],[Column81]]="--",0,Table645[[#This Row],[Column4]]*Table645[[#This Row],[Column81]])</f>
        <v>0</v>
      </c>
      <c r="CE226" s="215"/>
      <c r="CF226" s="91" t="str">
        <f t="shared" si="127"/>
        <v>--</v>
      </c>
      <c r="CG226" s="92">
        <f>IF(Table645[[#This Row],[Column84]]="--",0,Table645[[#This Row],[Column4]]*Table645[[#This Row],[Column84]])</f>
        <v>0</v>
      </c>
      <c r="CH226" s="226"/>
      <c r="CI226" s="216"/>
      <c r="CJ226" s="91" t="str">
        <f>IF(CI226=0,"--",(Table645[[#This Row],[Column86]]*$CI$4*(IF(W226&lt;0.5001,1,IF(W226&lt;2.0001,2,3)))+CI226/$CI$3)/60/24)</f>
        <v>--</v>
      </c>
      <c r="CK226" s="92">
        <f>IF(Table645[[#This Row],[Column88]]="--",0,Table645[[#This Row],[Column4]]*Table645[[#This Row],[Column88]])</f>
        <v>0</v>
      </c>
      <c r="CL226" s="217"/>
      <c r="CM226" s="91" t="str">
        <f>IF(Table645[[#This Row],[Column87]]=0,"--",CJ226*$CL$3)</f>
        <v>--</v>
      </c>
      <c r="CN226" s="92">
        <f>IF(Table645[[#This Row],[Column91]]="--",0,Table645[[#This Row],[Column4]]*Table645[[#This Row],[Column91]])</f>
        <v>0</v>
      </c>
      <c r="CO226" s="217"/>
      <c r="CP226" s="91" t="str">
        <f>IF(Table645[[#This Row],[Column10]]+Table645[[#This Row],[Column87]]=0, "--", IF($D226="", 1, $D226) * IF($J226="", 1, $J226) * $CO$3 * $CO$4 * IF(Table645[[#This Row],[Column95]]="", 1, Table645[[#This Row],[Column95]]) / (24 * 60))</f>
        <v>--</v>
      </c>
      <c r="CQ226" s="164"/>
      <c r="CR226" s="92">
        <f>IF(Table645[[#This Row],[Column94]]="--",0,Table645[[#This Row],[Column4]]*Table645[[#This Row],[Column94]])</f>
        <v>0</v>
      </c>
      <c r="CS226" s="218" t="str">
        <f>IF(Table645[[#This Row],[Column87]]="","",Table645[[#This Row],[Column87]])</f>
        <v/>
      </c>
      <c r="CT226" s="91" t="str">
        <f>IF(Table645[[#This Row],[Column97]]="","--",Table645[[#This Row],[Column97]]/$CS$3/60/24)</f>
        <v>--</v>
      </c>
      <c r="CU226" s="92">
        <f>IF(Table645[[#This Row],[Column98]]="--",0,Table645[[#This Row],[Column4]]*Table645[[#This Row],[Column98]])</f>
        <v>0</v>
      </c>
      <c r="CV226" s="93"/>
      <c r="CW226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26" s="91" t="str">
        <f>IF(OR(Table645[[#This Row],[Column74]]&gt;0,Table645[[#This Row],[Column87]]&gt;0),(Table645[[#This Row],[Column73]]+Table645[[#This Row],[Column86]]+1)*$CW$3/60/24,"--")</f>
        <v>--</v>
      </c>
      <c r="CY226" s="92">
        <f>IF(Table645[[#This Row],[Column102]]="--",0,Table645[[#This Row],[Column4]]*Table645[[#This Row],[Column102]])</f>
        <v>0</v>
      </c>
      <c r="CZ226" s="158" t="str">
        <f t="shared" si="112"/>
        <v>--</v>
      </c>
      <c r="DA226" s="153"/>
      <c r="DB226" s="160">
        <f>IF(Table645[[#This Row],[Column104]]="--",0,Table645[[#This Row],[Column4]]*Table645[[#This Row],[Column104]])</f>
        <v>0</v>
      </c>
      <c r="DC226" s="219"/>
      <c r="DD226" s="220" t="str">
        <f>IF(DC226=0,"--",1/$DC$3*1000/(60*60*24)*Table645[[#This Row],[Column107]])</f>
        <v>--</v>
      </c>
      <c r="DE226" s="160">
        <f>IF(Table645[[#This Row],[Column108]]="--",0,Table645[[#This Row],[Column4]]*Table645[[#This Row],[Column108]])</f>
        <v>0</v>
      </c>
      <c r="DF226" s="101" t="s">
        <v>70</v>
      </c>
      <c r="DG226" s="91" t="str">
        <f t="shared" si="113"/>
        <v>--</v>
      </c>
      <c r="DH226" s="89">
        <f>IF(Table645[[#This Row],[Column111]]="--",0,Table645[[#This Row],[Column4]]*Table645[[#This Row],[Column111]])</f>
        <v>0</v>
      </c>
      <c r="DI226" s="96"/>
      <c r="DJ226" s="96"/>
      <c r="DK226" s="96"/>
      <c r="DL226" s="96"/>
      <c r="DM226" s="96"/>
      <c r="DN226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26" s="89">
        <f>IF(Table645[[#This Row],[Column118]]="--",0,Table645[[#This Row],[Column4]]*Table645[[#This Row],[Column118]])</f>
        <v>0</v>
      </c>
      <c r="DP226" s="96"/>
      <c r="DQ226" s="96"/>
      <c r="DR226" s="91" t="str">
        <f t="shared" si="114"/>
        <v>--</v>
      </c>
      <c r="DS226" s="89">
        <f>IF(Table645[[#This Row],[Column122]]="--",0,Table645[[#This Row],[Column4]]*Table645[[#This Row],[Column122]])</f>
        <v>0</v>
      </c>
      <c r="DT226" t="str">
        <f>IF(Table645[[#This Row],[Column125]]=0,"--",Table645[[#This Row],[Column125]]*Table645[[#This Row],[Column126]]*Table645[[#This Row],[Column127]]/1000000000)</f>
        <v>--</v>
      </c>
      <c r="DU226" s="53"/>
      <c r="DV226" s="53"/>
      <c r="DW226" s="53"/>
      <c r="DX226" s="91" t="str">
        <f t="shared" si="115"/>
        <v>--</v>
      </c>
      <c r="DY226" s="89">
        <f>IF(Table645[[#This Row],[Column128]]="--",0,Table645[[#This Row],[Column4]]*Table645[[#This Row],[Column128]])</f>
        <v>0</v>
      </c>
      <c r="EA226" s="89">
        <f>IF(Table645[[#This Row],[Column128]]="--",0,Table645[[#This Row],[Column4]]*Table645[[#This Row],[Column128]])</f>
        <v>0</v>
      </c>
      <c r="EC226" s="89">
        <f>IF(Table645[[#This Row],[Column128]]="--",0,Table645[[#This Row],[Column4]]*Table645[[#This Row],[Column128]])</f>
        <v>0</v>
      </c>
      <c r="EE226" s="89">
        <f>IF(Table645[[#This Row],[Column128]]="--",0,Table645[[#This Row],[Column4]]*Table645[[#This Row],[Column128]])</f>
        <v>0</v>
      </c>
      <c r="EG226" s="89">
        <f>IF(Table645[[#This Row],[Column128]]="--",0,Table645[[#This Row],[Column4]]*Table645[[#This Row],[Column128]])</f>
        <v>0</v>
      </c>
      <c r="EI226" s="89">
        <f>IF(Table645[[#This Row],[Column128]]="--",0,Table645[[#This Row],[Column4]]*Table645[[#This Row],[Column128]])</f>
        <v>0</v>
      </c>
    </row>
    <row r="227" spans="1:139" x14ac:dyDescent="0.25">
      <c r="A227" s="140"/>
      <c r="B227" s="79"/>
      <c r="C227" s="140"/>
      <c r="D227" s="167"/>
      <c r="E227" s="52"/>
      <c r="F227" s="81"/>
      <c r="G227" s="81"/>
      <c r="H227" s="102" t="str">
        <f t="shared" si="106"/>
        <v>--</v>
      </c>
      <c r="I227" s="100">
        <f>IF(Table645[[#This Row],[Column8]]="--",0,Table645[[#This Row],[Column4]]*Table645[[#This Row],[Column8]])</f>
        <v>0</v>
      </c>
      <c r="J227" s="169"/>
      <c r="K227" s="85">
        <f>Table645[[#This Row],[Column4]]*Table645[[#This Row],[Column10]]</f>
        <v>0</v>
      </c>
      <c r="L227" s="170" t="str">
        <f t="shared" si="107"/>
        <v>--</v>
      </c>
      <c r="M227" s="214">
        <f>IF(Table645[[#This Row],[Column10]]=0,0,Table645[[#This Row],[Column4]]*Table645[[#This Row],[Column12]])</f>
        <v>0</v>
      </c>
      <c r="N227" s="87" t="str">
        <f t="shared" si="108"/>
        <v>--</v>
      </c>
      <c r="O227" s="138"/>
      <c r="AZ227" s="89">
        <f>IF(Table645[[#This Row],[Column14]]="--",0,Table645[[#This Row],[Column4]]*Table645[[#This Row],[Column14]])</f>
        <v>0</v>
      </c>
      <c r="BA227" s="90"/>
      <c r="BB227" s="91" t="str">
        <f>IF(BA227=0,"--",BA227*$BA$3*IF(Table645[[#This Row],[Column5]]&lt;4.1,1,2)/60/24)</f>
        <v>--</v>
      </c>
      <c r="BC227" s="92">
        <f>IF(Table645[[#This Row],[Column54]]="--",0,Table645[[#This Row],[Column4]]*Table645[[#This Row],[Column54]])</f>
        <v>0</v>
      </c>
      <c r="BD227" s="119"/>
      <c r="BE227" s="119"/>
      <c r="BF227" s="119"/>
      <c r="BG227" s="91" t="str">
        <f>IF(BD227+Table645[[#This Row],[Column58]]=0,"--",(BD227*$BF$3*Table645[[#This Row],[Column57]]+Table645[[#This Row],[Column58]]*$BF$4)/60/24)</f>
        <v>--</v>
      </c>
      <c r="BH227" s="92">
        <f>IF(Table645[[#This Row],[Column59]]="--",0,Table645[[#This Row],[Column4]]*Table645[[#This Row],[Column59]])</f>
        <v>0</v>
      </c>
      <c r="BI227" s="119"/>
      <c r="BJ227" s="91" t="str">
        <f t="shared" ref="BJ227:BJ290" si="148">IF(BI227=0,"--",BI227/$BI$3/60/24)</f>
        <v>--</v>
      </c>
      <c r="BK227" s="92">
        <f>IF(Table645[[#This Row],[Column62]]="--",0,Table645[[#This Row],[Column4]]*Table645[[#This Row],[Column62]])</f>
        <v>0</v>
      </c>
      <c r="BL227" s="93"/>
      <c r="BM227" s="91" t="str">
        <f t="shared" si="109"/>
        <v>--</v>
      </c>
      <c r="BN227" s="89">
        <f>IF(Table645[[#This Row],[Column65]]="--",0,Table645[[#This Row],[Column4]]*Table645[[#This Row],[Column65]])</f>
        <v>0</v>
      </c>
      <c r="BO227" s="163"/>
      <c r="BP227" s="164" t="str">
        <f t="shared" si="110"/>
        <v>--</v>
      </c>
      <c r="BQ227" s="160">
        <f>IF(Table645[[#This Row],[Column68]]="--",0,Table645[[#This Row],[Column4]]*Table645[[#This Row],[Column68]])</f>
        <v>0</v>
      </c>
      <c r="BR227" s="94"/>
      <c r="BS227" s="91" t="str">
        <f t="shared" si="111"/>
        <v>--</v>
      </c>
      <c r="BT227" s="92">
        <f>IF(Table645[[#This Row],[Column71]]="--",0,Table645[[#This Row],[Column4]]*Table645[[#This Row],[Column71]])</f>
        <v>0</v>
      </c>
      <c r="BU227" s="44"/>
      <c r="BV227" s="90"/>
      <c r="BW227" s="91" t="str">
        <f>IF(BV227=0,"--",(Table645[[#This Row],[Column73]]*$BV$4*(IF(J227&lt;0.5001,1,IF(J227&lt;2.0001,2,3)))+BV227/$BV$3)/60/24)</f>
        <v>--</v>
      </c>
      <c r="BX227" s="92">
        <f>IF(Table645[[#This Row],[Column75]]="--",0,Table645[[#This Row],[Column4]]*Table645[[#This Row],[Column75]])</f>
        <v>0</v>
      </c>
      <c r="BY227" s="95" t="s">
        <v>70</v>
      </c>
      <c r="BZ227" s="91" t="str">
        <f>IF(Table645[[#This Row],[Column74]]=0,"--",BW227*$BY$3)</f>
        <v>--</v>
      </c>
      <c r="CA227" s="89">
        <f>IF(Table645[[#This Row],[Column78]]="--",0,Table645[[#This Row],[Column4]]*Table645[[#This Row],[Column78]])</f>
        <v>0</v>
      </c>
      <c r="CB227" s="95" t="s">
        <v>70</v>
      </c>
      <c r="CC227" s="91" t="str">
        <f>IF(Table645[[#This Row],[Column10]]+Table645[[#This Row],[Column74]]=0,"--",J227*$CB$4*$CB$5/(24*60)+IF(Table645[[#This Row],[Column74]]=0,0,$CB$3*Table645[[#This Row],[Column75]]))</f>
        <v>--</v>
      </c>
      <c r="CD227" s="92">
        <f>IF(Table645[[#This Row],[Column81]]="--",0,Table645[[#This Row],[Column4]]*Table645[[#This Row],[Column81]])</f>
        <v>0</v>
      </c>
      <c r="CE227" s="215"/>
      <c r="CF227" s="91" t="str">
        <f t="shared" ref="CF227:CF290" si="149">IF(CE227=0,"--",CE227*$BR$3/60/60/24)</f>
        <v>--</v>
      </c>
      <c r="CG227" s="92">
        <f>IF(Table645[[#This Row],[Column84]]="--",0,Table645[[#This Row],[Column4]]*Table645[[#This Row],[Column84]])</f>
        <v>0</v>
      </c>
      <c r="CH227" s="226"/>
      <c r="CI227" s="216"/>
      <c r="CJ227" s="91" t="str">
        <f>IF(CI227=0,"--",(Table645[[#This Row],[Column86]]*$CI$4*(IF(W227&lt;0.5001,1,IF(W227&lt;2.0001,2,3)))+CI227/$CI$3)/60/24)</f>
        <v>--</v>
      </c>
      <c r="CK227" s="92">
        <f>IF(Table645[[#This Row],[Column88]]="--",0,Table645[[#This Row],[Column4]]*Table645[[#This Row],[Column88]])</f>
        <v>0</v>
      </c>
      <c r="CL227" s="217"/>
      <c r="CM227" s="91" t="str">
        <f>IF(Table645[[#This Row],[Column87]]=0,"--",CJ227*$CL$3)</f>
        <v>--</v>
      </c>
      <c r="CN227" s="92">
        <f>IF(Table645[[#This Row],[Column91]]="--",0,Table645[[#This Row],[Column4]]*Table645[[#This Row],[Column91]])</f>
        <v>0</v>
      </c>
      <c r="CO227" s="217"/>
      <c r="CP227" s="91" t="str">
        <f>IF(Table645[[#This Row],[Column10]]+Table645[[#This Row],[Column87]]=0, "--", IF($D227="", 1, $D227) * IF($J227="", 1, $J227) * $CO$3 * $CO$4 * IF(Table645[[#This Row],[Column95]]="", 1, Table645[[#This Row],[Column95]]) / (24 * 60))</f>
        <v>--</v>
      </c>
      <c r="CQ227" s="164"/>
      <c r="CR227" s="92">
        <f>IF(Table645[[#This Row],[Column94]]="--",0,Table645[[#This Row],[Column4]]*Table645[[#This Row],[Column94]])</f>
        <v>0</v>
      </c>
      <c r="CS227" s="218" t="str">
        <f>IF(Table645[[#This Row],[Column87]]="","",Table645[[#This Row],[Column87]])</f>
        <v/>
      </c>
      <c r="CT227" s="91" t="str">
        <f>IF(Table645[[#This Row],[Column97]]="","--",Table645[[#This Row],[Column97]]/$CS$3/60/24)</f>
        <v>--</v>
      </c>
      <c r="CU227" s="92">
        <f>IF(Table645[[#This Row],[Column98]]="--",0,Table645[[#This Row],[Column4]]*Table645[[#This Row],[Column98]])</f>
        <v>0</v>
      </c>
      <c r="CV227" s="93"/>
      <c r="CW227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27" s="91" t="str">
        <f>IF(OR(Table645[[#This Row],[Column74]]&gt;0,Table645[[#This Row],[Column87]]&gt;0),(Table645[[#This Row],[Column73]]+Table645[[#This Row],[Column86]]+1)*$CW$3/60/24,"--")</f>
        <v>--</v>
      </c>
      <c r="CY227" s="92">
        <f>IF(Table645[[#This Row],[Column102]]="--",0,Table645[[#This Row],[Column4]]*Table645[[#This Row],[Column102]])</f>
        <v>0</v>
      </c>
      <c r="CZ227" s="158" t="str">
        <f t="shared" si="112"/>
        <v>--</v>
      </c>
      <c r="DA227" s="153"/>
      <c r="DB227" s="160">
        <f>IF(Table645[[#This Row],[Column104]]="--",0,Table645[[#This Row],[Column4]]*Table645[[#This Row],[Column104]])</f>
        <v>0</v>
      </c>
      <c r="DC227" s="219"/>
      <c r="DD227" s="220" t="str">
        <f>IF(DC227=0,"--",1/$DC$3*1000/(60*60*24)*Table645[[#This Row],[Column107]])</f>
        <v>--</v>
      </c>
      <c r="DE227" s="160">
        <f>IF(Table645[[#This Row],[Column108]]="--",0,Table645[[#This Row],[Column4]]*Table645[[#This Row],[Column108]])</f>
        <v>0</v>
      </c>
      <c r="DF227" s="101" t="s">
        <v>70</v>
      </c>
      <c r="DG227" s="91" t="str">
        <f t="shared" si="113"/>
        <v>--</v>
      </c>
      <c r="DH227" s="89">
        <f>IF(Table645[[#This Row],[Column111]]="--",0,Table645[[#This Row],[Column4]]*Table645[[#This Row],[Column111]])</f>
        <v>0</v>
      </c>
      <c r="DI227" s="96"/>
      <c r="DJ227" s="96"/>
      <c r="DK227" s="96"/>
      <c r="DL227" s="96"/>
      <c r="DM227" s="96"/>
      <c r="DN227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27" s="89">
        <f>IF(Table645[[#This Row],[Column118]]="--",0,Table645[[#This Row],[Column4]]*Table645[[#This Row],[Column118]])</f>
        <v>0</v>
      </c>
      <c r="DP227" s="96"/>
      <c r="DQ227" s="96"/>
      <c r="DR227" s="91" t="str">
        <f t="shared" si="114"/>
        <v>--</v>
      </c>
      <c r="DS227" s="89">
        <f>IF(Table645[[#This Row],[Column122]]="--",0,Table645[[#This Row],[Column4]]*Table645[[#This Row],[Column122]])</f>
        <v>0</v>
      </c>
      <c r="DT227" t="str">
        <f>IF(Table645[[#This Row],[Column125]]=0,"--",Table645[[#This Row],[Column125]]*Table645[[#This Row],[Column126]]*Table645[[#This Row],[Column127]]/1000000000)</f>
        <v>--</v>
      </c>
      <c r="DU227" s="53"/>
      <c r="DV227" s="53"/>
      <c r="DW227" s="53"/>
      <c r="DX227" s="91" t="str">
        <f t="shared" si="115"/>
        <v>--</v>
      </c>
      <c r="DY227" s="89">
        <f>IF(Table645[[#This Row],[Column128]]="--",0,Table645[[#This Row],[Column4]]*Table645[[#This Row],[Column128]])</f>
        <v>0</v>
      </c>
      <c r="EA227" s="89">
        <f>IF(Table645[[#This Row],[Column128]]="--",0,Table645[[#This Row],[Column4]]*Table645[[#This Row],[Column128]])</f>
        <v>0</v>
      </c>
      <c r="EC227" s="89">
        <f>IF(Table645[[#This Row],[Column128]]="--",0,Table645[[#This Row],[Column4]]*Table645[[#This Row],[Column128]])</f>
        <v>0</v>
      </c>
      <c r="EE227" s="89">
        <f>IF(Table645[[#This Row],[Column128]]="--",0,Table645[[#This Row],[Column4]]*Table645[[#This Row],[Column128]])</f>
        <v>0</v>
      </c>
      <c r="EG227" s="89">
        <f>IF(Table645[[#This Row],[Column128]]="--",0,Table645[[#This Row],[Column4]]*Table645[[#This Row],[Column128]])</f>
        <v>0</v>
      </c>
      <c r="EI227" s="89">
        <f>IF(Table645[[#This Row],[Column128]]="--",0,Table645[[#This Row],[Column4]]*Table645[[#This Row],[Column128]])</f>
        <v>0</v>
      </c>
    </row>
    <row r="228" spans="1:139" x14ac:dyDescent="0.25">
      <c r="A228" s="140"/>
      <c r="B228" s="79"/>
      <c r="C228" s="140"/>
      <c r="D228" s="167"/>
      <c r="E228" s="52"/>
      <c r="F228" s="81"/>
      <c r="G228" s="81"/>
      <c r="H228" s="102" t="str">
        <f t="shared" si="106"/>
        <v>--</v>
      </c>
      <c r="I228" s="100">
        <f>IF(Table645[[#This Row],[Column8]]="--",0,Table645[[#This Row],[Column4]]*Table645[[#This Row],[Column8]])</f>
        <v>0</v>
      </c>
      <c r="J228" s="169"/>
      <c r="K228" s="85">
        <f>Table645[[#This Row],[Column4]]*Table645[[#This Row],[Column10]]</f>
        <v>0</v>
      </c>
      <c r="L228" s="170" t="str">
        <f t="shared" si="107"/>
        <v>--</v>
      </c>
      <c r="M228" s="214">
        <f>IF(Table645[[#This Row],[Column10]]=0,0,Table645[[#This Row],[Column4]]*Table645[[#This Row],[Column12]])</f>
        <v>0</v>
      </c>
      <c r="N228" s="87" t="str">
        <f t="shared" si="108"/>
        <v>--</v>
      </c>
      <c r="O228" s="138"/>
      <c r="AZ228" s="89">
        <f>IF(Table645[[#This Row],[Column14]]="--",0,Table645[[#This Row],[Column4]]*Table645[[#This Row],[Column14]])</f>
        <v>0</v>
      </c>
      <c r="BA228" s="90"/>
      <c r="BB228" s="91" t="str">
        <f>IF(BA228=0,"--",BA228*$BA$3*IF(Table645[[#This Row],[Column5]]&lt;4.1,1,2)/60/24)</f>
        <v>--</v>
      </c>
      <c r="BC228" s="92">
        <f>IF(Table645[[#This Row],[Column54]]="--",0,Table645[[#This Row],[Column4]]*Table645[[#This Row],[Column54]])</f>
        <v>0</v>
      </c>
      <c r="BD228" s="119"/>
      <c r="BE228" s="119"/>
      <c r="BF228" s="119"/>
      <c r="BG228" s="91" t="str">
        <f>IF(BD228+Table645[[#This Row],[Column58]]=0,"--",(BD228*$BF$3*Table645[[#This Row],[Column57]]+Table645[[#This Row],[Column58]]*$BF$4)/60/24)</f>
        <v>--</v>
      </c>
      <c r="BH228" s="92">
        <f>IF(Table645[[#This Row],[Column59]]="--",0,Table645[[#This Row],[Column4]]*Table645[[#This Row],[Column59]])</f>
        <v>0</v>
      </c>
      <c r="BI228" s="119"/>
      <c r="BJ228" s="91" t="str">
        <f t="shared" si="148"/>
        <v>--</v>
      </c>
      <c r="BK228" s="92">
        <f>IF(Table645[[#This Row],[Column62]]="--",0,Table645[[#This Row],[Column4]]*Table645[[#This Row],[Column62]])</f>
        <v>0</v>
      </c>
      <c r="BL228" s="93"/>
      <c r="BM228" s="91" t="str">
        <f t="shared" si="109"/>
        <v>--</v>
      </c>
      <c r="BN228" s="89">
        <f>IF(Table645[[#This Row],[Column65]]="--",0,Table645[[#This Row],[Column4]]*Table645[[#This Row],[Column65]])</f>
        <v>0</v>
      </c>
      <c r="BO228" s="163"/>
      <c r="BP228" s="164" t="str">
        <f t="shared" si="110"/>
        <v>--</v>
      </c>
      <c r="BQ228" s="160">
        <f>IF(Table645[[#This Row],[Column68]]="--",0,Table645[[#This Row],[Column4]]*Table645[[#This Row],[Column68]])</f>
        <v>0</v>
      </c>
      <c r="BR228" s="94"/>
      <c r="BS228" s="91" t="str">
        <f t="shared" si="111"/>
        <v>--</v>
      </c>
      <c r="BT228" s="92">
        <f>IF(Table645[[#This Row],[Column71]]="--",0,Table645[[#This Row],[Column4]]*Table645[[#This Row],[Column71]])</f>
        <v>0</v>
      </c>
      <c r="BU228" s="44"/>
      <c r="BV228" s="90"/>
      <c r="BW228" s="91" t="str">
        <f>IF(BV228=0,"--",(Table645[[#This Row],[Column73]]*$BV$4*(IF(J228&lt;0.5001,1,IF(J228&lt;2.0001,2,3)))+BV228/$BV$3)/60/24)</f>
        <v>--</v>
      </c>
      <c r="BX228" s="92">
        <f>IF(Table645[[#This Row],[Column75]]="--",0,Table645[[#This Row],[Column4]]*Table645[[#This Row],[Column75]])</f>
        <v>0</v>
      </c>
      <c r="BY228" s="95" t="s">
        <v>70</v>
      </c>
      <c r="BZ228" s="91" t="str">
        <f>IF(Table645[[#This Row],[Column74]]=0,"--",BW228*$BY$3)</f>
        <v>--</v>
      </c>
      <c r="CA228" s="89">
        <f>IF(Table645[[#This Row],[Column78]]="--",0,Table645[[#This Row],[Column4]]*Table645[[#This Row],[Column78]])</f>
        <v>0</v>
      </c>
      <c r="CB228" s="95" t="s">
        <v>70</v>
      </c>
      <c r="CC228" s="91" t="str">
        <f>IF(Table645[[#This Row],[Column10]]+Table645[[#This Row],[Column74]]=0,"--",J228*$CB$4*$CB$5/(24*60)+IF(Table645[[#This Row],[Column74]]=0,0,$CB$3*Table645[[#This Row],[Column75]]))</f>
        <v>--</v>
      </c>
      <c r="CD228" s="92">
        <f>IF(Table645[[#This Row],[Column81]]="--",0,Table645[[#This Row],[Column4]]*Table645[[#This Row],[Column81]])</f>
        <v>0</v>
      </c>
      <c r="CE228" s="215"/>
      <c r="CF228" s="91" t="str">
        <f t="shared" si="149"/>
        <v>--</v>
      </c>
      <c r="CG228" s="92">
        <f>IF(Table645[[#This Row],[Column84]]="--",0,Table645[[#This Row],[Column4]]*Table645[[#This Row],[Column84]])</f>
        <v>0</v>
      </c>
      <c r="CH228" s="226"/>
      <c r="CI228" s="216"/>
      <c r="CJ228" s="91" t="str">
        <f>IF(CI228=0,"--",(Table645[[#This Row],[Column86]]*$CI$4*(IF(W228&lt;0.5001,1,IF(W228&lt;2.0001,2,3)))+CI228/$CI$3)/60/24)</f>
        <v>--</v>
      </c>
      <c r="CK228" s="92">
        <f>IF(Table645[[#This Row],[Column88]]="--",0,Table645[[#This Row],[Column4]]*Table645[[#This Row],[Column88]])</f>
        <v>0</v>
      </c>
      <c r="CL228" s="217"/>
      <c r="CM228" s="91" t="str">
        <f>IF(Table645[[#This Row],[Column87]]=0,"--",CJ228*$CL$3)</f>
        <v>--</v>
      </c>
      <c r="CN228" s="92">
        <f>IF(Table645[[#This Row],[Column91]]="--",0,Table645[[#This Row],[Column4]]*Table645[[#This Row],[Column91]])</f>
        <v>0</v>
      </c>
      <c r="CO228" s="217"/>
      <c r="CP228" s="91" t="str">
        <f>IF(Table645[[#This Row],[Column10]]+Table645[[#This Row],[Column87]]=0, "--", IF($D228="", 1, $D228) * IF($J228="", 1, $J228) * $CO$3 * $CO$4 * IF(Table645[[#This Row],[Column95]]="", 1, Table645[[#This Row],[Column95]]) / (24 * 60))</f>
        <v>--</v>
      </c>
      <c r="CQ228" s="164"/>
      <c r="CR228" s="92">
        <f>IF(Table645[[#This Row],[Column94]]="--",0,Table645[[#This Row],[Column4]]*Table645[[#This Row],[Column94]])</f>
        <v>0</v>
      </c>
      <c r="CS228" s="218" t="str">
        <f>IF(Table645[[#This Row],[Column87]]="","",Table645[[#This Row],[Column87]])</f>
        <v/>
      </c>
      <c r="CT228" s="91" t="str">
        <f>IF(Table645[[#This Row],[Column97]]="","--",Table645[[#This Row],[Column97]]/$CS$3/60/24)</f>
        <v>--</v>
      </c>
      <c r="CU228" s="92">
        <f>IF(Table645[[#This Row],[Column98]]="--",0,Table645[[#This Row],[Column4]]*Table645[[#This Row],[Column98]])</f>
        <v>0</v>
      </c>
      <c r="CV228" s="93"/>
      <c r="CW228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28" s="91" t="str">
        <f>IF(OR(Table645[[#This Row],[Column74]]&gt;0,Table645[[#This Row],[Column87]]&gt;0),(Table645[[#This Row],[Column73]]+Table645[[#This Row],[Column86]]+1)*$CW$3/60/24,"--")</f>
        <v>--</v>
      </c>
      <c r="CY228" s="92">
        <f>IF(Table645[[#This Row],[Column102]]="--",0,Table645[[#This Row],[Column4]]*Table645[[#This Row],[Column102]])</f>
        <v>0</v>
      </c>
      <c r="CZ228" s="158" t="str">
        <f t="shared" si="112"/>
        <v>--</v>
      </c>
      <c r="DA228" s="153"/>
      <c r="DB228" s="160">
        <f>IF(Table645[[#This Row],[Column104]]="--",0,Table645[[#This Row],[Column4]]*Table645[[#This Row],[Column104]])</f>
        <v>0</v>
      </c>
      <c r="DC228" s="219"/>
      <c r="DD228" s="220" t="str">
        <f>IF(DC228=0,"--",1/$DC$3*1000/(60*60*24)*Table645[[#This Row],[Column107]])</f>
        <v>--</v>
      </c>
      <c r="DE228" s="160">
        <f>IF(Table645[[#This Row],[Column108]]="--",0,Table645[[#This Row],[Column4]]*Table645[[#This Row],[Column108]])</f>
        <v>0</v>
      </c>
      <c r="DF228" s="101" t="s">
        <v>70</v>
      </c>
      <c r="DG228" s="91" t="str">
        <f t="shared" si="113"/>
        <v>--</v>
      </c>
      <c r="DH228" s="89">
        <f>IF(Table645[[#This Row],[Column111]]="--",0,Table645[[#This Row],[Column4]]*Table645[[#This Row],[Column111]])</f>
        <v>0</v>
      </c>
      <c r="DI228" s="96"/>
      <c r="DJ228" s="96"/>
      <c r="DK228" s="96"/>
      <c r="DL228" s="96"/>
      <c r="DM228" s="96"/>
      <c r="DN228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28" s="89">
        <f>IF(Table645[[#This Row],[Column118]]="--",0,Table645[[#This Row],[Column4]]*Table645[[#This Row],[Column118]])</f>
        <v>0</v>
      </c>
      <c r="DP228" s="96"/>
      <c r="DQ228" s="96"/>
      <c r="DR228" s="91" t="str">
        <f t="shared" si="114"/>
        <v>--</v>
      </c>
      <c r="DS228" s="89">
        <f>IF(Table645[[#This Row],[Column122]]="--",0,Table645[[#This Row],[Column4]]*Table645[[#This Row],[Column122]])</f>
        <v>0</v>
      </c>
      <c r="DT228" t="str">
        <f>IF(Table645[[#This Row],[Column125]]=0,"--",Table645[[#This Row],[Column125]]*Table645[[#This Row],[Column126]]*Table645[[#This Row],[Column127]]/1000000000)</f>
        <v>--</v>
      </c>
      <c r="DU228" s="53"/>
      <c r="DV228" s="53"/>
      <c r="DW228" s="53"/>
      <c r="DX228" s="91" t="str">
        <f t="shared" si="115"/>
        <v>--</v>
      </c>
      <c r="DY228" s="89">
        <f>IF(Table645[[#This Row],[Column128]]="--",0,Table645[[#This Row],[Column4]]*Table645[[#This Row],[Column128]])</f>
        <v>0</v>
      </c>
      <c r="EA228" s="89">
        <f>IF(Table645[[#This Row],[Column128]]="--",0,Table645[[#This Row],[Column4]]*Table645[[#This Row],[Column128]])</f>
        <v>0</v>
      </c>
      <c r="EC228" s="89">
        <f>IF(Table645[[#This Row],[Column128]]="--",0,Table645[[#This Row],[Column4]]*Table645[[#This Row],[Column128]])</f>
        <v>0</v>
      </c>
      <c r="EE228" s="89">
        <f>IF(Table645[[#This Row],[Column128]]="--",0,Table645[[#This Row],[Column4]]*Table645[[#This Row],[Column128]])</f>
        <v>0</v>
      </c>
      <c r="EG228" s="89">
        <f>IF(Table645[[#This Row],[Column128]]="--",0,Table645[[#This Row],[Column4]]*Table645[[#This Row],[Column128]])</f>
        <v>0</v>
      </c>
      <c r="EI228" s="89">
        <f>IF(Table645[[#This Row],[Column128]]="--",0,Table645[[#This Row],[Column4]]*Table645[[#This Row],[Column128]])</f>
        <v>0</v>
      </c>
    </row>
    <row r="229" spans="1:139" x14ac:dyDescent="0.25">
      <c r="A229" s="140"/>
      <c r="B229" s="79"/>
      <c r="C229" s="140"/>
      <c r="D229" s="167"/>
      <c r="E229" s="52"/>
      <c r="F229" s="81"/>
      <c r="G229" s="81"/>
      <c r="H229" s="102" t="str">
        <f t="shared" si="106"/>
        <v>--</v>
      </c>
      <c r="I229" s="100">
        <f>IF(Table645[[#This Row],[Column8]]="--",0,Table645[[#This Row],[Column4]]*Table645[[#This Row],[Column8]])</f>
        <v>0</v>
      </c>
      <c r="J229" s="169"/>
      <c r="K229" s="85">
        <f>Table645[[#This Row],[Column4]]*Table645[[#This Row],[Column10]]</f>
        <v>0</v>
      </c>
      <c r="L229" s="170" t="str">
        <f t="shared" si="107"/>
        <v>--</v>
      </c>
      <c r="M229" s="214">
        <f>IF(Table645[[#This Row],[Column10]]=0,0,Table645[[#This Row],[Column4]]*Table645[[#This Row],[Column12]])</f>
        <v>0</v>
      </c>
      <c r="N229" s="87" t="str">
        <f t="shared" si="108"/>
        <v>--</v>
      </c>
      <c r="O229" s="138"/>
      <c r="AZ229" s="89">
        <f>IF(Table645[[#This Row],[Column14]]="--",0,Table645[[#This Row],[Column4]]*Table645[[#This Row],[Column14]])</f>
        <v>0</v>
      </c>
      <c r="BA229" s="90"/>
      <c r="BB229" s="91" t="str">
        <f>IF(BA229=0,"--",BA229*$BA$3*IF(Table645[[#This Row],[Column5]]&lt;4.1,1,2)/60/24)</f>
        <v>--</v>
      </c>
      <c r="BC229" s="92">
        <f>IF(Table645[[#This Row],[Column54]]="--",0,Table645[[#This Row],[Column4]]*Table645[[#This Row],[Column54]])</f>
        <v>0</v>
      </c>
      <c r="BD229" s="119"/>
      <c r="BE229" s="119"/>
      <c r="BF229" s="119"/>
      <c r="BG229" s="91" t="str">
        <f>IF(BD229+Table645[[#This Row],[Column58]]=0,"--",(BD229*$BF$3*Table645[[#This Row],[Column57]]+Table645[[#This Row],[Column58]]*$BF$4)/60/24)</f>
        <v>--</v>
      </c>
      <c r="BH229" s="92">
        <f>IF(Table645[[#This Row],[Column59]]="--",0,Table645[[#This Row],[Column4]]*Table645[[#This Row],[Column59]])</f>
        <v>0</v>
      </c>
      <c r="BI229" s="119"/>
      <c r="BJ229" s="91" t="str">
        <f t="shared" si="148"/>
        <v>--</v>
      </c>
      <c r="BK229" s="92">
        <f>IF(Table645[[#This Row],[Column62]]="--",0,Table645[[#This Row],[Column4]]*Table645[[#This Row],[Column62]])</f>
        <v>0</v>
      </c>
      <c r="BL229" s="93"/>
      <c r="BM229" s="91" t="str">
        <f t="shared" si="109"/>
        <v>--</v>
      </c>
      <c r="BN229" s="89">
        <f>IF(Table645[[#This Row],[Column65]]="--",0,Table645[[#This Row],[Column4]]*Table645[[#This Row],[Column65]])</f>
        <v>0</v>
      </c>
      <c r="BO229" s="163"/>
      <c r="BP229" s="164" t="str">
        <f t="shared" si="110"/>
        <v>--</v>
      </c>
      <c r="BQ229" s="160">
        <f>IF(Table645[[#This Row],[Column68]]="--",0,Table645[[#This Row],[Column4]]*Table645[[#This Row],[Column68]])</f>
        <v>0</v>
      </c>
      <c r="BR229" s="94"/>
      <c r="BS229" s="91" t="str">
        <f t="shared" si="111"/>
        <v>--</v>
      </c>
      <c r="BT229" s="92">
        <f>IF(Table645[[#This Row],[Column71]]="--",0,Table645[[#This Row],[Column4]]*Table645[[#This Row],[Column71]])</f>
        <v>0</v>
      </c>
      <c r="BU229" s="44"/>
      <c r="BV229" s="90"/>
      <c r="BW229" s="91" t="str">
        <f>IF(BV229=0,"--",(Table645[[#This Row],[Column73]]*$BV$4*(IF(J229&lt;0.5001,1,IF(J229&lt;2.0001,2,3)))+BV229/$BV$3)/60/24)</f>
        <v>--</v>
      </c>
      <c r="BX229" s="92">
        <f>IF(Table645[[#This Row],[Column75]]="--",0,Table645[[#This Row],[Column4]]*Table645[[#This Row],[Column75]])</f>
        <v>0</v>
      </c>
      <c r="BY229" s="95" t="s">
        <v>70</v>
      </c>
      <c r="BZ229" s="91" t="str">
        <f>IF(Table645[[#This Row],[Column74]]=0,"--",BW229*$BY$3)</f>
        <v>--</v>
      </c>
      <c r="CA229" s="89">
        <f>IF(Table645[[#This Row],[Column78]]="--",0,Table645[[#This Row],[Column4]]*Table645[[#This Row],[Column78]])</f>
        <v>0</v>
      </c>
      <c r="CB229" s="95" t="s">
        <v>70</v>
      </c>
      <c r="CC229" s="91" t="str">
        <f>IF(Table645[[#This Row],[Column10]]+Table645[[#This Row],[Column74]]=0,"--",J229*$CB$4*$CB$5/(24*60)+IF(Table645[[#This Row],[Column74]]=0,0,$CB$3*Table645[[#This Row],[Column75]]))</f>
        <v>--</v>
      </c>
      <c r="CD229" s="92">
        <f>IF(Table645[[#This Row],[Column81]]="--",0,Table645[[#This Row],[Column4]]*Table645[[#This Row],[Column81]])</f>
        <v>0</v>
      </c>
      <c r="CE229" s="215"/>
      <c r="CF229" s="91" t="str">
        <f t="shared" si="149"/>
        <v>--</v>
      </c>
      <c r="CG229" s="92">
        <f>IF(Table645[[#This Row],[Column84]]="--",0,Table645[[#This Row],[Column4]]*Table645[[#This Row],[Column84]])</f>
        <v>0</v>
      </c>
      <c r="CH229" s="226"/>
      <c r="CI229" s="216"/>
      <c r="CJ229" s="91" t="str">
        <f>IF(CI229=0,"--",(Table645[[#This Row],[Column86]]*$CI$4*(IF(W229&lt;0.5001,1,IF(W229&lt;2.0001,2,3)))+CI229/$CI$3)/60/24)</f>
        <v>--</v>
      </c>
      <c r="CK229" s="92">
        <f>IF(Table645[[#This Row],[Column88]]="--",0,Table645[[#This Row],[Column4]]*Table645[[#This Row],[Column88]])</f>
        <v>0</v>
      </c>
      <c r="CL229" s="217"/>
      <c r="CM229" s="91" t="str">
        <f>IF(Table645[[#This Row],[Column87]]=0,"--",CJ229*$CL$3)</f>
        <v>--</v>
      </c>
      <c r="CN229" s="92">
        <f>IF(Table645[[#This Row],[Column91]]="--",0,Table645[[#This Row],[Column4]]*Table645[[#This Row],[Column91]])</f>
        <v>0</v>
      </c>
      <c r="CO229" s="217"/>
      <c r="CP229" s="91" t="str">
        <f>IF(Table645[[#This Row],[Column10]]+Table645[[#This Row],[Column87]]=0, "--", IF($D229="", 1, $D229) * IF($J229="", 1, $J229) * $CO$3 * $CO$4 * IF(Table645[[#This Row],[Column95]]="", 1, Table645[[#This Row],[Column95]]) / (24 * 60))</f>
        <v>--</v>
      </c>
      <c r="CQ229" s="164"/>
      <c r="CR229" s="92">
        <f>IF(Table645[[#This Row],[Column94]]="--",0,Table645[[#This Row],[Column4]]*Table645[[#This Row],[Column94]])</f>
        <v>0</v>
      </c>
      <c r="CS229" s="218" t="str">
        <f>IF(Table645[[#This Row],[Column87]]="","",Table645[[#This Row],[Column87]])</f>
        <v/>
      </c>
      <c r="CT229" s="91" t="str">
        <f>IF(Table645[[#This Row],[Column97]]="","--",Table645[[#This Row],[Column97]]/$CS$3/60/24)</f>
        <v>--</v>
      </c>
      <c r="CU229" s="92">
        <f>IF(Table645[[#This Row],[Column98]]="--",0,Table645[[#This Row],[Column4]]*Table645[[#This Row],[Column98]])</f>
        <v>0</v>
      </c>
      <c r="CV229" s="93"/>
      <c r="CW229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29" s="91" t="str">
        <f>IF(OR(Table645[[#This Row],[Column74]]&gt;0,Table645[[#This Row],[Column87]]&gt;0),(Table645[[#This Row],[Column73]]+Table645[[#This Row],[Column86]]+1)*$CW$3/60/24,"--")</f>
        <v>--</v>
      </c>
      <c r="CY229" s="92">
        <f>IF(Table645[[#This Row],[Column102]]="--",0,Table645[[#This Row],[Column4]]*Table645[[#This Row],[Column102]])</f>
        <v>0</v>
      </c>
      <c r="CZ229" s="158" t="str">
        <f t="shared" si="112"/>
        <v>--</v>
      </c>
      <c r="DA229" s="153"/>
      <c r="DB229" s="160">
        <f>IF(Table645[[#This Row],[Column104]]="--",0,Table645[[#This Row],[Column4]]*Table645[[#This Row],[Column104]])</f>
        <v>0</v>
      </c>
      <c r="DC229" s="219"/>
      <c r="DD229" s="220" t="str">
        <f>IF(DC229=0,"--",1/$DC$3*1000/(60*60*24)*Table645[[#This Row],[Column107]])</f>
        <v>--</v>
      </c>
      <c r="DE229" s="160">
        <f>IF(Table645[[#This Row],[Column108]]="--",0,Table645[[#This Row],[Column4]]*Table645[[#This Row],[Column108]])</f>
        <v>0</v>
      </c>
      <c r="DF229" s="101" t="s">
        <v>70</v>
      </c>
      <c r="DG229" s="91" t="str">
        <f t="shared" si="113"/>
        <v>--</v>
      </c>
      <c r="DH229" s="89">
        <f>IF(Table645[[#This Row],[Column111]]="--",0,Table645[[#This Row],[Column4]]*Table645[[#This Row],[Column111]])</f>
        <v>0</v>
      </c>
      <c r="DI229" s="96"/>
      <c r="DJ229" s="96"/>
      <c r="DK229" s="96"/>
      <c r="DL229" s="96"/>
      <c r="DM229" s="96"/>
      <c r="DN229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29" s="89">
        <f>IF(Table645[[#This Row],[Column118]]="--",0,Table645[[#This Row],[Column4]]*Table645[[#This Row],[Column118]])</f>
        <v>0</v>
      </c>
      <c r="DP229" s="96"/>
      <c r="DQ229" s="96"/>
      <c r="DR229" s="91" t="str">
        <f t="shared" si="114"/>
        <v>--</v>
      </c>
      <c r="DS229" s="89">
        <f>IF(Table645[[#This Row],[Column122]]="--",0,Table645[[#This Row],[Column4]]*Table645[[#This Row],[Column122]])</f>
        <v>0</v>
      </c>
      <c r="DT229" t="str">
        <f>IF(Table645[[#This Row],[Column125]]=0,"--",Table645[[#This Row],[Column125]]*Table645[[#This Row],[Column126]]*Table645[[#This Row],[Column127]]/1000000000)</f>
        <v>--</v>
      </c>
      <c r="DU229" s="53"/>
      <c r="DV229" s="53"/>
      <c r="DW229" s="53"/>
      <c r="DX229" s="91" t="str">
        <f t="shared" si="115"/>
        <v>--</v>
      </c>
      <c r="DY229" s="89">
        <f>IF(Table645[[#This Row],[Column128]]="--",0,Table645[[#This Row],[Column4]]*Table645[[#This Row],[Column128]])</f>
        <v>0</v>
      </c>
      <c r="EA229" s="89">
        <f>IF(Table645[[#This Row],[Column128]]="--",0,Table645[[#This Row],[Column4]]*Table645[[#This Row],[Column128]])</f>
        <v>0</v>
      </c>
      <c r="EC229" s="89">
        <f>IF(Table645[[#This Row],[Column128]]="--",0,Table645[[#This Row],[Column4]]*Table645[[#This Row],[Column128]])</f>
        <v>0</v>
      </c>
      <c r="EE229" s="89">
        <f>IF(Table645[[#This Row],[Column128]]="--",0,Table645[[#This Row],[Column4]]*Table645[[#This Row],[Column128]])</f>
        <v>0</v>
      </c>
      <c r="EG229" s="89">
        <f>IF(Table645[[#This Row],[Column128]]="--",0,Table645[[#This Row],[Column4]]*Table645[[#This Row],[Column128]])</f>
        <v>0</v>
      </c>
      <c r="EI229" s="89">
        <f>IF(Table645[[#This Row],[Column128]]="--",0,Table645[[#This Row],[Column4]]*Table645[[#This Row],[Column128]])</f>
        <v>0</v>
      </c>
    </row>
    <row r="230" spans="1:139" x14ac:dyDescent="0.25">
      <c r="A230" s="140"/>
      <c r="B230" s="79"/>
      <c r="C230" s="140"/>
      <c r="D230" s="167"/>
      <c r="E230" s="52"/>
      <c r="F230" s="81"/>
      <c r="G230" s="81"/>
      <c r="H230" s="102" t="str">
        <f t="shared" si="86"/>
        <v>--</v>
      </c>
      <c r="I230" s="100">
        <f>IF(Table645[[#This Row],[Column8]]="--",0,Table645[[#This Row],[Column4]]*Table645[[#This Row],[Column8]])</f>
        <v>0</v>
      </c>
      <c r="J230" s="169"/>
      <c r="K230" s="85">
        <f>Table645[[#This Row],[Column4]]*Table645[[#This Row],[Column10]]</f>
        <v>0</v>
      </c>
      <c r="L230" s="170" t="str">
        <f t="shared" si="87"/>
        <v>--</v>
      </c>
      <c r="M230" s="214">
        <f>IF(Table645[[#This Row],[Column10]]=0,0,Table645[[#This Row],[Column4]]*Table645[[#This Row],[Column12]])</f>
        <v>0</v>
      </c>
      <c r="N230" s="87" t="str">
        <f t="shared" si="88"/>
        <v>--</v>
      </c>
      <c r="O230" s="138"/>
      <c r="AZ230" s="89">
        <f>IF(Table645[[#This Row],[Column14]]="--",0,Table645[[#This Row],[Column4]]*Table645[[#This Row],[Column14]])</f>
        <v>0</v>
      </c>
      <c r="BA230" s="90"/>
      <c r="BB230" s="91" t="str">
        <f>IF(BA230=0,"--",BA230*$BA$3*IF(Table645[[#This Row],[Column5]]&lt;4.1,1,2)/60/24)</f>
        <v>--</v>
      </c>
      <c r="BC230" s="92">
        <f>IF(Table645[[#This Row],[Column54]]="--",0,Table645[[#This Row],[Column4]]*Table645[[#This Row],[Column54]])</f>
        <v>0</v>
      </c>
      <c r="BD230" s="119"/>
      <c r="BE230" s="119"/>
      <c r="BF230" s="119"/>
      <c r="BG230" s="91" t="str">
        <f>IF(BD230+Table645[[#This Row],[Column58]]=0,"--",(BD230*$BF$3*Table645[[#This Row],[Column57]]+Table645[[#This Row],[Column58]]*$BF$4)/60/24)</f>
        <v>--</v>
      </c>
      <c r="BH230" s="92">
        <f>IF(Table645[[#This Row],[Column59]]="--",0,Table645[[#This Row],[Column4]]*Table645[[#This Row],[Column59]])</f>
        <v>0</v>
      </c>
      <c r="BI230" s="119"/>
      <c r="BJ230" s="91" t="str">
        <f t="shared" si="148"/>
        <v>--</v>
      </c>
      <c r="BK230" s="92">
        <f>IF(Table645[[#This Row],[Column62]]="--",0,Table645[[#This Row],[Column4]]*Table645[[#This Row],[Column62]])</f>
        <v>0</v>
      </c>
      <c r="BL230" s="93"/>
      <c r="BM230" s="91" t="str">
        <f t="shared" si="89"/>
        <v>--</v>
      </c>
      <c r="BN230" s="89">
        <f>IF(Table645[[#This Row],[Column65]]="--",0,Table645[[#This Row],[Column4]]*Table645[[#This Row],[Column65]])</f>
        <v>0</v>
      </c>
      <c r="BO230" s="163"/>
      <c r="BP230" s="164" t="str">
        <f t="shared" si="90"/>
        <v>--</v>
      </c>
      <c r="BQ230" s="160">
        <f>IF(Table645[[#This Row],[Column68]]="--",0,Table645[[#This Row],[Column4]]*Table645[[#This Row],[Column68]])</f>
        <v>0</v>
      </c>
      <c r="BR230" s="94"/>
      <c r="BS230" s="91" t="str">
        <f t="shared" si="91"/>
        <v>--</v>
      </c>
      <c r="BT230" s="92">
        <f>IF(Table645[[#This Row],[Column71]]="--",0,Table645[[#This Row],[Column4]]*Table645[[#This Row],[Column71]])</f>
        <v>0</v>
      </c>
      <c r="BU230" s="44"/>
      <c r="BV230" s="90"/>
      <c r="BW230" s="91" t="str">
        <f>IF(BV230=0,"--",(Table645[[#This Row],[Column73]]*$BV$4*(IF(J230&lt;0.5001,1,IF(J230&lt;2.0001,2,3)))+BV230/$BV$3)/60/24)</f>
        <v>--</v>
      </c>
      <c r="BX230" s="92">
        <f>IF(Table645[[#This Row],[Column75]]="--",0,Table645[[#This Row],[Column4]]*Table645[[#This Row],[Column75]])</f>
        <v>0</v>
      </c>
      <c r="BY230" s="95" t="s">
        <v>70</v>
      </c>
      <c r="BZ230" s="91" t="str">
        <f>IF(Table645[[#This Row],[Column74]]=0,"--",BW230*$BY$3)</f>
        <v>--</v>
      </c>
      <c r="CA230" s="89">
        <f>IF(Table645[[#This Row],[Column78]]="--",0,Table645[[#This Row],[Column4]]*Table645[[#This Row],[Column78]])</f>
        <v>0</v>
      </c>
      <c r="CB230" s="95" t="s">
        <v>70</v>
      </c>
      <c r="CC230" s="91" t="str">
        <f>IF(Table645[[#This Row],[Column10]]+Table645[[#This Row],[Column74]]=0,"--",J230*$CB$4*$CB$5/(24*60)+IF(Table645[[#This Row],[Column74]]=0,0,$CB$3*Table645[[#This Row],[Column75]]))</f>
        <v>--</v>
      </c>
      <c r="CD230" s="92">
        <f>IF(Table645[[#This Row],[Column81]]="--",0,Table645[[#This Row],[Column4]]*Table645[[#This Row],[Column81]])</f>
        <v>0</v>
      </c>
      <c r="CE230" s="215"/>
      <c r="CF230" s="91" t="str">
        <f t="shared" si="149"/>
        <v>--</v>
      </c>
      <c r="CG230" s="92">
        <f>IF(Table645[[#This Row],[Column84]]="--",0,Table645[[#This Row],[Column4]]*Table645[[#This Row],[Column84]])</f>
        <v>0</v>
      </c>
      <c r="CH230" s="226"/>
      <c r="CI230" s="216"/>
      <c r="CJ230" s="91" t="str">
        <f>IF(CI230=0,"--",(Table645[[#This Row],[Column86]]*$CI$4*(IF(W230&lt;0.5001,1,IF(W230&lt;2.0001,2,3)))+CI230/$CI$3)/60/24)</f>
        <v>--</v>
      </c>
      <c r="CK230" s="92">
        <f>IF(Table645[[#This Row],[Column88]]="--",0,Table645[[#This Row],[Column4]]*Table645[[#This Row],[Column88]])</f>
        <v>0</v>
      </c>
      <c r="CL230" s="217"/>
      <c r="CM230" s="91" t="str">
        <f>IF(Table645[[#This Row],[Column87]]=0,"--",CJ230*$CL$3)</f>
        <v>--</v>
      </c>
      <c r="CN230" s="92">
        <f>IF(Table645[[#This Row],[Column91]]="--",0,Table645[[#This Row],[Column4]]*Table645[[#This Row],[Column91]])</f>
        <v>0</v>
      </c>
      <c r="CO230" s="217"/>
      <c r="CP230" s="91" t="str">
        <f>IF(Table645[[#This Row],[Column10]]+Table645[[#This Row],[Column87]]=0, "--", IF($D230="", 1, $D230) * IF($J230="", 1, $J230) * $CO$3 * $CO$4 * IF(Table645[[#This Row],[Column95]]="", 1, Table645[[#This Row],[Column95]]) / (24 * 60))</f>
        <v>--</v>
      </c>
      <c r="CQ230" s="164"/>
      <c r="CR230" s="92">
        <f>IF(Table645[[#This Row],[Column94]]="--",0,Table645[[#This Row],[Column4]]*Table645[[#This Row],[Column94]])</f>
        <v>0</v>
      </c>
      <c r="CS230" s="218" t="str">
        <f>IF(Table645[[#This Row],[Column87]]="","",Table645[[#This Row],[Column87]])</f>
        <v/>
      </c>
      <c r="CT230" s="91" t="str">
        <f>IF(Table645[[#This Row],[Column97]]="","--",Table645[[#This Row],[Column97]]/$CS$3/60/24)</f>
        <v>--</v>
      </c>
      <c r="CU230" s="92">
        <f>IF(Table645[[#This Row],[Column98]]="--",0,Table645[[#This Row],[Column4]]*Table645[[#This Row],[Column98]])</f>
        <v>0</v>
      </c>
      <c r="CV230" s="93"/>
      <c r="CW230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30" s="91" t="str">
        <f>IF(OR(Table645[[#This Row],[Column74]]&gt;0,Table645[[#This Row],[Column87]]&gt;0),(Table645[[#This Row],[Column73]]+Table645[[#This Row],[Column86]]+1)*$CW$3/60/24,"--")</f>
        <v>--</v>
      </c>
      <c r="CY230" s="92">
        <f>IF(Table645[[#This Row],[Column102]]="--",0,Table645[[#This Row],[Column4]]*Table645[[#This Row],[Column102]])</f>
        <v>0</v>
      </c>
      <c r="CZ230" s="158" t="str">
        <f t="shared" si="92"/>
        <v>--</v>
      </c>
      <c r="DA230" s="153"/>
      <c r="DB230" s="160">
        <f>IF(Table645[[#This Row],[Column104]]="--",0,Table645[[#This Row],[Column4]]*Table645[[#This Row],[Column104]])</f>
        <v>0</v>
      </c>
      <c r="DC230" s="219"/>
      <c r="DD230" s="220" t="str">
        <f>IF(DC230=0,"--",1/$DC$3*1000/(60*60*24)*Table645[[#This Row],[Column107]])</f>
        <v>--</v>
      </c>
      <c r="DE230" s="160">
        <f>IF(Table645[[#This Row],[Column108]]="--",0,Table645[[#This Row],[Column4]]*Table645[[#This Row],[Column108]])</f>
        <v>0</v>
      </c>
      <c r="DF230" s="101" t="s">
        <v>70</v>
      </c>
      <c r="DG230" s="91" t="str">
        <f t="shared" si="93"/>
        <v>--</v>
      </c>
      <c r="DH230" s="89">
        <f>IF(Table645[[#This Row],[Column111]]="--",0,Table645[[#This Row],[Column4]]*Table645[[#This Row],[Column111]])</f>
        <v>0</v>
      </c>
      <c r="DI230" s="96"/>
      <c r="DJ230" s="96"/>
      <c r="DK230" s="96"/>
      <c r="DL230" s="96"/>
      <c r="DM230" s="96"/>
      <c r="DN230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30" s="89">
        <f>IF(Table645[[#This Row],[Column118]]="--",0,Table645[[#This Row],[Column4]]*Table645[[#This Row],[Column118]])</f>
        <v>0</v>
      </c>
      <c r="DP230" s="96"/>
      <c r="DQ230" s="96"/>
      <c r="DR230" s="91" t="str">
        <f t="shared" si="94"/>
        <v>--</v>
      </c>
      <c r="DS230" s="89">
        <f>IF(Table645[[#This Row],[Column122]]="--",0,Table645[[#This Row],[Column4]]*Table645[[#This Row],[Column122]])</f>
        <v>0</v>
      </c>
      <c r="DT230" t="str">
        <f>IF(Table645[[#This Row],[Column125]]=0,"--",Table645[[#This Row],[Column125]]*Table645[[#This Row],[Column126]]*Table645[[#This Row],[Column127]]/1000000000)</f>
        <v>--</v>
      </c>
      <c r="DU230" s="53"/>
      <c r="DV230" s="53"/>
      <c r="DW230" s="53"/>
      <c r="DX230" s="91" t="str">
        <f t="shared" si="95"/>
        <v>--</v>
      </c>
      <c r="DY230" s="89">
        <f>IF(Table645[[#This Row],[Column128]]="--",0,Table645[[#This Row],[Column4]]*Table645[[#This Row],[Column128]])</f>
        <v>0</v>
      </c>
      <c r="EA230" s="89">
        <f>IF(Table645[[#This Row],[Column128]]="--",0,Table645[[#This Row],[Column4]]*Table645[[#This Row],[Column128]])</f>
        <v>0</v>
      </c>
      <c r="EC230" s="89">
        <f>IF(Table645[[#This Row],[Column128]]="--",0,Table645[[#This Row],[Column4]]*Table645[[#This Row],[Column128]])</f>
        <v>0</v>
      </c>
      <c r="EE230" s="89">
        <f>IF(Table645[[#This Row],[Column128]]="--",0,Table645[[#This Row],[Column4]]*Table645[[#This Row],[Column128]])</f>
        <v>0</v>
      </c>
      <c r="EG230" s="89">
        <f>IF(Table645[[#This Row],[Column128]]="--",0,Table645[[#This Row],[Column4]]*Table645[[#This Row],[Column128]])</f>
        <v>0</v>
      </c>
      <c r="EI230" s="89">
        <f>IF(Table645[[#This Row],[Column128]]="--",0,Table645[[#This Row],[Column4]]*Table645[[#This Row],[Column128]])</f>
        <v>0</v>
      </c>
    </row>
    <row r="231" spans="1:139" x14ac:dyDescent="0.25">
      <c r="A231" s="140"/>
      <c r="B231" s="79"/>
      <c r="C231" s="140"/>
      <c r="D231" s="167"/>
      <c r="E231" s="52"/>
      <c r="F231" s="81"/>
      <c r="G231" s="81"/>
      <c r="H231" s="102" t="str">
        <f>IF(E231&gt;0,E231*F231*G231/1000000*8*(1+$H$4),"--")</f>
        <v>--</v>
      </c>
      <c r="I231" s="100">
        <f>IF(Table645[[#This Row],[Column8]]="--",0,Table645[[#This Row],[Column4]]*Table645[[#This Row],[Column8]])</f>
        <v>0</v>
      </c>
      <c r="J231" s="169"/>
      <c r="K231" s="85">
        <f>Table645[[#This Row],[Column4]]*Table645[[#This Row],[Column10]]</f>
        <v>0</v>
      </c>
      <c r="L231" s="170" t="str">
        <f>IF(J231=0,"--",J231/$J$3)</f>
        <v>--</v>
      </c>
      <c r="M231" s="214">
        <f>IF(Table645[[#This Row],[Column10]]=0,0,Table645[[#This Row],[Column4]]*Table645[[#This Row],[Column12]])</f>
        <v>0</v>
      </c>
      <c r="N231" s="87" t="str">
        <f>IF(SUM(Q231:AX231)=0,"--",(Q231/$Q$4+T231/$T$4+W231/$W$4+Z231/$Z$4+AC231/$AC$4+AF231/$AF$4+AI231/$AI$4+AL231/$AL$4+AO231/$AO$4+AR231/$AR$4+AU231/$AU$4+AX231/$AX$4)/60/24)</f>
        <v>--</v>
      </c>
      <c r="O231" s="138"/>
      <c r="AZ231" s="89">
        <f>IF(Table645[[#This Row],[Column14]]="--",0,Table645[[#This Row],[Column4]]*Table645[[#This Row],[Column14]])</f>
        <v>0</v>
      </c>
      <c r="BA231" s="90"/>
      <c r="BB231" s="91" t="str">
        <f>IF(BA231=0,"--",BA231*$BA$3*IF(Table645[[#This Row],[Column5]]&lt;4.1,1,2)/60/24)</f>
        <v>--</v>
      </c>
      <c r="BC231" s="92">
        <f>IF(Table645[[#This Row],[Column54]]="--",0,Table645[[#This Row],[Column4]]*Table645[[#This Row],[Column54]])</f>
        <v>0</v>
      </c>
      <c r="BD231" s="119"/>
      <c r="BE231" s="119"/>
      <c r="BF231" s="119"/>
      <c r="BG231" s="91" t="str">
        <f>IF(BD231+Table645[[#This Row],[Column58]]=0,"--",(BD231*$BF$3*Table645[[#This Row],[Column57]]+Table645[[#This Row],[Column58]]*$BF$4)/60/24)</f>
        <v>--</v>
      </c>
      <c r="BH231" s="92">
        <f>IF(Table645[[#This Row],[Column59]]="--",0,Table645[[#This Row],[Column4]]*Table645[[#This Row],[Column59]])</f>
        <v>0</v>
      </c>
      <c r="BI231" s="119"/>
      <c r="BJ231" s="91" t="str">
        <f t="shared" si="148"/>
        <v>--</v>
      </c>
      <c r="BK231" s="92">
        <f>IF(Table645[[#This Row],[Column62]]="--",0,Table645[[#This Row],[Column4]]*Table645[[#This Row],[Column62]])</f>
        <v>0</v>
      </c>
      <c r="BL231" s="93"/>
      <c r="BM231" s="91" t="str">
        <f>IF(BL231=0,"--",BL231*$BL$3/60/60/24)</f>
        <v>--</v>
      </c>
      <c r="BN231" s="89">
        <f>IF(Table645[[#This Row],[Column65]]="--",0,Table645[[#This Row],[Column4]]*Table645[[#This Row],[Column65]])</f>
        <v>0</v>
      </c>
      <c r="BO231" s="163"/>
      <c r="BP231" s="164" t="str">
        <f>IF(BO231=0,"--",BO231*$BO$3/60/60/24)</f>
        <v>--</v>
      </c>
      <c r="BQ231" s="160">
        <f>IF(Table645[[#This Row],[Column68]]="--",0,Table645[[#This Row],[Column4]]*Table645[[#This Row],[Column68]])</f>
        <v>0</v>
      </c>
      <c r="BR231" s="94"/>
      <c r="BS231" s="91" t="str">
        <f>IF(BR231=0,"--",BR231*$BR$3/60/60/24)</f>
        <v>--</v>
      </c>
      <c r="BT231" s="92">
        <f>IF(Table645[[#This Row],[Column71]]="--",0,Table645[[#This Row],[Column4]]*Table645[[#This Row],[Column71]])</f>
        <v>0</v>
      </c>
      <c r="BU231" s="44"/>
      <c r="BV231" s="90"/>
      <c r="BW231" s="91" t="str">
        <f>IF(BV231=0,"--",(Table645[[#This Row],[Column73]]*$BV$4*(IF(J231&lt;0.5001,1,IF(J231&lt;2.0001,2,3)))+BV231/$BV$3)/60/24)</f>
        <v>--</v>
      </c>
      <c r="BX231" s="92">
        <f>IF(Table645[[#This Row],[Column75]]="--",0,Table645[[#This Row],[Column4]]*Table645[[#This Row],[Column75]])</f>
        <v>0</v>
      </c>
      <c r="BY231" s="95" t="s">
        <v>70</v>
      </c>
      <c r="BZ231" s="91" t="str">
        <f>IF(Table645[[#This Row],[Column74]]=0,"--",BW231*$BY$3)</f>
        <v>--</v>
      </c>
      <c r="CA231" s="89">
        <f>IF(Table645[[#This Row],[Column78]]="--",0,Table645[[#This Row],[Column4]]*Table645[[#This Row],[Column78]])</f>
        <v>0</v>
      </c>
      <c r="CB231" s="95" t="s">
        <v>70</v>
      </c>
      <c r="CC231" s="91" t="str">
        <f>IF(Table645[[#This Row],[Column10]]+Table645[[#This Row],[Column74]]=0,"--",J231*$CB$4*$CB$5/(24*60)+IF(Table645[[#This Row],[Column74]]=0,0,$CB$3*Table645[[#This Row],[Column75]]))</f>
        <v>--</v>
      </c>
      <c r="CD231" s="92">
        <f>IF(Table645[[#This Row],[Column81]]="--",0,Table645[[#This Row],[Column4]]*Table645[[#This Row],[Column81]])</f>
        <v>0</v>
      </c>
      <c r="CE231" s="215"/>
      <c r="CF231" s="91" t="str">
        <f t="shared" si="149"/>
        <v>--</v>
      </c>
      <c r="CG231" s="92">
        <f>IF(Table645[[#This Row],[Column84]]="--",0,Table645[[#This Row],[Column4]]*Table645[[#This Row],[Column84]])</f>
        <v>0</v>
      </c>
      <c r="CH231" s="226"/>
      <c r="CI231" s="216"/>
      <c r="CJ231" s="91" t="str">
        <f>IF(CI231=0,"--",(Table645[[#This Row],[Column86]]*$CI$4*(IF(W231&lt;0.5001,1,IF(W231&lt;2.0001,2,3)))+CI231/$CI$3)/60/24)</f>
        <v>--</v>
      </c>
      <c r="CK231" s="92">
        <f>IF(Table645[[#This Row],[Column88]]="--",0,Table645[[#This Row],[Column4]]*Table645[[#This Row],[Column88]])</f>
        <v>0</v>
      </c>
      <c r="CL231" s="217"/>
      <c r="CM231" s="91" t="str">
        <f>IF(Table645[[#This Row],[Column87]]=0,"--",CJ231*$CL$3)</f>
        <v>--</v>
      </c>
      <c r="CN231" s="92">
        <f>IF(Table645[[#This Row],[Column91]]="--",0,Table645[[#This Row],[Column4]]*Table645[[#This Row],[Column91]])</f>
        <v>0</v>
      </c>
      <c r="CO231" s="217"/>
      <c r="CP231" s="91" t="str">
        <f>IF(Table645[[#This Row],[Column10]]+Table645[[#This Row],[Column87]]=0, "--", IF($D231="", 1, $D231) * IF($J231="", 1, $J231) * $CO$3 * $CO$4 * IF(Table645[[#This Row],[Column95]]="", 1, Table645[[#This Row],[Column95]]) / (24 * 60))</f>
        <v>--</v>
      </c>
      <c r="CQ231" s="164"/>
      <c r="CR231" s="92">
        <f>IF(Table645[[#This Row],[Column94]]="--",0,Table645[[#This Row],[Column4]]*Table645[[#This Row],[Column94]])</f>
        <v>0</v>
      </c>
      <c r="CS231" s="218" t="str">
        <f>IF(Table645[[#This Row],[Column87]]="","",Table645[[#This Row],[Column87]])</f>
        <v/>
      </c>
      <c r="CT231" s="91" t="str">
        <f>IF(Table645[[#This Row],[Column97]]="","--",Table645[[#This Row],[Column97]]/$CS$3/60/24)</f>
        <v>--</v>
      </c>
      <c r="CU231" s="92">
        <f>IF(Table645[[#This Row],[Column98]]="--",0,Table645[[#This Row],[Column4]]*Table645[[#This Row],[Column98]])</f>
        <v>0</v>
      </c>
      <c r="CV231" s="93"/>
      <c r="CW231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31" s="91" t="str">
        <f>IF(OR(Table645[[#This Row],[Column74]]&gt;0,Table645[[#This Row],[Column87]]&gt;0),(Table645[[#This Row],[Column73]]+Table645[[#This Row],[Column86]]+1)*$CW$3/60/24,"--")</f>
        <v>--</v>
      </c>
      <c r="CY231" s="92">
        <f>IF(Table645[[#This Row],[Column102]]="--",0,Table645[[#This Row],[Column4]]*Table645[[#This Row],[Column102]])</f>
        <v>0</v>
      </c>
      <c r="CZ231" s="158" t="str">
        <f>IF(J231=0,"--",J231/$CZ$3/(24)*DA231)</f>
        <v>--</v>
      </c>
      <c r="DA231" s="153"/>
      <c r="DB231" s="160">
        <f>IF(Table645[[#This Row],[Column104]]="--",0,Table645[[#This Row],[Column4]]*Table645[[#This Row],[Column104]])</f>
        <v>0</v>
      </c>
      <c r="DC231" s="219"/>
      <c r="DD231" s="220" t="str">
        <f>IF(DC231=0,"--",1/$DC$3*1000/(60*60*24)*Table645[[#This Row],[Column107]])</f>
        <v>--</v>
      </c>
      <c r="DE231" s="160">
        <f>IF(Table645[[#This Row],[Column108]]="--",0,Table645[[#This Row],[Column4]]*Table645[[#This Row],[Column108]])</f>
        <v>0</v>
      </c>
      <c r="DF231" s="101" t="s">
        <v>70</v>
      </c>
      <c r="DG231" s="91" t="str">
        <f>IF(DA231=0,"--",(J231*$DF$3)/60/24)</f>
        <v>--</v>
      </c>
      <c r="DH231" s="89">
        <f>IF(Table645[[#This Row],[Column111]]="--",0,Table645[[#This Row],[Column4]]*Table645[[#This Row],[Column111]])</f>
        <v>0</v>
      </c>
      <c r="DI231" s="96"/>
      <c r="DJ231" s="96"/>
      <c r="DK231" s="96"/>
      <c r="DL231" s="96"/>
      <c r="DM231" s="96"/>
      <c r="DN231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31" s="89">
        <f>IF(Table645[[#This Row],[Column118]]="--",0,Table645[[#This Row],[Column4]]*Table645[[#This Row],[Column118]])</f>
        <v>0</v>
      </c>
      <c r="DP231" s="96"/>
      <c r="DQ231" s="96"/>
      <c r="DR231" s="91" t="str">
        <f>IF(DP231+DQ231&gt;0,(DP231*$DQ$3+DQ231*$DQ$4)/60/24,IF(DN231="--","--",(DP231*$DQ$3+DQ231*$DQ$4)/60/24))</f>
        <v>--</v>
      </c>
      <c r="DS231" s="89">
        <f>IF(Table645[[#This Row],[Column122]]="--",0,Table645[[#This Row],[Column4]]*Table645[[#This Row],[Column122]])</f>
        <v>0</v>
      </c>
      <c r="DT231" t="str">
        <f>IF(Table645[[#This Row],[Column125]]=0,"--",Table645[[#This Row],[Column125]]*Table645[[#This Row],[Column126]]*Table645[[#This Row],[Column127]]/1000000000)</f>
        <v>--</v>
      </c>
      <c r="DU231" s="53"/>
      <c r="DV231" s="53"/>
      <c r="DW231" s="53"/>
      <c r="DX231" s="91" t="str">
        <f>IF(DT231="--","--",(1+DT231*$DT$3)/60/24)</f>
        <v>--</v>
      </c>
      <c r="DY231" s="89">
        <f>IF(Table645[[#This Row],[Column128]]="--",0,Table645[[#This Row],[Column4]]*Table645[[#This Row],[Column128]])</f>
        <v>0</v>
      </c>
      <c r="EA231" s="89">
        <f>IF(Table645[[#This Row],[Column128]]="--",0,Table645[[#This Row],[Column4]]*Table645[[#This Row],[Column128]])</f>
        <v>0</v>
      </c>
      <c r="EC231" s="89">
        <f>IF(Table645[[#This Row],[Column128]]="--",0,Table645[[#This Row],[Column4]]*Table645[[#This Row],[Column128]])</f>
        <v>0</v>
      </c>
      <c r="EE231" s="89">
        <f>IF(Table645[[#This Row],[Column128]]="--",0,Table645[[#This Row],[Column4]]*Table645[[#This Row],[Column128]])</f>
        <v>0</v>
      </c>
      <c r="EG231" s="89">
        <f>IF(Table645[[#This Row],[Column128]]="--",0,Table645[[#This Row],[Column4]]*Table645[[#This Row],[Column128]])</f>
        <v>0</v>
      </c>
      <c r="EI231" s="89">
        <f>IF(Table645[[#This Row],[Column128]]="--",0,Table645[[#This Row],[Column4]]*Table645[[#This Row],[Column128]])</f>
        <v>0</v>
      </c>
    </row>
    <row r="232" spans="1:139" x14ac:dyDescent="0.25">
      <c r="A232" s="140"/>
      <c r="B232" s="79"/>
      <c r="C232" s="140"/>
      <c r="D232" s="167"/>
      <c r="E232" s="52"/>
      <c r="F232" s="81"/>
      <c r="G232" s="81"/>
      <c r="H232" s="102" t="str">
        <f t="shared" si="44"/>
        <v>--</v>
      </c>
      <c r="I232" s="100">
        <f>IF(Table645[[#This Row],[Column8]]="--",0,Table645[[#This Row],[Column4]]*Table645[[#This Row],[Column8]])</f>
        <v>0</v>
      </c>
      <c r="J232" s="169"/>
      <c r="K232" s="85">
        <f>Table645[[#This Row],[Column4]]*Table645[[#This Row],[Column10]]</f>
        <v>0</v>
      </c>
      <c r="L232" s="170" t="str">
        <f t="shared" si="45"/>
        <v>--</v>
      </c>
      <c r="M232" s="214">
        <f>IF(Table645[[#This Row],[Column10]]=0,0,Table645[[#This Row],[Column4]]*Table645[[#This Row],[Column12]])</f>
        <v>0</v>
      </c>
      <c r="N232" s="87" t="str">
        <f t="shared" si="46"/>
        <v>--</v>
      </c>
      <c r="O232" s="138"/>
      <c r="AZ232" s="89">
        <f>IF(Table645[[#This Row],[Column14]]="--",0,Table645[[#This Row],[Column4]]*Table645[[#This Row],[Column14]])</f>
        <v>0</v>
      </c>
      <c r="BA232" s="90"/>
      <c r="BB232" s="91" t="str">
        <f>IF(BA232=0,"--",BA232*$BA$3*IF(Table645[[#This Row],[Column5]]&lt;4.1,1,2)/60/24)</f>
        <v>--</v>
      </c>
      <c r="BC232" s="92">
        <f>IF(Table645[[#This Row],[Column54]]="--",0,Table645[[#This Row],[Column4]]*Table645[[#This Row],[Column54]])</f>
        <v>0</v>
      </c>
      <c r="BD232" s="119"/>
      <c r="BE232" s="119"/>
      <c r="BF232" s="119"/>
      <c r="BG232" s="91" t="str">
        <f>IF(BD232+Table645[[#This Row],[Column58]]=0,"--",(BD232*$BF$3*Table645[[#This Row],[Column57]]+Table645[[#This Row],[Column58]]*$BF$4)/60/24)</f>
        <v>--</v>
      </c>
      <c r="BH232" s="92">
        <f>IF(Table645[[#This Row],[Column59]]="--",0,Table645[[#This Row],[Column4]]*Table645[[#This Row],[Column59]])</f>
        <v>0</v>
      </c>
      <c r="BI232" s="119"/>
      <c r="BJ232" s="91" t="str">
        <f t="shared" si="148"/>
        <v>--</v>
      </c>
      <c r="BK232" s="92">
        <f>IF(Table645[[#This Row],[Column62]]="--",0,Table645[[#This Row],[Column4]]*Table645[[#This Row],[Column62]])</f>
        <v>0</v>
      </c>
      <c r="BL232" s="93"/>
      <c r="BM232" s="91" t="str">
        <f t="shared" si="47"/>
        <v>--</v>
      </c>
      <c r="BN232" s="89">
        <f>IF(Table645[[#This Row],[Column65]]="--",0,Table645[[#This Row],[Column4]]*Table645[[#This Row],[Column65]])</f>
        <v>0</v>
      </c>
      <c r="BO232" s="163"/>
      <c r="BP232" s="164" t="str">
        <f t="shared" si="48"/>
        <v>--</v>
      </c>
      <c r="BQ232" s="160">
        <f>IF(Table645[[#This Row],[Column68]]="--",0,Table645[[#This Row],[Column4]]*Table645[[#This Row],[Column68]])</f>
        <v>0</v>
      </c>
      <c r="BR232" s="94"/>
      <c r="BS232" s="91" t="str">
        <f t="shared" si="49"/>
        <v>--</v>
      </c>
      <c r="BT232" s="92">
        <f>IF(Table645[[#This Row],[Column71]]="--",0,Table645[[#This Row],[Column4]]*Table645[[#This Row],[Column71]])</f>
        <v>0</v>
      </c>
      <c r="BU232" s="44"/>
      <c r="BV232" s="90"/>
      <c r="BW232" s="91" t="str">
        <f>IF(BV232=0,"--",(Table645[[#This Row],[Column73]]*$BV$4*(IF(J232&lt;0.5001,1,IF(J232&lt;2.0001,2,3)))+BV232/$BV$3)/60/24)</f>
        <v>--</v>
      </c>
      <c r="BX232" s="92">
        <f>IF(Table645[[#This Row],[Column75]]="--",0,Table645[[#This Row],[Column4]]*Table645[[#This Row],[Column75]])</f>
        <v>0</v>
      </c>
      <c r="BY232" s="95" t="s">
        <v>70</v>
      </c>
      <c r="BZ232" s="91" t="str">
        <f>IF(Table645[[#This Row],[Column74]]=0,"--",BW232*$BY$3)</f>
        <v>--</v>
      </c>
      <c r="CA232" s="89">
        <f>IF(Table645[[#This Row],[Column78]]="--",0,Table645[[#This Row],[Column4]]*Table645[[#This Row],[Column78]])</f>
        <v>0</v>
      </c>
      <c r="CB232" s="95" t="s">
        <v>70</v>
      </c>
      <c r="CC232" s="91" t="str">
        <f>IF(Table645[[#This Row],[Column10]]+Table645[[#This Row],[Column74]]=0,"--",J232*$CB$4*$CB$5/(24*60)+IF(Table645[[#This Row],[Column74]]=0,0,$CB$3*Table645[[#This Row],[Column75]]))</f>
        <v>--</v>
      </c>
      <c r="CD232" s="92">
        <f>IF(Table645[[#This Row],[Column81]]="--",0,Table645[[#This Row],[Column4]]*Table645[[#This Row],[Column81]])</f>
        <v>0</v>
      </c>
      <c r="CE232" s="215"/>
      <c r="CF232" s="91" t="str">
        <f t="shared" si="149"/>
        <v>--</v>
      </c>
      <c r="CG232" s="92">
        <f>IF(Table645[[#This Row],[Column84]]="--",0,Table645[[#This Row],[Column4]]*Table645[[#This Row],[Column84]])</f>
        <v>0</v>
      </c>
      <c r="CH232" s="226"/>
      <c r="CI232" s="216"/>
      <c r="CJ232" s="91" t="str">
        <f>IF(CI232=0,"--",(Table645[[#This Row],[Column86]]*$CI$4*(IF(W232&lt;0.5001,1,IF(W232&lt;2.0001,2,3)))+CI232/$CI$3)/60/24)</f>
        <v>--</v>
      </c>
      <c r="CK232" s="92">
        <f>IF(Table645[[#This Row],[Column88]]="--",0,Table645[[#This Row],[Column4]]*Table645[[#This Row],[Column88]])</f>
        <v>0</v>
      </c>
      <c r="CL232" s="217"/>
      <c r="CM232" s="91" t="str">
        <f>IF(Table645[[#This Row],[Column87]]=0,"--",CJ232*$CL$3)</f>
        <v>--</v>
      </c>
      <c r="CN232" s="92">
        <f>IF(Table645[[#This Row],[Column91]]="--",0,Table645[[#This Row],[Column4]]*Table645[[#This Row],[Column91]])</f>
        <v>0</v>
      </c>
      <c r="CO232" s="217"/>
      <c r="CP232" s="91" t="str">
        <f>IF(Table645[[#This Row],[Column10]]+Table645[[#This Row],[Column87]]=0, "--", IF($D232="", 1, $D232) * IF($J232="", 1, $J232) * $CO$3 * $CO$4 * IF(Table645[[#This Row],[Column95]]="", 1, Table645[[#This Row],[Column95]]) / (24 * 60))</f>
        <v>--</v>
      </c>
      <c r="CQ232" s="164"/>
      <c r="CR232" s="92">
        <f>IF(Table645[[#This Row],[Column94]]="--",0,Table645[[#This Row],[Column4]]*Table645[[#This Row],[Column94]])</f>
        <v>0</v>
      </c>
      <c r="CS232" s="218" t="str">
        <f>IF(Table645[[#This Row],[Column87]]="","",Table645[[#This Row],[Column87]])</f>
        <v/>
      </c>
      <c r="CT232" s="91" t="str">
        <f>IF(Table645[[#This Row],[Column97]]="","--",Table645[[#This Row],[Column97]]/$CS$3/60/24)</f>
        <v>--</v>
      </c>
      <c r="CU232" s="92">
        <f>IF(Table645[[#This Row],[Column98]]="--",0,Table645[[#This Row],[Column4]]*Table645[[#This Row],[Column98]])</f>
        <v>0</v>
      </c>
      <c r="CV232" s="93"/>
      <c r="CW232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32" s="91" t="str">
        <f>IF(OR(Table645[[#This Row],[Column74]]&gt;0,Table645[[#This Row],[Column87]]&gt;0),(Table645[[#This Row],[Column73]]+Table645[[#This Row],[Column86]]+1)*$CW$3/60/24,"--")</f>
        <v>--</v>
      </c>
      <c r="CY232" s="92">
        <f>IF(Table645[[#This Row],[Column102]]="--",0,Table645[[#This Row],[Column4]]*Table645[[#This Row],[Column102]])</f>
        <v>0</v>
      </c>
      <c r="CZ232" s="158" t="str">
        <f t="shared" si="50"/>
        <v>--</v>
      </c>
      <c r="DA232" s="153"/>
      <c r="DB232" s="160">
        <f>IF(Table645[[#This Row],[Column104]]="--",0,Table645[[#This Row],[Column4]]*Table645[[#This Row],[Column104]])</f>
        <v>0</v>
      </c>
      <c r="DC232" s="219"/>
      <c r="DD232" s="220" t="str">
        <f>IF(DC232=0,"--",1/$DC$3*1000/(60*60*24)*Table645[[#This Row],[Column107]])</f>
        <v>--</v>
      </c>
      <c r="DE232" s="160">
        <f>IF(Table645[[#This Row],[Column108]]="--",0,Table645[[#This Row],[Column4]]*Table645[[#This Row],[Column108]])</f>
        <v>0</v>
      </c>
      <c r="DF232" s="101" t="s">
        <v>70</v>
      </c>
      <c r="DG232" s="91" t="str">
        <f t="shared" si="51"/>
        <v>--</v>
      </c>
      <c r="DH232" s="89">
        <f>IF(Table645[[#This Row],[Column111]]="--",0,Table645[[#This Row],[Column4]]*Table645[[#This Row],[Column111]])</f>
        <v>0</v>
      </c>
      <c r="DI232" s="96"/>
      <c r="DJ232" s="96"/>
      <c r="DK232" s="96"/>
      <c r="DL232" s="96"/>
      <c r="DM232" s="96"/>
      <c r="DN232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32" s="89">
        <f>IF(Table645[[#This Row],[Column118]]="--",0,Table645[[#This Row],[Column4]]*Table645[[#This Row],[Column118]])</f>
        <v>0</v>
      </c>
      <c r="DP232" s="96"/>
      <c r="DQ232" s="96"/>
      <c r="DR232" s="91" t="str">
        <f t="shared" si="52"/>
        <v>--</v>
      </c>
      <c r="DS232" s="89">
        <f>IF(Table645[[#This Row],[Column122]]="--",0,Table645[[#This Row],[Column4]]*Table645[[#This Row],[Column122]])</f>
        <v>0</v>
      </c>
      <c r="DT232" t="str">
        <f>IF(Table645[[#This Row],[Column125]]=0,"--",Table645[[#This Row],[Column125]]*Table645[[#This Row],[Column126]]*Table645[[#This Row],[Column127]]/1000000000)</f>
        <v>--</v>
      </c>
      <c r="DU232" s="53"/>
      <c r="DV232" s="53"/>
      <c r="DW232" s="53"/>
      <c r="DX232" s="91" t="str">
        <f t="shared" si="53"/>
        <v>--</v>
      </c>
      <c r="DY232" s="89">
        <f>IF(Table645[[#This Row],[Column128]]="--",0,Table645[[#This Row],[Column4]]*Table645[[#This Row],[Column128]])</f>
        <v>0</v>
      </c>
      <c r="EA232" s="89">
        <f>IF(Table645[[#This Row],[Column128]]="--",0,Table645[[#This Row],[Column4]]*Table645[[#This Row],[Column128]])</f>
        <v>0</v>
      </c>
      <c r="EC232" s="89">
        <f>IF(Table645[[#This Row],[Column128]]="--",0,Table645[[#This Row],[Column4]]*Table645[[#This Row],[Column128]])</f>
        <v>0</v>
      </c>
      <c r="EE232" s="89">
        <f>IF(Table645[[#This Row],[Column128]]="--",0,Table645[[#This Row],[Column4]]*Table645[[#This Row],[Column128]])</f>
        <v>0</v>
      </c>
      <c r="EG232" s="89">
        <f>IF(Table645[[#This Row],[Column128]]="--",0,Table645[[#This Row],[Column4]]*Table645[[#This Row],[Column128]])</f>
        <v>0</v>
      </c>
      <c r="EI232" s="89">
        <f>IF(Table645[[#This Row],[Column128]]="--",0,Table645[[#This Row],[Column4]]*Table645[[#This Row],[Column128]])</f>
        <v>0</v>
      </c>
    </row>
    <row r="233" spans="1:139" x14ac:dyDescent="0.25">
      <c r="A233" s="140"/>
      <c r="B233" s="79"/>
      <c r="C233" s="140"/>
      <c r="D233" s="167"/>
      <c r="E233" s="52"/>
      <c r="F233" s="81"/>
      <c r="G233" s="81"/>
      <c r="H233" s="102" t="str">
        <f t="shared" si="34"/>
        <v>--</v>
      </c>
      <c r="I233" s="100">
        <f>IF(Table645[[#This Row],[Column8]]="--",0,Table645[[#This Row],[Column4]]*Table645[[#This Row],[Column8]])</f>
        <v>0</v>
      </c>
      <c r="J233" s="169"/>
      <c r="K233" s="85">
        <f>Table645[[#This Row],[Column4]]*Table645[[#This Row],[Column10]]</f>
        <v>0</v>
      </c>
      <c r="L233" s="170" t="str">
        <f t="shared" si="35"/>
        <v>--</v>
      </c>
      <c r="M233" s="214">
        <f>IF(Table645[[#This Row],[Column10]]=0,0,Table645[[#This Row],[Column4]]*Table645[[#This Row],[Column12]])</f>
        <v>0</v>
      </c>
      <c r="N233" s="87" t="str">
        <f t="shared" si="36"/>
        <v>--</v>
      </c>
      <c r="O233" s="138"/>
      <c r="AZ233" s="89">
        <f>IF(Table645[[#This Row],[Column14]]="--",0,Table645[[#This Row],[Column4]]*Table645[[#This Row],[Column14]])</f>
        <v>0</v>
      </c>
      <c r="BA233" s="90"/>
      <c r="BB233" s="91" t="str">
        <f>IF(BA233=0,"--",BA233*$BA$3*IF(Table645[[#This Row],[Column5]]&lt;4.1,1,2)/60/24)</f>
        <v>--</v>
      </c>
      <c r="BC233" s="92">
        <f>IF(Table645[[#This Row],[Column54]]="--",0,Table645[[#This Row],[Column4]]*Table645[[#This Row],[Column54]])</f>
        <v>0</v>
      </c>
      <c r="BD233" s="119"/>
      <c r="BE233" s="119"/>
      <c r="BF233" s="119"/>
      <c r="BG233" s="91" t="str">
        <f>IF(BD233+Table645[[#This Row],[Column58]]=0,"--",(BD233*$BF$3*Table645[[#This Row],[Column57]]+Table645[[#This Row],[Column58]]*$BF$4)/60/24)</f>
        <v>--</v>
      </c>
      <c r="BH233" s="92">
        <f>IF(Table645[[#This Row],[Column59]]="--",0,Table645[[#This Row],[Column4]]*Table645[[#This Row],[Column59]])</f>
        <v>0</v>
      </c>
      <c r="BI233" s="119"/>
      <c r="BJ233" s="91" t="str">
        <f t="shared" si="148"/>
        <v>--</v>
      </c>
      <c r="BK233" s="92">
        <f>IF(Table645[[#This Row],[Column62]]="--",0,Table645[[#This Row],[Column4]]*Table645[[#This Row],[Column62]])</f>
        <v>0</v>
      </c>
      <c r="BL233" s="93"/>
      <c r="BM233" s="91" t="str">
        <f t="shared" si="37"/>
        <v>--</v>
      </c>
      <c r="BN233" s="89">
        <f>IF(Table645[[#This Row],[Column65]]="--",0,Table645[[#This Row],[Column4]]*Table645[[#This Row],[Column65]])</f>
        <v>0</v>
      </c>
      <c r="BO233" s="163"/>
      <c r="BP233" s="164" t="str">
        <f t="shared" si="38"/>
        <v>--</v>
      </c>
      <c r="BQ233" s="160">
        <f>IF(Table645[[#This Row],[Column68]]="--",0,Table645[[#This Row],[Column4]]*Table645[[#This Row],[Column68]])</f>
        <v>0</v>
      </c>
      <c r="BR233" s="94"/>
      <c r="BS233" s="91" t="str">
        <f t="shared" si="39"/>
        <v>--</v>
      </c>
      <c r="BT233" s="92">
        <f>IF(Table645[[#This Row],[Column71]]="--",0,Table645[[#This Row],[Column4]]*Table645[[#This Row],[Column71]])</f>
        <v>0</v>
      </c>
      <c r="BU233" s="44"/>
      <c r="BV233" s="90"/>
      <c r="BW233" s="91" t="str">
        <f>IF(BV233=0,"--",(Table645[[#This Row],[Column73]]*$BV$4*(IF(J233&lt;0.5001,1,IF(J233&lt;2.0001,2,3)))+BV233/$BV$3)/60/24)</f>
        <v>--</v>
      </c>
      <c r="BX233" s="92">
        <f>IF(Table645[[#This Row],[Column75]]="--",0,Table645[[#This Row],[Column4]]*Table645[[#This Row],[Column75]])</f>
        <v>0</v>
      </c>
      <c r="BY233" s="95" t="s">
        <v>70</v>
      </c>
      <c r="BZ233" s="91" t="str">
        <f>IF(Table645[[#This Row],[Column74]]=0,"--",BW233*$BY$3)</f>
        <v>--</v>
      </c>
      <c r="CA233" s="89">
        <f>IF(Table645[[#This Row],[Column78]]="--",0,Table645[[#This Row],[Column4]]*Table645[[#This Row],[Column78]])</f>
        <v>0</v>
      </c>
      <c r="CB233" s="95" t="s">
        <v>70</v>
      </c>
      <c r="CC233" s="91" t="str">
        <f>IF(Table645[[#This Row],[Column10]]+Table645[[#This Row],[Column74]]=0,"--",J233*$CB$4*$CB$5/(24*60)+IF(Table645[[#This Row],[Column74]]=0,0,$CB$3*Table645[[#This Row],[Column75]]))</f>
        <v>--</v>
      </c>
      <c r="CD233" s="92">
        <f>IF(Table645[[#This Row],[Column81]]="--",0,Table645[[#This Row],[Column4]]*Table645[[#This Row],[Column81]])</f>
        <v>0</v>
      </c>
      <c r="CE233" s="215"/>
      <c r="CF233" s="91" t="str">
        <f t="shared" si="149"/>
        <v>--</v>
      </c>
      <c r="CG233" s="92">
        <f>IF(Table645[[#This Row],[Column84]]="--",0,Table645[[#This Row],[Column4]]*Table645[[#This Row],[Column84]])</f>
        <v>0</v>
      </c>
      <c r="CH233" s="226"/>
      <c r="CI233" s="216"/>
      <c r="CJ233" s="91" t="str">
        <f>IF(CI233=0,"--",(Table645[[#This Row],[Column86]]*$CI$4*(IF(W233&lt;0.5001,1,IF(W233&lt;2.0001,2,3)))+CI233/$CI$3)/60/24)</f>
        <v>--</v>
      </c>
      <c r="CK233" s="92">
        <f>IF(Table645[[#This Row],[Column88]]="--",0,Table645[[#This Row],[Column4]]*Table645[[#This Row],[Column88]])</f>
        <v>0</v>
      </c>
      <c r="CL233" s="217"/>
      <c r="CM233" s="91" t="str">
        <f>IF(Table645[[#This Row],[Column87]]=0,"--",CJ233*$CL$3)</f>
        <v>--</v>
      </c>
      <c r="CN233" s="92">
        <f>IF(Table645[[#This Row],[Column91]]="--",0,Table645[[#This Row],[Column4]]*Table645[[#This Row],[Column91]])</f>
        <v>0</v>
      </c>
      <c r="CO233" s="217"/>
      <c r="CP233" s="91" t="str">
        <f>IF(Table645[[#This Row],[Column10]]+Table645[[#This Row],[Column87]]=0, "--", IF($D233="", 1, $D233) * IF($J233="", 1, $J233) * $CO$3 * $CO$4 * IF(Table645[[#This Row],[Column95]]="", 1, Table645[[#This Row],[Column95]]) / (24 * 60))</f>
        <v>--</v>
      </c>
      <c r="CQ233" s="164"/>
      <c r="CR233" s="92">
        <f>IF(Table645[[#This Row],[Column94]]="--",0,Table645[[#This Row],[Column4]]*Table645[[#This Row],[Column94]])</f>
        <v>0</v>
      </c>
      <c r="CS233" s="218" t="str">
        <f>IF(Table645[[#This Row],[Column87]]="","",Table645[[#This Row],[Column87]])</f>
        <v/>
      </c>
      <c r="CT233" s="91" t="str">
        <f>IF(Table645[[#This Row],[Column97]]="","--",Table645[[#This Row],[Column97]]/$CS$3/60/24)</f>
        <v>--</v>
      </c>
      <c r="CU233" s="92">
        <f>IF(Table645[[#This Row],[Column98]]="--",0,Table645[[#This Row],[Column4]]*Table645[[#This Row],[Column98]])</f>
        <v>0</v>
      </c>
      <c r="CV233" s="93"/>
      <c r="CW233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33" s="91" t="str">
        <f>IF(OR(Table645[[#This Row],[Column74]]&gt;0,Table645[[#This Row],[Column87]]&gt;0),(Table645[[#This Row],[Column73]]+Table645[[#This Row],[Column86]]+1)*$CW$3/60/24,"--")</f>
        <v>--</v>
      </c>
      <c r="CY233" s="92">
        <f>IF(Table645[[#This Row],[Column102]]="--",0,Table645[[#This Row],[Column4]]*Table645[[#This Row],[Column102]])</f>
        <v>0</v>
      </c>
      <c r="CZ233" s="158" t="str">
        <f t="shared" si="40"/>
        <v>--</v>
      </c>
      <c r="DA233" s="153"/>
      <c r="DB233" s="160">
        <f>IF(Table645[[#This Row],[Column104]]="--",0,Table645[[#This Row],[Column4]]*Table645[[#This Row],[Column104]])</f>
        <v>0</v>
      </c>
      <c r="DC233" s="219"/>
      <c r="DD233" s="220" t="str">
        <f>IF(DC233=0,"--",1/$DC$3*1000/(60*60*24)*Table645[[#This Row],[Column107]])</f>
        <v>--</v>
      </c>
      <c r="DE233" s="160">
        <f>IF(Table645[[#This Row],[Column108]]="--",0,Table645[[#This Row],[Column4]]*Table645[[#This Row],[Column108]])</f>
        <v>0</v>
      </c>
      <c r="DF233" s="101" t="s">
        <v>70</v>
      </c>
      <c r="DG233" s="91" t="str">
        <f t="shared" si="41"/>
        <v>--</v>
      </c>
      <c r="DH233" s="89">
        <f>IF(Table645[[#This Row],[Column111]]="--",0,Table645[[#This Row],[Column4]]*Table645[[#This Row],[Column111]])</f>
        <v>0</v>
      </c>
      <c r="DI233" s="96"/>
      <c r="DJ233" s="96"/>
      <c r="DK233" s="96"/>
      <c r="DL233" s="96"/>
      <c r="DM233" s="96"/>
      <c r="DN233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33" s="89">
        <f>IF(Table645[[#This Row],[Column118]]="--",0,Table645[[#This Row],[Column4]]*Table645[[#This Row],[Column118]])</f>
        <v>0</v>
      </c>
      <c r="DP233" s="96"/>
      <c r="DQ233" s="96"/>
      <c r="DR233" s="91" t="str">
        <f t="shared" si="42"/>
        <v>--</v>
      </c>
      <c r="DS233" s="89">
        <f>IF(Table645[[#This Row],[Column122]]="--",0,Table645[[#This Row],[Column4]]*Table645[[#This Row],[Column122]])</f>
        <v>0</v>
      </c>
      <c r="DT233" t="str">
        <f>IF(Table645[[#This Row],[Column125]]=0,"--",Table645[[#This Row],[Column125]]*Table645[[#This Row],[Column126]]*Table645[[#This Row],[Column127]]/1000000000)</f>
        <v>--</v>
      </c>
      <c r="DU233" s="53"/>
      <c r="DV233" s="53"/>
      <c r="DW233" s="53"/>
      <c r="DX233" s="91" t="str">
        <f t="shared" si="43"/>
        <v>--</v>
      </c>
      <c r="DY233" s="89">
        <f>IF(Table645[[#This Row],[Column128]]="--",0,Table645[[#This Row],[Column4]]*Table645[[#This Row],[Column128]])</f>
        <v>0</v>
      </c>
      <c r="EA233" s="89">
        <f>IF(Table645[[#This Row],[Column128]]="--",0,Table645[[#This Row],[Column4]]*Table645[[#This Row],[Column128]])</f>
        <v>0</v>
      </c>
      <c r="EC233" s="89">
        <f>IF(Table645[[#This Row],[Column128]]="--",0,Table645[[#This Row],[Column4]]*Table645[[#This Row],[Column128]])</f>
        <v>0</v>
      </c>
      <c r="EE233" s="89">
        <f>IF(Table645[[#This Row],[Column128]]="--",0,Table645[[#This Row],[Column4]]*Table645[[#This Row],[Column128]])</f>
        <v>0</v>
      </c>
      <c r="EG233" s="89">
        <f>IF(Table645[[#This Row],[Column128]]="--",0,Table645[[#This Row],[Column4]]*Table645[[#This Row],[Column128]])</f>
        <v>0</v>
      </c>
      <c r="EI233" s="89">
        <f>IF(Table645[[#This Row],[Column128]]="--",0,Table645[[#This Row],[Column4]]*Table645[[#This Row],[Column128]])</f>
        <v>0</v>
      </c>
    </row>
    <row r="234" spans="1:139" x14ac:dyDescent="0.25">
      <c r="A234" s="140"/>
      <c r="B234" s="79"/>
      <c r="C234" s="140"/>
      <c r="D234" s="167"/>
      <c r="E234" s="52"/>
      <c r="F234" s="81"/>
      <c r="G234" s="81"/>
      <c r="H234" s="102" t="str">
        <f t="shared" si="34"/>
        <v>--</v>
      </c>
      <c r="I234" s="100">
        <f>IF(Table645[[#This Row],[Column8]]="--",0,Table645[[#This Row],[Column4]]*Table645[[#This Row],[Column8]])</f>
        <v>0</v>
      </c>
      <c r="J234" s="169"/>
      <c r="K234" s="85">
        <f>Table645[[#This Row],[Column4]]*Table645[[#This Row],[Column10]]</f>
        <v>0</v>
      </c>
      <c r="L234" s="170" t="str">
        <f t="shared" si="35"/>
        <v>--</v>
      </c>
      <c r="M234" s="214">
        <f>IF(Table645[[#This Row],[Column10]]=0,0,Table645[[#This Row],[Column4]]*Table645[[#This Row],[Column12]])</f>
        <v>0</v>
      </c>
      <c r="N234" s="87" t="str">
        <f t="shared" si="36"/>
        <v>--</v>
      </c>
      <c r="O234" s="138"/>
      <c r="AZ234" s="89">
        <f>IF(Table645[[#This Row],[Column14]]="--",0,Table645[[#This Row],[Column4]]*Table645[[#This Row],[Column14]])</f>
        <v>0</v>
      </c>
      <c r="BA234" s="90"/>
      <c r="BB234" s="91" t="str">
        <f>IF(BA234=0,"--",BA234*$BA$3*IF(Table645[[#This Row],[Column5]]&lt;4.1,1,2)/60/24)</f>
        <v>--</v>
      </c>
      <c r="BC234" s="92">
        <f>IF(Table645[[#This Row],[Column54]]="--",0,Table645[[#This Row],[Column4]]*Table645[[#This Row],[Column54]])</f>
        <v>0</v>
      </c>
      <c r="BD234" s="119"/>
      <c r="BE234" s="119"/>
      <c r="BF234" s="119"/>
      <c r="BG234" s="91" t="str">
        <f>IF(BD234+Table645[[#This Row],[Column58]]=0,"--",(BD234*$BF$3*Table645[[#This Row],[Column57]]+Table645[[#This Row],[Column58]]*$BF$4)/60/24)</f>
        <v>--</v>
      </c>
      <c r="BH234" s="92">
        <f>IF(Table645[[#This Row],[Column59]]="--",0,Table645[[#This Row],[Column4]]*Table645[[#This Row],[Column59]])</f>
        <v>0</v>
      </c>
      <c r="BI234" s="119"/>
      <c r="BJ234" s="91" t="str">
        <f t="shared" si="148"/>
        <v>--</v>
      </c>
      <c r="BK234" s="92">
        <f>IF(Table645[[#This Row],[Column62]]="--",0,Table645[[#This Row],[Column4]]*Table645[[#This Row],[Column62]])</f>
        <v>0</v>
      </c>
      <c r="BL234" s="93"/>
      <c r="BM234" s="91" t="str">
        <f t="shared" si="37"/>
        <v>--</v>
      </c>
      <c r="BN234" s="89">
        <f>IF(Table645[[#This Row],[Column65]]="--",0,Table645[[#This Row],[Column4]]*Table645[[#This Row],[Column65]])</f>
        <v>0</v>
      </c>
      <c r="BO234" s="163"/>
      <c r="BP234" s="164" t="str">
        <f t="shared" si="38"/>
        <v>--</v>
      </c>
      <c r="BQ234" s="160">
        <f>IF(Table645[[#This Row],[Column68]]="--",0,Table645[[#This Row],[Column4]]*Table645[[#This Row],[Column68]])</f>
        <v>0</v>
      </c>
      <c r="BR234" s="94"/>
      <c r="BS234" s="91" t="str">
        <f t="shared" si="39"/>
        <v>--</v>
      </c>
      <c r="BT234" s="92">
        <f>IF(Table645[[#This Row],[Column71]]="--",0,Table645[[#This Row],[Column4]]*Table645[[#This Row],[Column71]])</f>
        <v>0</v>
      </c>
      <c r="BU234" s="44"/>
      <c r="BV234" s="90"/>
      <c r="BW234" s="91" t="str">
        <f>IF(BV234=0,"--",(Table645[[#This Row],[Column73]]*$BV$4*(IF(J234&lt;0.5001,1,IF(J234&lt;2.0001,2,3)))+BV234/$BV$3)/60/24)</f>
        <v>--</v>
      </c>
      <c r="BX234" s="92">
        <f>IF(Table645[[#This Row],[Column75]]="--",0,Table645[[#This Row],[Column4]]*Table645[[#This Row],[Column75]])</f>
        <v>0</v>
      </c>
      <c r="BY234" s="95" t="s">
        <v>70</v>
      </c>
      <c r="BZ234" s="91" t="str">
        <f>IF(Table645[[#This Row],[Column74]]=0,"--",BW234*$BY$3)</f>
        <v>--</v>
      </c>
      <c r="CA234" s="89">
        <f>IF(Table645[[#This Row],[Column78]]="--",0,Table645[[#This Row],[Column4]]*Table645[[#This Row],[Column78]])</f>
        <v>0</v>
      </c>
      <c r="CB234" s="95" t="s">
        <v>70</v>
      </c>
      <c r="CC234" s="91" t="str">
        <f>IF(Table645[[#This Row],[Column10]]+Table645[[#This Row],[Column74]]=0,"--",J234*$CB$4*$CB$5/(24*60)+IF(Table645[[#This Row],[Column74]]=0,0,$CB$3*Table645[[#This Row],[Column75]]))</f>
        <v>--</v>
      </c>
      <c r="CD234" s="92">
        <f>IF(Table645[[#This Row],[Column81]]="--",0,Table645[[#This Row],[Column4]]*Table645[[#This Row],[Column81]])</f>
        <v>0</v>
      </c>
      <c r="CE234" s="215"/>
      <c r="CF234" s="91" t="str">
        <f t="shared" si="149"/>
        <v>--</v>
      </c>
      <c r="CG234" s="92">
        <f>IF(Table645[[#This Row],[Column84]]="--",0,Table645[[#This Row],[Column4]]*Table645[[#This Row],[Column84]])</f>
        <v>0</v>
      </c>
      <c r="CH234" s="226"/>
      <c r="CI234" s="216"/>
      <c r="CJ234" s="91" t="str">
        <f>IF(CI234=0,"--",(Table645[[#This Row],[Column86]]*$CI$4*(IF(W234&lt;0.5001,1,IF(W234&lt;2.0001,2,3)))+CI234/$CI$3)/60/24)</f>
        <v>--</v>
      </c>
      <c r="CK234" s="92">
        <f>IF(Table645[[#This Row],[Column88]]="--",0,Table645[[#This Row],[Column4]]*Table645[[#This Row],[Column88]])</f>
        <v>0</v>
      </c>
      <c r="CL234" s="217"/>
      <c r="CM234" s="91" t="str">
        <f>IF(Table645[[#This Row],[Column87]]=0,"--",CJ234*$CL$3)</f>
        <v>--</v>
      </c>
      <c r="CN234" s="92">
        <f>IF(Table645[[#This Row],[Column91]]="--",0,Table645[[#This Row],[Column4]]*Table645[[#This Row],[Column91]])</f>
        <v>0</v>
      </c>
      <c r="CO234" s="217"/>
      <c r="CP234" s="91" t="str">
        <f>IF(Table645[[#This Row],[Column10]]+Table645[[#This Row],[Column87]]=0, "--", IF($D234="", 1, $D234) * IF($J234="", 1, $J234) * $CO$3 * $CO$4 * IF(Table645[[#This Row],[Column95]]="", 1, Table645[[#This Row],[Column95]]) / (24 * 60))</f>
        <v>--</v>
      </c>
      <c r="CQ234" s="164"/>
      <c r="CR234" s="92">
        <f>IF(Table645[[#This Row],[Column94]]="--",0,Table645[[#This Row],[Column4]]*Table645[[#This Row],[Column94]])</f>
        <v>0</v>
      </c>
      <c r="CS234" s="218" t="str">
        <f>IF(Table645[[#This Row],[Column87]]="","",Table645[[#This Row],[Column87]])</f>
        <v/>
      </c>
      <c r="CT234" s="91" t="str">
        <f>IF(Table645[[#This Row],[Column97]]="","--",Table645[[#This Row],[Column97]]/$CS$3/60/24)</f>
        <v>--</v>
      </c>
      <c r="CU234" s="92">
        <f>IF(Table645[[#This Row],[Column98]]="--",0,Table645[[#This Row],[Column4]]*Table645[[#This Row],[Column98]])</f>
        <v>0</v>
      </c>
      <c r="CV234" s="93"/>
      <c r="CW234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34" s="91" t="str">
        <f>IF(OR(Table645[[#This Row],[Column74]]&gt;0,Table645[[#This Row],[Column87]]&gt;0),(Table645[[#This Row],[Column73]]+Table645[[#This Row],[Column86]]+1)*$CW$3/60/24,"--")</f>
        <v>--</v>
      </c>
      <c r="CY234" s="92">
        <f>IF(Table645[[#This Row],[Column102]]="--",0,Table645[[#This Row],[Column4]]*Table645[[#This Row],[Column102]])</f>
        <v>0</v>
      </c>
      <c r="CZ234" s="158" t="str">
        <f t="shared" si="40"/>
        <v>--</v>
      </c>
      <c r="DA234" s="153"/>
      <c r="DB234" s="160">
        <f>IF(Table645[[#This Row],[Column104]]="--",0,Table645[[#This Row],[Column4]]*Table645[[#This Row],[Column104]])</f>
        <v>0</v>
      </c>
      <c r="DC234" s="219"/>
      <c r="DD234" s="220" t="str">
        <f>IF(DC234=0,"--",1/$DC$3*1000/(60*60*24)*Table645[[#This Row],[Column107]])</f>
        <v>--</v>
      </c>
      <c r="DE234" s="160">
        <f>IF(Table645[[#This Row],[Column108]]="--",0,Table645[[#This Row],[Column4]]*Table645[[#This Row],[Column108]])</f>
        <v>0</v>
      </c>
      <c r="DF234" s="101" t="s">
        <v>70</v>
      </c>
      <c r="DG234" s="91" t="str">
        <f t="shared" si="41"/>
        <v>--</v>
      </c>
      <c r="DH234" s="89">
        <f>IF(Table645[[#This Row],[Column111]]="--",0,Table645[[#This Row],[Column4]]*Table645[[#This Row],[Column111]])</f>
        <v>0</v>
      </c>
      <c r="DI234" s="96"/>
      <c r="DJ234" s="96"/>
      <c r="DK234" s="96"/>
      <c r="DL234" s="96"/>
      <c r="DM234" s="96"/>
      <c r="DN234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34" s="89">
        <f>IF(Table645[[#This Row],[Column118]]="--",0,Table645[[#This Row],[Column4]]*Table645[[#This Row],[Column118]])</f>
        <v>0</v>
      </c>
      <c r="DP234" s="96"/>
      <c r="DQ234" s="96"/>
      <c r="DR234" s="91" t="str">
        <f t="shared" si="42"/>
        <v>--</v>
      </c>
      <c r="DS234" s="89">
        <f>IF(Table645[[#This Row],[Column122]]="--",0,Table645[[#This Row],[Column4]]*Table645[[#This Row],[Column122]])</f>
        <v>0</v>
      </c>
      <c r="DT234" t="str">
        <f>IF(Table645[[#This Row],[Column125]]=0,"--",Table645[[#This Row],[Column125]]*Table645[[#This Row],[Column126]]*Table645[[#This Row],[Column127]]/1000000000)</f>
        <v>--</v>
      </c>
      <c r="DU234" s="53"/>
      <c r="DV234" s="53"/>
      <c r="DW234" s="53"/>
      <c r="DX234" s="91" t="str">
        <f t="shared" si="43"/>
        <v>--</v>
      </c>
      <c r="DY234" s="89">
        <f>IF(Table645[[#This Row],[Column128]]="--",0,Table645[[#This Row],[Column4]]*Table645[[#This Row],[Column128]])</f>
        <v>0</v>
      </c>
      <c r="EA234" s="89">
        <f>IF(Table645[[#This Row],[Column128]]="--",0,Table645[[#This Row],[Column4]]*Table645[[#This Row],[Column128]])</f>
        <v>0</v>
      </c>
      <c r="EC234" s="89">
        <f>IF(Table645[[#This Row],[Column128]]="--",0,Table645[[#This Row],[Column4]]*Table645[[#This Row],[Column128]])</f>
        <v>0</v>
      </c>
      <c r="EE234" s="89">
        <f>IF(Table645[[#This Row],[Column128]]="--",0,Table645[[#This Row],[Column4]]*Table645[[#This Row],[Column128]])</f>
        <v>0</v>
      </c>
      <c r="EG234" s="89">
        <f>IF(Table645[[#This Row],[Column128]]="--",0,Table645[[#This Row],[Column4]]*Table645[[#This Row],[Column128]])</f>
        <v>0</v>
      </c>
      <c r="EI234" s="89">
        <f>IF(Table645[[#This Row],[Column128]]="--",0,Table645[[#This Row],[Column4]]*Table645[[#This Row],[Column128]])</f>
        <v>0</v>
      </c>
    </row>
    <row r="235" spans="1:139" x14ac:dyDescent="0.25">
      <c r="A235" s="140"/>
      <c r="B235" s="79"/>
      <c r="C235" s="140"/>
      <c r="D235" s="167"/>
      <c r="E235" s="52"/>
      <c r="F235" s="81"/>
      <c r="G235" s="81"/>
      <c r="H235" s="102" t="str">
        <f t="shared" si="34"/>
        <v>--</v>
      </c>
      <c r="I235" s="100">
        <f>IF(Table645[[#This Row],[Column8]]="--",0,Table645[[#This Row],[Column4]]*Table645[[#This Row],[Column8]])</f>
        <v>0</v>
      </c>
      <c r="J235" s="169"/>
      <c r="K235" s="85">
        <f>Table645[[#This Row],[Column4]]*Table645[[#This Row],[Column10]]</f>
        <v>0</v>
      </c>
      <c r="L235" s="170" t="str">
        <f t="shared" si="35"/>
        <v>--</v>
      </c>
      <c r="M235" s="214">
        <f>IF(Table645[[#This Row],[Column10]]=0,0,Table645[[#This Row],[Column4]]*Table645[[#This Row],[Column12]])</f>
        <v>0</v>
      </c>
      <c r="N235" s="87" t="str">
        <f t="shared" si="36"/>
        <v>--</v>
      </c>
      <c r="O235" s="138"/>
      <c r="AZ235" s="89">
        <f>IF(Table645[[#This Row],[Column14]]="--",0,Table645[[#This Row],[Column4]]*Table645[[#This Row],[Column14]])</f>
        <v>0</v>
      </c>
      <c r="BA235" s="90"/>
      <c r="BB235" s="91" t="str">
        <f>IF(BA235=0,"--",BA235*$BA$3*IF(Table645[[#This Row],[Column5]]&lt;4.1,1,2)/60/24)</f>
        <v>--</v>
      </c>
      <c r="BC235" s="92">
        <f>IF(Table645[[#This Row],[Column54]]="--",0,Table645[[#This Row],[Column4]]*Table645[[#This Row],[Column54]])</f>
        <v>0</v>
      </c>
      <c r="BD235" s="119"/>
      <c r="BE235" s="119"/>
      <c r="BF235" s="119"/>
      <c r="BG235" s="91" t="str">
        <f>IF(BD235+Table645[[#This Row],[Column58]]=0,"--",(BD235*$BF$3*Table645[[#This Row],[Column57]]+Table645[[#This Row],[Column58]]*$BF$4)/60/24)</f>
        <v>--</v>
      </c>
      <c r="BH235" s="92">
        <f>IF(Table645[[#This Row],[Column59]]="--",0,Table645[[#This Row],[Column4]]*Table645[[#This Row],[Column59]])</f>
        <v>0</v>
      </c>
      <c r="BI235" s="119"/>
      <c r="BJ235" s="91" t="str">
        <f t="shared" si="148"/>
        <v>--</v>
      </c>
      <c r="BK235" s="92">
        <f>IF(Table645[[#This Row],[Column62]]="--",0,Table645[[#This Row],[Column4]]*Table645[[#This Row],[Column62]])</f>
        <v>0</v>
      </c>
      <c r="BL235" s="93"/>
      <c r="BM235" s="91" t="str">
        <f t="shared" si="37"/>
        <v>--</v>
      </c>
      <c r="BN235" s="89">
        <f>IF(Table645[[#This Row],[Column65]]="--",0,Table645[[#This Row],[Column4]]*Table645[[#This Row],[Column65]])</f>
        <v>0</v>
      </c>
      <c r="BO235" s="163"/>
      <c r="BP235" s="164" t="str">
        <f t="shared" si="38"/>
        <v>--</v>
      </c>
      <c r="BQ235" s="160">
        <f>IF(Table645[[#This Row],[Column68]]="--",0,Table645[[#This Row],[Column4]]*Table645[[#This Row],[Column68]])</f>
        <v>0</v>
      </c>
      <c r="BR235" s="94"/>
      <c r="BS235" s="91" t="str">
        <f t="shared" si="39"/>
        <v>--</v>
      </c>
      <c r="BT235" s="92">
        <f>IF(Table645[[#This Row],[Column71]]="--",0,Table645[[#This Row],[Column4]]*Table645[[#This Row],[Column71]])</f>
        <v>0</v>
      </c>
      <c r="BU235" s="44"/>
      <c r="BV235" s="90"/>
      <c r="BW235" s="91" t="str">
        <f>IF(BV235=0,"--",(Table645[[#This Row],[Column73]]*$BV$4*(IF(J235&lt;0.5001,1,IF(J235&lt;2.0001,2,3)))+BV235/$BV$3)/60/24)</f>
        <v>--</v>
      </c>
      <c r="BX235" s="92">
        <f>IF(Table645[[#This Row],[Column75]]="--",0,Table645[[#This Row],[Column4]]*Table645[[#This Row],[Column75]])</f>
        <v>0</v>
      </c>
      <c r="BY235" s="95" t="s">
        <v>70</v>
      </c>
      <c r="BZ235" s="91" t="str">
        <f>IF(Table645[[#This Row],[Column74]]=0,"--",BW235*$BY$3)</f>
        <v>--</v>
      </c>
      <c r="CA235" s="89">
        <f>IF(Table645[[#This Row],[Column78]]="--",0,Table645[[#This Row],[Column4]]*Table645[[#This Row],[Column78]])</f>
        <v>0</v>
      </c>
      <c r="CB235" s="95" t="s">
        <v>70</v>
      </c>
      <c r="CC235" s="91" t="str">
        <f>IF(Table645[[#This Row],[Column10]]+Table645[[#This Row],[Column74]]=0,"--",J235*$CB$4*$CB$5/(24*60)+IF(Table645[[#This Row],[Column74]]=0,0,$CB$3*Table645[[#This Row],[Column75]]))</f>
        <v>--</v>
      </c>
      <c r="CD235" s="92">
        <f>IF(Table645[[#This Row],[Column81]]="--",0,Table645[[#This Row],[Column4]]*Table645[[#This Row],[Column81]])</f>
        <v>0</v>
      </c>
      <c r="CE235" s="215"/>
      <c r="CF235" s="91" t="str">
        <f t="shared" si="149"/>
        <v>--</v>
      </c>
      <c r="CG235" s="92">
        <f>IF(Table645[[#This Row],[Column84]]="--",0,Table645[[#This Row],[Column4]]*Table645[[#This Row],[Column84]])</f>
        <v>0</v>
      </c>
      <c r="CH235" s="226"/>
      <c r="CI235" s="216"/>
      <c r="CJ235" s="91" t="str">
        <f>IF(CI235=0,"--",(Table645[[#This Row],[Column86]]*$CI$4*(IF(W235&lt;0.5001,1,IF(W235&lt;2.0001,2,3)))+CI235/$CI$3)/60/24)</f>
        <v>--</v>
      </c>
      <c r="CK235" s="92">
        <f>IF(Table645[[#This Row],[Column88]]="--",0,Table645[[#This Row],[Column4]]*Table645[[#This Row],[Column88]])</f>
        <v>0</v>
      </c>
      <c r="CL235" s="217"/>
      <c r="CM235" s="91" t="str">
        <f>IF(Table645[[#This Row],[Column87]]=0,"--",CJ235*$CL$3)</f>
        <v>--</v>
      </c>
      <c r="CN235" s="92">
        <f>IF(Table645[[#This Row],[Column91]]="--",0,Table645[[#This Row],[Column4]]*Table645[[#This Row],[Column91]])</f>
        <v>0</v>
      </c>
      <c r="CO235" s="217"/>
      <c r="CP235" s="91" t="str">
        <f>IF(Table645[[#This Row],[Column10]]+Table645[[#This Row],[Column87]]=0, "--", IF($D235="", 1, $D235) * IF($J235="", 1, $J235) * $CO$3 * $CO$4 * IF(Table645[[#This Row],[Column95]]="", 1, Table645[[#This Row],[Column95]]) / (24 * 60))</f>
        <v>--</v>
      </c>
      <c r="CQ235" s="164"/>
      <c r="CR235" s="92">
        <f>IF(Table645[[#This Row],[Column94]]="--",0,Table645[[#This Row],[Column4]]*Table645[[#This Row],[Column94]])</f>
        <v>0</v>
      </c>
      <c r="CS235" s="218" t="str">
        <f>IF(Table645[[#This Row],[Column87]]="","",Table645[[#This Row],[Column87]])</f>
        <v/>
      </c>
      <c r="CT235" s="91" t="str">
        <f>IF(Table645[[#This Row],[Column97]]="","--",Table645[[#This Row],[Column97]]/$CS$3/60/24)</f>
        <v>--</v>
      </c>
      <c r="CU235" s="92">
        <f>IF(Table645[[#This Row],[Column98]]="--",0,Table645[[#This Row],[Column4]]*Table645[[#This Row],[Column98]])</f>
        <v>0</v>
      </c>
      <c r="CV235" s="93"/>
      <c r="CW235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35" s="91" t="str">
        <f>IF(OR(Table645[[#This Row],[Column74]]&gt;0,Table645[[#This Row],[Column87]]&gt;0),(Table645[[#This Row],[Column73]]+Table645[[#This Row],[Column86]]+1)*$CW$3/60/24,"--")</f>
        <v>--</v>
      </c>
      <c r="CY235" s="92">
        <f>IF(Table645[[#This Row],[Column102]]="--",0,Table645[[#This Row],[Column4]]*Table645[[#This Row],[Column102]])</f>
        <v>0</v>
      </c>
      <c r="CZ235" s="158" t="str">
        <f t="shared" si="40"/>
        <v>--</v>
      </c>
      <c r="DA235" s="153"/>
      <c r="DB235" s="160">
        <f>IF(Table645[[#This Row],[Column104]]="--",0,Table645[[#This Row],[Column4]]*Table645[[#This Row],[Column104]])</f>
        <v>0</v>
      </c>
      <c r="DC235" s="219"/>
      <c r="DD235" s="220" t="str">
        <f>IF(DC235=0,"--",1/$DC$3*1000/(60*60*24)*Table645[[#This Row],[Column107]])</f>
        <v>--</v>
      </c>
      <c r="DE235" s="160">
        <f>IF(Table645[[#This Row],[Column108]]="--",0,Table645[[#This Row],[Column4]]*Table645[[#This Row],[Column108]])</f>
        <v>0</v>
      </c>
      <c r="DF235" s="101" t="s">
        <v>70</v>
      </c>
      <c r="DG235" s="91" t="str">
        <f t="shared" si="41"/>
        <v>--</v>
      </c>
      <c r="DH235" s="89">
        <f>IF(Table645[[#This Row],[Column111]]="--",0,Table645[[#This Row],[Column4]]*Table645[[#This Row],[Column111]])</f>
        <v>0</v>
      </c>
      <c r="DI235" s="96"/>
      <c r="DJ235" s="96"/>
      <c r="DK235" s="96"/>
      <c r="DL235" s="96"/>
      <c r="DM235" s="96"/>
      <c r="DN235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35" s="89">
        <f>IF(Table645[[#This Row],[Column118]]="--",0,Table645[[#This Row],[Column4]]*Table645[[#This Row],[Column118]])</f>
        <v>0</v>
      </c>
      <c r="DP235" s="96"/>
      <c r="DQ235" s="96"/>
      <c r="DR235" s="91" t="str">
        <f t="shared" si="42"/>
        <v>--</v>
      </c>
      <c r="DS235" s="89">
        <f>IF(Table645[[#This Row],[Column122]]="--",0,Table645[[#This Row],[Column4]]*Table645[[#This Row],[Column122]])</f>
        <v>0</v>
      </c>
      <c r="DT235" t="str">
        <f>IF(Table645[[#This Row],[Column125]]=0,"--",Table645[[#This Row],[Column125]]*Table645[[#This Row],[Column126]]*Table645[[#This Row],[Column127]]/1000000000)</f>
        <v>--</v>
      </c>
      <c r="DU235" s="53"/>
      <c r="DV235" s="53"/>
      <c r="DW235" s="53"/>
      <c r="DX235" s="91" t="str">
        <f t="shared" si="43"/>
        <v>--</v>
      </c>
      <c r="DY235" s="89">
        <f>IF(Table645[[#This Row],[Column128]]="--",0,Table645[[#This Row],[Column4]]*Table645[[#This Row],[Column128]])</f>
        <v>0</v>
      </c>
      <c r="EA235" s="89">
        <f>IF(Table645[[#This Row],[Column128]]="--",0,Table645[[#This Row],[Column4]]*Table645[[#This Row],[Column128]])</f>
        <v>0</v>
      </c>
      <c r="EC235" s="89">
        <f>IF(Table645[[#This Row],[Column128]]="--",0,Table645[[#This Row],[Column4]]*Table645[[#This Row],[Column128]])</f>
        <v>0</v>
      </c>
      <c r="EE235" s="89">
        <f>IF(Table645[[#This Row],[Column128]]="--",0,Table645[[#This Row],[Column4]]*Table645[[#This Row],[Column128]])</f>
        <v>0</v>
      </c>
      <c r="EG235" s="89">
        <f>IF(Table645[[#This Row],[Column128]]="--",0,Table645[[#This Row],[Column4]]*Table645[[#This Row],[Column128]])</f>
        <v>0</v>
      </c>
      <c r="EI235" s="89">
        <f>IF(Table645[[#This Row],[Column128]]="--",0,Table645[[#This Row],[Column4]]*Table645[[#This Row],[Column128]])</f>
        <v>0</v>
      </c>
    </row>
    <row r="236" spans="1:139" x14ac:dyDescent="0.25">
      <c r="A236" s="140"/>
      <c r="B236" s="79"/>
      <c r="C236" s="140"/>
      <c r="D236" s="167"/>
      <c r="E236" s="52"/>
      <c r="F236" s="81"/>
      <c r="G236" s="81"/>
      <c r="H236" s="102" t="str">
        <f t="shared" si="34"/>
        <v>--</v>
      </c>
      <c r="I236" s="100">
        <f>IF(Table645[[#This Row],[Column8]]="--",0,Table645[[#This Row],[Column4]]*Table645[[#This Row],[Column8]])</f>
        <v>0</v>
      </c>
      <c r="J236" s="169"/>
      <c r="K236" s="85">
        <f>Table645[[#This Row],[Column4]]*Table645[[#This Row],[Column10]]</f>
        <v>0</v>
      </c>
      <c r="L236" s="170" t="str">
        <f t="shared" si="35"/>
        <v>--</v>
      </c>
      <c r="M236" s="214">
        <f>IF(Table645[[#This Row],[Column10]]=0,0,Table645[[#This Row],[Column4]]*Table645[[#This Row],[Column12]])</f>
        <v>0</v>
      </c>
      <c r="N236" s="87" t="str">
        <f t="shared" si="36"/>
        <v>--</v>
      </c>
      <c r="O236" s="138"/>
      <c r="AZ236" s="89">
        <f>IF(Table645[[#This Row],[Column14]]="--",0,Table645[[#This Row],[Column4]]*Table645[[#This Row],[Column14]])</f>
        <v>0</v>
      </c>
      <c r="BA236" s="90"/>
      <c r="BB236" s="91" t="str">
        <f>IF(BA236=0,"--",BA236*$BA$3*IF(Table645[[#This Row],[Column5]]&lt;4.1,1,2)/60/24)</f>
        <v>--</v>
      </c>
      <c r="BC236" s="92">
        <f>IF(Table645[[#This Row],[Column54]]="--",0,Table645[[#This Row],[Column4]]*Table645[[#This Row],[Column54]])</f>
        <v>0</v>
      </c>
      <c r="BD236" s="119"/>
      <c r="BE236" s="119"/>
      <c r="BF236" s="119"/>
      <c r="BG236" s="91" t="str">
        <f>IF(BD236+Table645[[#This Row],[Column58]]=0,"--",(BD236*$BF$3*Table645[[#This Row],[Column57]]+Table645[[#This Row],[Column58]]*$BF$4)/60/24)</f>
        <v>--</v>
      </c>
      <c r="BH236" s="92">
        <f>IF(Table645[[#This Row],[Column59]]="--",0,Table645[[#This Row],[Column4]]*Table645[[#This Row],[Column59]])</f>
        <v>0</v>
      </c>
      <c r="BI236" s="119"/>
      <c r="BJ236" s="91" t="str">
        <f t="shared" si="148"/>
        <v>--</v>
      </c>
      <c r="BK236" s="92">
        <f>IF(Table645[[#This Row],[Column62]]="--",0,Table645[[#This Row],[Column4]]*Table645[[#This Row],[Column62]])</f>
        <v>0</v>
      </c>
      <c r="BL236" s="93"/>
      <c r="BM236" s="91" t="str">
        <f t="shared" si="37"/>
        <v>--</v>
      </c>
      <c r="BN236" s="89">
        <f>IF(Table645[[#This Row],[Column65]]="--",0,Table645[[#This Row],[Column4]]*Table645[[#This Row],[Column65]])</f>
        <v>0</v>
      </c>
      <c r="BO236" s="163"/>
      <c r="BP236" s="164" t="str">
        <f t="shared" si="38"/>
        <v>--</v>
      </c>
      <c r="BQ236" s="160">
        <f>IF(Table645[[#This Row],[Column68]]="--",0,Table645[[#This Row],[Column4]]*Table645[[#This Row],[Column68]])</f>
        <v>0</v>
      </c>
      <c r="BR236" s="94"/>
      <c r="BS236" s="91" t="str">
        <f t="shared" si="39"/>
        <v>--</v>
      </c>
      <c r="BT236" s="92">
        <f>IF(Table645[[#This Row],[Column71]]="--",0,Table645[[#This Row],[Column4]]*Table645[[#This Row],[Column71]])</f>
        <v>0</v>
      </c>
      <c r="BU236" s="44"/>
      <c r="BV236" s="90"/>
      <c r="BW236" s="91" t="str">
        <f>IF(BV236=0,"--",(Table645[[#This Row],[Column73]]*$BV$4*(IF(J236&lt;0.5001,1,IF(J236&lt;2.0001,2,3)))+BV236/$BV$3)/60/24)</f>
        <v>--</v>
      </c>
      <c r="BX236" s="92">
        <f>IF(Table645[[#This Row],[Column75]]="--",0,Table645[[#This Row],[Column4]]*Table645[[#This Row],[Column75]])</f>
        <v>0</v>
      </c>
      <c r="BY236" s="95" t="s">
        <v>70</v>
      </c>
      <c r="BZ236" s="91" t="str">
        <f>IF(Table645[[#This Row],[Column74]]=0,"--",BW236*$BY$3)</f>
        <v>--</v>
      </c>
      <c r="CA236" s="89">
        <f>IF(Table645[[#This Row],[Column78]]="--",0,Table645[[#This Row],[Column4]]*Table645[[#This Row],[Column78]])</f>
        <v>0</v>
      </c>
      <c r="CB236" s="95" t="s">
        <v>70</v>
      </c>
      <c r="CC236" s="91" t="str">
        <f>IF(Table645[[#This Row],[Column10]]+Table645[[#This Row],[Column74]]=0,"--",J236*$CB$4*$CB$5/(24*60)+IF(Table645[[#This Row],[Column74]]=0,0,$CB$3*Table645[[#This Row],[Column75]]))</f>
        <v>--</v>
      </c>
      <c r="CD236" s="92">
        <f>IF(Table645[[#This Row],[Column81]]="--",0,Table645[[#This Row],[Column4]]*Table645[[#This Row],[Column81]])</f>
        <v>0</v>
      </c>
      <c r="CE236" s="215"/>
      <c r="CF236" s="91" t="str">
        <f t="shared" si="149"/>
        <v>--</v>
      </c>
      <c r="CG236" s="92">
        <f>IF(Table645[[#This Row],[Column84]]="--",0,Table645[[#This Row],[Column4]]*Table645[[#This Row],[Column84]])</f>
        <v>0</v>
      </c>
      <c r="CH236" s="226"/>
      <c r="CI236" s="216"/>
      <c r="CJ236" s="91" t="str">
        <f>IF(CI236=0,"--",(Table645[[#This Row],[Column86]]*$CI$4*(IF(W236&lt;0.5001,1,IF(W236&lt;2.0001,2,3)))+CI236/$CI$3)/60/24)</f>
        <v>--</v>
      </c>
      <c r="CK236" s="92">
        <f>IF(Table645[[#This Row],[Column88]]="--",0,Table645[[#This Row],[Column4]]*Table645[[#This Row],[Column88]])</f>
        <v>0</v>
      </c>
      <c r="CL236" s="217"/>
      <c r="CM236" s="91" t="str">
        <f>IF(Table645[[#This Row],[Column87]]=0,"--",CJ236*$CL$3)</f>
        <v>--</v>
      </c>
      <c r="CN236" s="92">
        <f>IF(Table645[[#This Row],[Column91]]="--",0,Table645[[#This Row],[Column4]]*Table645[[#This Row],[Column91]])</f>
        <v>0</v>
      </c>
      <c r="CO236" s="217"/>
      <c r="CP236" s="91" t="str">
        <f>IF(Table645[[#This Row],[Column10]]+Table645[[#This Row],[Column87]]=0, "--", IF($D236="", 1, $D236) * IF($J236="", 1, $J236) * $CO$3 * $CO$4 * IF(Table645[[#This Row],[Column95]]="", 1, Table645[[#This Row],[Column95]]) / (24 * 60))</f>
        <v>--</v>
      </c>
      <c r="CQ236" s="164"/>
      <c r="CR236" s="92">
        <f>IF(Table645[[#This Row],[Column94]]="--",0,Table645[[#This Row],[Column4]]*Table645[[#This Row],[Column94]])</f>
        <v>0</v>
      </c>
      <c r="CS236" s="218" t="str">
        <f>IF(Table645[[#This Row],[Column87]]="","",Table645[[#This Row],[Column87]])</f>
        <v/>
      </c>
      <c r="CT236" s="91" t="str">
        <f>IF(Table645[[#This Row],[Column97]]="","--",Table645[[#This Row],[Column97]]/$CS$3/60/24)</f>
        <v>--</v>
      </c>
      <c r="CU236" s="92">
        <f>IF(Table645[[#This Row],[Column98]]="--",0,Table645[[#This Row],[Column4]]*Table645[[#This Row],[Column98]])</f>
        <v>0</v>
      </c>
      <c r="CV236" s="93"/>
      <c r="CW236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36" s="91" t="str">
        <f>IF(OR(Table645[[#This Row],[Column74]]&gt;0,Table645[[#This Row],[Column87]]&gt;0),(Table645[[#This Row],[Column73]]+Table645[[#This Row],[Column86]]+1)*$CW$3/60/24,"--")</f>
        <v>--</v>
      </c>
      <c r="CY236" s="92">
        <f>IF(Table645[[#This Row],[Column102]]="--",0,Table645[[#This Row],[Column4]]*Table645[[#This Row],[Column102]])</f>
        <v>0</v>
      </c>
      <c r="CZ236" s="158" t="str">
        <f t="shared" si="40"/>
        <v>--</v>
      </c>
      <c r="DA236" s="153"/>
      <c r="DB236" s="160">
        <f>IF(Table645[[#This Row],[Column104]]="--",0,Table645[[#This Row],[Column4]]*Table645[[#This Row],[Column104]])</f>
        <v>0</v>
      </c>
      <c r="DC236" s="219"/>
      <c r="DD236" s="220" t="str">
        <f>IF(DC236=0,"--",1/$DC$3*1000/(60*60*24)*Table645[[#This Row],[Column107]])</f>
        <v>--</v>
      </c>
      <c r="DE236" s="160">
        <f>IF(Table645[[#This Row],[Column108]]="--",0,Table645[[#This Row],[Column4]]*Table645[[#This Row],[Column108]])</f>
        <v>0</v>
      </c>
      <c r="DF236" s="101" t="s">
        <v>70</v>
      </c>
      <c r="DG236" s="91" t="str">
        <f t="shared" si="41"/>
        <v>--</v>
      </c>
      <c r="DH236" s="89">
        <f>IF(Table645[[#This Row],[Column111]]="--",0,Table645[[#This Row],[Column4]]*Table645[[#This Row],[Column111]])</f>
        <v>0</v>
      </c>
      <c r="DI236" s="96"/>
      <c r="DJ236" s="96"/>
      <c r="DK236" s="96"/>
      <c r="DL236" s="96"/>
      <c r="DM236" s="96"/>
      <c r="DN236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36" s="89">
        <f>IF(Table645[[#This Row],[Column118]]="--",0,Table645[[#This Row],[Column4]]*Table645[[#This Row],[Column118]])</f>
        <v>0</v>
      </c>
      <c r="DP236" s="96"/>
      <c r="DQ236" s="96"/>
      <c r="DR236" s="91" t="str">
        <f t="shared" si="42"/>
        <v>--</v>
      </c>
      <c r="DS236" s="89">
        <f>IF(Table645[[#This Row],[Column122]]="--",0,Table645[[#This Row],[Column4]]*Table645[[#This Row],[Column122]])</f>
        <v>0</v>
      </c>
      <c r="DT236" t="str">
        <f>IF(Table645[[#This Row],[Column125]]=0,"--",Table645[[#This Row],[Column125]]*Table645[[#This Row],[Column126]]*Table645[[#This Row],[Column127]]/1000000000)</f>
        <v>--</v>
      </c>
      <c r="DU236" s="53"/>
      <c r="DV236" s="53"/>
      <c r="DW236" s="53"/>
      <c r="DX236" s="91" t="str">
        <f t="shared" si="43"/>
        <v>--</v>
      </c>
      <c r="DY236" s="89">
        <f>IF(Table645[[#This Row],[Column128]]="--",0,Table645[[#This Row],[Column4]]*Table645[[#This Row],[Column128]])</f>
        <v>0</v>
      </c>
      <c r="EA236" s="89">
        <f>IF(Table645[[#This Row],[Column128]]="--",0,Table645[[#This Row],[Column4]]*Table645[[#This Row],[Column128]])</f>
        <v>0</v>
      </c>
      <c r="EC236" s="89">
        <f>IF(Table645[[#This Row],[Column128]]="--",0,Table645[[#This Row],[Column4]]*Table645[[#This Row],[Column128]])</f>
        <v>0</v>
      </c>
      <c r="EE236" s="89">
        <f>IF(Table645[[#This Row],[Column128]]="--",0,Table645[[#This Row],[Column4]]*Table645[[#This Row],[Column128]])</f>
        <v>0</v>
      </c>
      <c r="EG236" s="89">
        <f>IF(Table645[[#This Row],[Column128]]="--",0,Table645[[#This Row],[Column4]]*Table645[[#This Row],[Column128]])</f>
        <v>0</v>
      </c>
      <c r="EI236" s="89">
        <f>IF(Table645[[#This Row],[Column128]]="--",0,Table645[[#This Row],[Column4]]*Table645[[#This Row],[Column128]])</f>
        <v>0</v>
      </c>
    </row>
    <row r="237" spans="1:139" x14ac:dyDescent="0.25">
      <c r="A237" s="140"/>
      <c r="B237" s="79"/>
      <c r="C237" s="140"/>
      <c r="D237" s="167"/>
      <c r="E237" s="52"/>
      <c r="F237" s="81"/>
      <c r="G237" s="81"/>
      <c r="H237" s="102" t="str">
        <f t="shared" ref="H237:H297" si="150">IF(E237&gt;0,E237*F237*G237/1000000*8*(1+$H$4),"--")</f>
        <v>--</v>
      </c>
      <c r="I237" s="100">
        <f>IF(Table645[[#This Row],[Column8]]="--",0,Table645[[#This Row],[Column4]]*Table645[[#This Row],[Column8]])</f>
        <v>0</v>
      </c>
      <c r="J237" s="169"/>
      <c r="K237" s="85">
        <f>Table645[[#This Row],[Column4]]*Table645[[#This Row],[Column10]]</f>
        <v>0</v>
      </c>
      <c r="L237" s="170" t="str">
        <f t="shared" ref="L237:L297" si="151">IF(J237=0,"--",J237/$J$3)</f>
        <v>--</v>
      </c>
      <c r="M237" s="214">
        <f>IF(Table645[[#This Row],[Column10]]=0,0,Table645[[#This Row],[Column4]]*Table645[[#This Row],[Column12]])</f>
        <v>0</v>
      </c>
      <c r="N237" s="87" t="str">
        <f t="shared" ref="N237:N297" si="152">IF(SUM(Q237:AX237)=0,"--",(Q237/$Q$4+T237/$T$4+W237/$W$4+Z237/$Z$4+AC237/$AC$4+AF237/$AF$4+AI237/$AI$4+AL237/$AL$4+AO237/$AO$4+AR237/$AR$4+AU237/$AU$4+AX237/$AX$4)/60/24)</f>
        <v>--</v>
      </c>
      <c r="O237" s="138"/>
      <c r="AZ237" s="89">
        <f>IF(Table645[[#This Row],[Column14]]="--",0,Table645[[#This Row],[Column4]]*Table645[[#This Row],[Column14]])</f>
        <v>0</v>
      </c>
      <c r="BA237" s="90"/>
      <c r="BB237" s="91" t="str">
        <f>IF(BA237=0,"--",BA237*$BA$3*IF(Table645[[#This Row],[Column5]]&lt;4.1,1,2)/60/24)</f>
        <v>--</v>
      </c>
      <c r="BC237" s="92">
        <f>IF(Table645[[#This Row],[Column54]]="--",0,Table645[[#This Row],[Column4]]*Table645[[#This Row],[Column54]])</f>
        <v>0</v>
      </c>
      <c r="BD237" s="119"/>
      <c r="BE237" s="119"/>
      <c r="BF237" s="119"/>
      <c r="BG237" s="91" t="str">
        <f>IF(BD237+Table645[[#This Row],[Column58]]=0,"--",(BD237*$BF$3*Table645[[#This Row],[Column57]]+Table645[[#This Row],[Column58]]*$BF$4)/60/24)</f>
        <v>--</v>
      </c>
      <c r="BH237" s="92">
        <f>IF(Table645[[#This Row],[Column59]]="--",0,Table645[[#This Row],[Column4]]*Table645[[#This Row],[Column59]])</f>
        <v>0</v>
      </c>
      <c r="BI237" s="119"/>
      <c r="BJ237" s="91" t="str">
        <f t="shared" si="148"/>
        <v>--</v>
      </c>
      <c r="BK237" s="92">
        <f>IF(Table645[[#This Row],[Column62]]="--",0,Table645[[#This Row],[Column4]]*Table645[[#This Row],[Column62]])</f>
        <v>0</v>
      </c>
      <c r="BL237" s="93"/>
      <c r="BM237" s="91" t="str">
        <f t="shared" ref="BM237:BM297" si="153">IF(BL237=0,"--",BL237*$BL$3/60/60/24)</f>
        <v>--</v>
      </c>
      <c r="BN237" s="89">
        <f>IF(Table645[[#This Row],[Column65]]="--",0,Table645[[#This Row],[Column4]]*Table645[[#This Row],[Column65]])</f>
        <v>0</v>
      </c>
      <c r="BO237" s="163"/>
      <c r="BP237" s="164" t="str">
        <f t="shared" ref="BP237:BP297" si="154">IF(BO237=0,"--",BO237*$BO$3/60/60/24)</f>
        <v>--</v>
      </c>
      <c r="BQ237" s="160">
        <f>IF(Table645[[#This Row],[Column68]]="--",0,Table645[[#This Row],[Column4]]*Table645[[#This Row],[Column68]])</f>
        <v>0</v>
      </c>
      <c r="BR237" s="94"/>
      <c r="BS237" s="91" t="str">
        <f t="shared" ref="BS237:BS297" si="155">IF(BR237=0,"--",BR237*$BR$3/60/60/24)</f>
        <v>--</v>
      </c>
      <c r="BT237" s="92">
        <f>IF(Table645[[#This Row],[Column71]]="--",0,Table645[[#This Row],[Column4]]*Table645[[#This Row],[Column71]])</f>
        <v>0</v>
      </c>
      <c r="BU237" s="44"/>
      <c r="BV237" s="90"/>
      <c r="BW237" s="91" t="str">
        <f>IF(BV237=0,"--",(Table645[[#This Row],[Column73]]*$BV$4*(IF(J237&lt;0.5001,1,IF(J237&lt;2.0001,2,3)))+BV237/$BV$3)/60/24)</f>
        <v>--</v>
      </c>
      <c r="BX237" s="92">
        <f>IF(Table645[[#This Row],[Column75]]="--",0,Table645[[#This Row],[Column4]]*Table645[[#This Row],[Column75]])</f>
        <v>0</v>
      </c>
      <c r="BY237" s="95" t="s">
        <v>70</v>
      </c>
      <c r="BZ237" s="91" t="str">
        <f>IF(Table645[[#This Row],[Column74]]=0,"--",BW237*$BY$3)</f>
        <v>--</v>
      </c>
      <c r="CA237" s="89">
        <f>IF(Table645[[#This Row],[Column78]]="--",0,Table645[[#This Row],[Column4]]*Table645[[#This Row],[Column78]])</f>
        <v>0</v>
      </c>
      <c r="CB237" s="95" t="s">
        <v>70</v>
      </c>
      <c r="CC237" s="91" t="str">
        <f>IF(Table645[[#This Row],[Column10]]+Table645[[#This Row],[Column74]]=0,"--",J237*$CB$4*$CB$5/(24*60)+IF(Table645[[#This Row],[Column74]]=0,0,$CB$3*Table645[[#This Row],[Column75]]))</f>
        <v>--</v>
      </c>
      <c r="CD237" s="92">
        <f>IF(Table645[[#This Row],[Column81]]="--",0,Table645[[#This Row],[Column4]]*Table645[[#This Row],[Column81]])</f>
        <v>0</v>
      </c>
      <c r="CE237" s="215"/>
      <c r="CF237" s="91" t="str">
        <f t="shared" si="149"/>
        <v>--</v>
      </c>
      <c r="CG237" s="92">
        <f>IF(Table645[[#This Row],[Column84]]="--",0,Table645[[#This Row],[Column4]]*Table645[[#This Row],[Column84]])</f>
        <v>0</v>
      </c>
      <c r="CH237" s="226"/>
      <c r="CI237" s="216"/>
      <c r="CJ237" s="91" t="str">
        <f>IF(CI237=0,"--",(Table645[[#This Row],[Column86]]*$CI$4*(IF(W237&lt;0.5001,1,IF(W237&lt;2.0001,2,3)))+CI237/$CI$3)/60/24)</f>
        <v>--</v>
      </c>
      <c r="CK237" s="92">
        <f>IF(Table645[[#This Row],[Column88]]="--",0,Table645[[#This Row],[Column4]]*Table645[[#This Row],[Column88]])</f>
        <v>0</v>
      </c>
      <c r="CL237" s="217"/>
      <c r="CM237" s="91" t="str">
        <f>IF(Table645[[#This Row],[Column87]]=0,"--",CJ237*$CL$3)</f>
        <v>--</v>
      </c>
      <c r="CN237" s="92">
        <f>IF(Table645[[#This Row],[Column91]]="--",0,Table645[[#This Row],[Column4]]*Table645[[#This Row],[Column91]])</f>
        <v>0</v>
      </c>
      <c r="CO237" s="217"/>
      <c r="CP237" s="91" t="str">
        <f>IF(Table645[[#This Row],[Column10]]+Table645[[#This Row],[Column87]]=0, "--", IF($D237="", 1, $D237) * IF($J237="", 1, $J237) * $CO$3 * $CO$4 * IF(Table645[[#This Row],[Column95]]="", 1, Table645[[#This Row],[Column95]]) / (24 * 60))</f>
        <v>--</v>
      </c>
      <c r="CQ237" s="164"/>
      <c r="CR237" s="92">
        <f>IF(Table645[[#This Row],[Column94]]="--",0,Table645[[#This Row],[Column4]]*Table645[[#This Row],[Column94]])</f>
        <v>0</v>
      </c>
      <c r="CS237" s="218" t="str">
        <f>IF(Table645[[#This Row],[Column87]]="","",Table645[[#This Row],[Column87]])</f>
        <v/>
      </c>
      <c r="CT237" s="91" t="str">
        <f>IF(Table645[[#This Row],[Column97]]="","--",Table645[[#This Row],[Column97]]/$CS$3/60/24)</f>
        <v>--</v>
      </c>
      <c r="CU237" s="92">
        <f>IF(Table645[[#This Row],[Column98]]="--",0,Table645[[#This Row],[Column4]]*Table645[[#This Row],[Column98]])</f>
        <v>0</v>
      </c>
      <c r="CV237" s="93"/>
      <c r="CW237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37" s="91" t="str">
        <f>IF(OR(Table645[[#This Row],[Column74]]&gt;0,Table645[[#This Row],[Column87]]&gt;0),(Table645[[#This Row],[Column73]]+Table645[[#This Row],[Column86]]+1)*$CW$3/60/24,"--")</f>
        <v>--</v>
      </c>
      <c r="CY237" s="92">
        <f>IF(Table645[[#This Row],[Column102]]="--",0,Table645[[#This Row],[Column4]]*Table645[[#This Row],[Column102]])</f>
        <v>0</v>
      </c>
      <c r="CZ237" s="158" t="str">
        <f t="shared" ref="CZ237:CZ297" si="156">IF(J237=0,"--",J237/$CZ$3/(24)*DA237)</f>
        <v>--</v>
      </c>
      <c r="DA237" s="153"/>
      <c r="DB237" s="160">
        <f>IF(Table645[[#This Row],[Column104]]="--",0,Table645[[#This Row],[Column4]]*Table645[[#This Row],[Column104]])</f>
        <v>0</v>
      </c>
      <c r="DC237" s="219"/>
      <c r="DD237" s="220" t="str">
        <f>IF(DC237=0,"--",1/$DC$3*1000/(60*60*24)*Table645[[#This Row],[Column107]])</f>
        <v>--</v>
      </c>
      <c r="DE237" s="160">
        <f>IF(Table645[[#This Row],[Column108]]="--",0,Table645[[#This Row],[Column4]]*Table645[[#This Row],[Column108]])</f>
        <v>0</v>
      </c>
      <c r="DF237" s="101" t="s">
        <v>70</v>
      </c>
      <c r="DG237" s="91" t="str">
        <f t="shared" ref="DG237:DG297" si="157">IF(DA237=0,"--",(J237*$DF$3)/60/24)</f>
        <v>--</v>
      </c>
      <c r="DH237" s="89">
        <f>IF(Table645[[#This Row],[Column111]]="--",0,Table645[[#This Row],[Column4]]*Table645[[#This Row],[Column111]])</f>
        <v>0</v>
      </c>
      <c r="DI237" s="96"/>
      <c r="DJ237" s="96"/>
      <c r="DK237" s="96"/>
      <c r="DL237" s="96"/>
      <c r="DM237" s="96"/>
      <c r="DN237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37" s="89">
        <f>IF(Table645[[#This Row],[Column118]]="--",0,Table645[[#This Row],[Column4]]*Table645[[#This Row],[Column118]])</f>
        <v>0</v>
      </c>
      <c r="DP237" s="96"/>
      <c r="DQ237" s="96"/>
      <c r="DR237" s="91" t="str">
        <f t="shared" ref="DR237:DR297" si="158">IF(DP237+DQ237&gt;0,(DP237*$DQ$3+DQ237*$DQ$4)/60/24,IF(DN237="--","--",(DP237*$DQ$3+DQ237*$DQ$4)/60/24))</f>
        <v>--</v>
      </c>
      <c r="DS237" s="89">
        <f>IF(Table645[[#This Row],[Column122]]="--",0,Table645[[#This Row],[Column4]]*Table645[[#This Row],[Column122]])</f>
        <v>0</v>
      </c>
      <c r="DT237" t="str">
        <f>IF(Table645[[#This Row],[Column125]]=0,"--",Table645[[#This Row],[Column125]]*Table645[[#This Row],[Column126]]*Table645[[#This Row],[Column127]]/1000000000)</f>
        <v>--</v>
      </c>
      <c r="DU237" s="53"/>
      <c r="DV237" s="53"/>
      <c r="DW237" s="53"/>
      <c r="DX237" s="91" t="str">
        <f t="shared" ref="DX237:DX297" si="159">IF(DT237="--","--",(1+DT237*$DT$3)/60/24)</f>
        <v>--</v>
      </c>
      <c r="DY237" s="89">
        <f>IF(Table645[[#This Row],[Column128]]="--",0,Table645[[#This Row],[Column4]]*Table645[[#This Row],[Column128]])</f>
        <v>0</v>
      </c>
      <c r="EA237" s="89">
        <f>IF(Table645[[#This Row],[Column128]]="--",0,Table645[[#This Row],[Column4]]*Table645[[#This Row],[Column128]])</f>
        <v>0</v>
      </c>
      <c r="EC237" s="89">
        <f>IF(Table645[[#This Row],[Column128]]="--",0,Table645[[#This Row],[Column4]]*Table645[[#This Row],[Column128]])</f>
        <v>0</v>
      </c>
      <c r="EE237" s="89">
        <f>IF(Table645[[#This Row],[Column128]]="--",0,Table645[[#This Row],[Column4]]*Table645[[#This Row],[Column128]])</f>
        <v>0</v>
      </c>
      <c r="EG237" s="89">
        <f>IF(Table645[[#This Row],[Column128]]="--",0,Table645[[#This Row],[Column4]]*Table645[[#This Row],[Column128]])</f>
        <v>0</v>
      </c>
      <c r="EI237" s="89">
        <f>IF(Table645[[#This Row],[Column128]]="--",0,Table645[[#This Row],[Column4]]*Table645[[#This Row],[Column128]])</f>
        <v>0</v>
      </c>
    </row>
    <row r="238" spans="1:139" x14ac:dyDescent="0.25">
      <c r="A238" s="140"/>
      <c r="B238" s="79"/>
      <c r="C238" s="140"/>
      <c r="D238" s="167"/>
      <c r="E238" s="52"/>
      <c r="F238" s="81"/>
      <c r="G238" s="81"/>
      <c r="H238" s="102" t="str">
        <f t="shared" ref="H238:H272" si="160">IF(E238&gt;0,E238*F238*G238/1000000*8*(1+$H$4),"--")</f>
        <v>--</v>
      </c>
      <c r="I238" s="100">
        <f>IF(Table645[[#This Row],[Column8]]="--",0,Table645[[#This Row],[Column4]]*Table645[[#This Row],[Column8]])</f>
        <v>0</v>
      </c>
      <c r="J238" s="169"/>
      <c r="K238" s="85">
        <f>Table645[[#This Row],[Column4]]*Table645[[#This Row],[Column10]]</f>
        <v>0</v>
      </c>
      <c r="L238" s="170" t="str">
        <f t="shared" ref="L238:L272" si="161">IF(J238=0,"--",J238/$J$3)</f>
        <v>--</v>
      </c>
      <c r="M238" s="214">
        <f>IF(Table645[[#This Row],[Column10]]=0,0,Table645[[#This Row],[Column4]]*Table645[[#This Row],[Column12]])</f>
        <v>0</v>
      </c>
      <c r="N238" s="87" t="str">
        <f t="shared" ref="N238:N272" si="162">IF(SUM(Q238:AX238)=0,"--",(Q238/$Q$4+T238/$T$4+W238/$W$4+Z238/$Z$4+AC238/$AC$4+AF238/$AF$4+AI238/$AI$4+AL238/$AL$4+AO238/$AO$4+AR238/$AR$4+AU238/$AU$4+AX238/$AX$4)/60/24)</f>
        <v>--</v>
      </c>
      <c r="O238" s="138"/>
      <c r="AZ238" s="89">
        <f>IF(Table645[[#This Row],[Column14]]="--",0,Table645[[#This Row],[Column4]]*Table645[[#This Row],[Column14]])</f>
        <v>0</v>
      </c>
      <c r="BA238" s="90"/>
      <c r="BB238" s="91" t="str">
        <f>IF(BA238=0,"--",BA238*$BA$3*IF(Table645[[#This Row],[Column5]]&lt;4.1,1,2)/60/24)</f>
        <v>--</v>
      </c>
      <c r="BC238" s="92">
        <f>IF(Table645[[#This Row],[Column54]]="--",0,Table645[[#This Row],[Column4]]*Table645[[#This Row],[Column54]])</f>
        <v>0</v>
      </c>
      <c r="BD238" s="119"/>
      <c r="BE238" s="119"/>
      <c r="BF238" s="119"/>
      <c r="BG238" s="91" t="str">
        <f>IF(BD238+Table645[[#This Row],[Column58]]=0,"--",(BD238*$BF$3*Table645[[#This Row],[Column57]]+Table645[[#This Row],[Column58]]*$BF$4)/60/24)</f>
        <v>--</v>
      </c>
      <c r="BH238" s="92">
        <f>IF(Table645[[#This Row],[Column59]]="--",0,Table645[[#This Row],[Column4]]*Table645[[#This Row],[Column59]])</f>
        <v>0</v>
      </c>
      <c r="BI238" s="119"/>
      <c r="BJ238" s="91" t="str">
        <f t="shared" si="148"/>
        <v>--</v>
      </c>
      <c r="BK238" s="92">
        <f>IF(Table645[[#This Row],[Column62]]="--",0,Table645[[#This Row],[Column4]]*Table645[[#This Row],[Column62]])</f>
        <v>0</v>
      </c>
      <c r="BL238" s="93"/>
      <c r="BM238" s="91" t="str">
        <f t="shared" ref="BM238:BM272" si="163">IF(BL238=0,"--",BL238*$BL$3/60/60/24)</f>
        <v>--</v>
      </c>
      <c r="BN238" s="89">
        <f>IF(Table645[[#This Row],[Column65]]="--",0,Table645[[#This Row],[Column4]]*Table645[[#This Row],[Column65]])</f>
        <v>0</v>
      </c>
      <c r="BO238" s="163"/>
      <c r="BP238" s="164" t="str">
        <f t="shared" ref="BP238:BP272" si="164">IF(BO238=0,"--",BO238*$BO$3/60/60/24)</f>
        <v>--</v>
      </c>
      <c r="BQ238" s="160">
        <f>IF(Table645[[#This Row],[Column68]]="--",0,Table645[[#This Row],[Column4]]*Table645[[#This Row],[Column68]])</f>
        <v>0</v>
      </c>
      <c r="BR238" s="94"/>
      <c r="BS238" s="91" t="str">
        <f t="shared" ref="BS238:BS272" si="165">IF(BR238=0,"--",BR238*$BR$3/60/60/24)</f>
        <v>--</v>
      </c>
      <c r="BT238" s="92">
        <f>IF(Table645[[#This Row],[Column71]]="--",0,Table645[[#This Row],[Column4]]*Table645[[#This Row],[Column71]])</f>
        <v>0</v>
      </c>
      <c r="BU238" s="44"/>
      <c r="BV238" s="90"/>
      <c r="BW238" s="91" t="str">
        <f>IF(BV238=0,"--",(Table645[[#This Row],[Column73]]*$BV$4*(IF(J238&lt;0.5001,1,IF(J238&lt;2.0001,2,3)))+BV238/$BV$3)/60/24)</f>
        <v>--</v>
      </c>
      <c r="BX238" s="92">
        <f>IF(Table645[[#This Row],[Column75]]="--",0,Table645[[#This Row],[Column4]]*Table645[[#This Row],[Column75]])</f>
        <v>0</v>
      </c>
      <c r="BY238" s="95" t="s">
        <v>70</v>
      </c>
      <c r="BZ238" s="91" t="str">
        <f>IF(Table645[[#This Row],[Column74]]=0,"--",BW238*$BY$3)</f>
        <v>--</v>
      </c>
      <c r="CA238" s="89">
        <f>IF(Table645[[#This Row],[Column78]]="--",0,Table645[[#This Row],[Column4]]*Table645[[#This Row],[Column78]])</f>
        <v>0</v>
      </c>
      <c r="CB238" s="95" t="s">
        <v>70</v>
      </c>
      <c r="CC238" s="91" t="str">
        <f>IF(Table645[[#This Row],[Column10]]+Table645[[#This Row],[Column74]]=0,"--",J238*$CB$4*$CB$5/(24*60)+IF(Table645[[#This Row],[Column74]]=0,0,$CB$3*Table645[[#This Row],[Column75]]))</f>
        <v>--</v>
      </c>
      <c r="CD238" s="92">
        <f>IF(Table645[[#This Row],[Column81]]="--",0,Table645[[#This Row],[Column4]]*Table645[[#This Row],[Column81]])</f>
        <v>0</v>
      </c>
      <c r="CE238" s="215"/>
      <c r="CF238" s="91" t="str">
        <f t="shared" si="149"/>
        <v>--</v>
      </c>
      <c r="CG238" s="92">
        <f>IF(Table645[[#This Row],[Column84]]="--",0,Table645[[#This Row],[Column4]]*Table645[[#This Row],[Column84]])</f>
        <v>0</v>
      </c>
      <c r="CH238" s="226"/>
      <c r="CI238" s="216"/>
      <c r="CJ238" s="91" t="str">
        <f>IF(CI238=0,"--",(Table645[[#This Row],[Column86]]*$CI$4*(IF(W238&lt;0.5001,1,IF(W238&lt;2.0001,2,3)))+CI238/$CI$3)/60/24)</f>
        <v>--</v>
      </c>
      <c r="CK238" s="92">
        <f>IF(Table645[[#This Row],[Column88]]="--",0,Table645[[#This Row],[Column4]]*Table645[[#This Row],[Column88]])</f>
        <v>0</v>
      </c>
      <c r="CL238" s="217"/>
      <c r="CM238" s="91" t="str">
        <f>IF(Table645[[#This Row],[Column87]]=0,"--",CJ238*$CL$3)</f>
        <v>--</v>
      </c>
      <c r="CN238" s="92">
        <f>IF(Table645[[#This Row],[Column91]]="--",0,Table645[[#This Row],[Column4]]*Table645[[#This Row],[Column91]])</f>
        <v>0</v>
      </c>
      <c r="CO238" s="217"/>
      <c r="CP238" s="91" t="str">
        <f>IF(Table645[[#This Row],[Column10]]+Table645[[#This Row],[Column87]]=0, "--", IF($D238="", 1, $D238) * IF($J238="", 1, $J238) * $CO$3 * $CO$4 * IF(Table645[[#This Row],[Column95]]="", 1, Table645[[#This Row],[Column95]]) / (24 * 60))</f>
        <v>--</v>
      </c>
      <c r="CQ238" s="164"/>
      <c r="CR238" s="92">
        <f>IF(Table645[[#This Row],[Column94]]="--",0,Table645[[#This Row],[Column4]]*Table645[[#This Row],[Column94]])</f>
        <v>0</v>
      </c>
      <c r="CS238" s="218" t="str">
        <f>IF(Table645[[#This Row],[Column87]]="","",Table645[[#This Row],[Column87]])</f>
        <v/>
      </c>
      <c r="CT238" s="91" t="str">
        <f>IF(Table645[[#This Row],[Column97]]="","--",Table645[[#This Row],[Column97]]/$CS$3/60/24)</f>
        <v>--</v>
      </c>
      <c r="CU238" s="92">
        <f>IF(Table645[[#This Row],[Column98]]="--",0,Table645[[#This Row],[Column4]]*Table645[[#This Row],[Column98]])</f>
        <v>0</v>
      </c>
      <c r="CV238" s="93"/>
      <c r="CW238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38" s="91" t="str">
        <f>IF(OR(Table645[[#This Row],[Column74]]&gt;0,Table645[[#This Row],[Column87]]&gt;0),(Table645[[#This Row],[Column73]]+Table645[[#This Row],[Column86]]+1)*$CW$3/60/24,"--")</f>
        <v>--</v>
      </c>
      <c r="CY238" s="92">
        <f>IF(Table645[[#This Row],[Column102]]="--",0,Table645[[#This Row],[Column4]]*Table645[[#This Row],[Column102]])</f>
        <v>0</v>
      </c>
      <c r="CZ238" s="158" t="str">
        <f t="shared" ref="CZ238:CZ272" si="166">IF(J238=0,"--",J238/$CZ$3/(24)*DA238)</f>
        <v>--</v>
      </c>
      <c r="DA238" s="153"/>
      <c r="DB238" s="160">
        <f>IF(Table645[[#This Row],[Column104]]="--",0,Table645[[#This Row],[Column4]]*Table645[[#This Row],[Column104]])</f>
        <v>0</v>
      </c>
      <c r="DC238" s="219"/>
      <c r="DD238" s="220" t="str">
        <f>IF(DC238=0,"--",1/$DC$3*1000/(60*60*24)*Table645[[#This Row],[Column107]])</f>
        <v>--</v>
      </c>
      <c r="DE238" s="160">
        <f>IF(Table645[[#This Row],[Column108]]="--",0,Table645[[#This Row],[Column4]]*Table645[[#This Row],[Column108]])</f>
        <v>0</v>
      </c>
      <c r="DF238" s="101" t="s">
        <v>70</v>
      </c>
      <c r="DG238" s="91" t="str">
        <f t="shared" ref="DG238:DG272" si="167">IF(DA238=0,"--",(J238*$DF$3)/60/24)</f>
        <v>--</v>
      </c>
      <c r="DH238" s="89">
        <f>IF(Table645[[#This Row],[Column111]]="--",0,Table645[[#This Row],[Column4]]*Table645[[#This Row],[Column111]])</f>
        <v>0</v>
      </c>
      <c r="DI238" s="96"/>
      <c r="DJ238" s="96"/>
      <c r="DK238" s="96"/>
      <c r="DL238" s="96"/>
      <c r="DM238" s="96"/>
      <c r="DN238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38" s="89">
        <f>IF(Table645[[#This Row],[Column118]]="--",0,Table645[[#This Row],[Column4]]*Table645[[#This Row],[Column118]])</f>
        <v>0</v>
      </c>
      <c r="DP238" s="96"/>
      <c r="DQ238" s="96"/>
      <c r="DR238" s="91" t="str">
        <f t="shared" ref="DR238:DR272" si="168">IF(DP238+DQ238&gt;0,(DP238*$DQ$3+DQ238*$DQ$4)/60/24,IF(DN238="--","--",(DP238*$DQ$3+DQ238*$DQ$4)/60/24))</f>
        <v>--</v>
      </c>
      <c r="DS238" s="89">
        <f>IF(Table645[[#This Row],[Column122]]="--",0,Table645[[#This Row],[Column4]]*Table645[[#This Row],[Column122]])</f>
        <v>0</v>
      </c>
      <c r="DT238" t="str">
        <f>IF(Table645[[#This Row],[Column125]]=0,"--",Table645[[#This Row],[Column125]]*Table645[[#This Row],[Column126]]*Table645[[#This Row],[Column127]]/1000000000)</f>
        <v>--</v>
      </c>
      <c r="DU238" s="53"/>
      <c r="DV238" s="53"/>
      <c r="DW238" s="53"/>
      <c r="DX238" s="91" t="str">
        <f t="shared" ref="DX238:DX272" si="169">IF(DT238="--","--",(1+DT238*$DT$3)/60/24)</f>
        <v>--</v>
      </c>
      <c r="DY238" s="89">
        <f>IF(Table645[[#This Row],[Column128]]="--",0,Table645[[#This Row],[Column4]]*Table645[[#This Row],[Column128]])</f>
        <v>0</v>
      </c>
      <c r="EA238" s="89">
        <f>IF(Table645[[#This Row],[Column128]]="--",0,Table645[[#This Row],[Column4]]*Table645[[#This Row],[Column128]])</f>
        <v>0</v>
      </c>
      <c r="EC238" s="89">
        <f>IF(Table645[[#This Row],[Column128]]="--",0,Table645[[#This Row],[Column4]]*Table645[[#This Row],[Column128]])</f>
        <v>0</v>
      </c>
      <c r="EE238" s="89">
        <f>IF(Table645[[#This Row],[Column128]]="--",0,Table645[[#This Row],[Column4]]*Table645[[#This Row],[Column128]])</f>
        <v>0</v>
      </c>
      <c r="EG238" s="89">
        <f>IF(Table645[[#This Row],[Column128]]="--",0,Table645[[#This Row],[Column4]]*Table645[[#This Row],[Column128]])</f>
        <v>0</v>
      </c>
      <c r="EI238" s="89">
        <f>IF(Table645[[#This Row],[Column128]]="--",0,Table645[[#This Row],[Column4]]*Table645[[#This Row],[Column128]])</f>
        <v>0</v>
      </c>
    </row>
    <row r="239" spans="1:139" x14ac:dyDescent="0.25">
      <c r="A239" s="140"/>
      <c r="B239" s="79"/>
      <c r="C239" s="140"/>
      <c r="D239" s="167"/>
      <c r="E239" s="52"/>
      <c r="F239" s="81"/>
      <c r="G239" s="81"/>
      <c r="H239" s="102" t="str">
        <f t="shared" si="160"/>
        <v>--</v>
      </c>
      <c r="I239" s="100">
        <f>IF(Table645[[#This Row],[Column8]]="--",0,Table645[[#This Row],[Column4]]*Table645[[#This Row],[Column8]])</f>
        <v>0</v>
      </c>
      <c r="J239" s="169"/>
      <c r="K239" s="85">
        <f>Table645[[#This Row],[Column4]]*Table645[[#This Row],[Column10]]</f>
        <v>0</v>
      </c>
      <c r="L239" s="170" t="str">
        <f t="shared" si="161"/>
        <v>--</v>
      </c>
      <c r="M239" s="214">
        <f>IF(Table645[[#This Row],[Column10]]=0,0,Table645[[#This Row],[Column4]]*Table645[[#This Row],[Column12]])</f>
        <v>0</v>
      </c>
      <c r="N239" s="87" t="str">
        <f t="shared" si="162"/>
        <v>--</v>
      </c>
      <c r="O239" s="138"/>
      <c r="AZ239" s="89">
        <f>IF(Table645[[#This Row],[Column14]]="--",0,Table645[[#This Row],[Column4]]*Table645[[#This Row],[Column14]])</f>
        <v>0</v>
      </c>
      <c r="BA239" s="90"/>
      <c r="BB239" s="91" t="str">
        <f>IF(BA239=0,"--",BA239*$BA$3*IF(Table645[[#This Row],[Column5]]&lt;4.1,1,2)/60/24)</f>
        <v>--</v>
      </c>
      <c r="BC239" s="92">
        <f>IF(Table645[[#This Row],[Column54]]="--",0,Table645[[#This Row],[Column4]]*Table645[[#This Row],[Column54]])</f>
        <v>0</v>
      </c>
      <c r="BD239" s="119"/>
      <c r="BE239" s="119"/>
      <c r="BF239" s="119"/>
      <c r="BG239" s="91" t="str">
        <f>IF(BD239+Table645[[#This Row],[Column58]]=0,"--",(BD239*$BF$3*Table645[[#This Row],[Column57]]+Table645[[#This Row],[Column58]]*$BF$4)/60/24)</f>
        <v>--</v>
      </c>
      <c r="BH239" s="92">
        <f>IF(Table645[[#This Row],[Column59]]="--",0,Table645[[#This Row],[Column4]]*Table645[[#This Row],[Column59]])</f>
        <v>0</v>
      </c>
      <c r="BI239" s="119"/>
      <c r="BJ239" s="91" t="str">
        <f t="shared" si="148"/>
        <v>--</v>
      </c>
      <c r="BK239" s="92">
        <f>IF(Table645[[#This Row],[Column62]]="--",0,Table645[[#This Row],[Column4]]*Table645[[#This Row],[Column62]])</f>
        <v>0</v>
      </c>
      <c r="BL239" s="93"/>
      <c r="BM239" s="91" t="str">
        <f t="shared" si="163"/>
        <v>--</v>
      </c>
      <c r="BN239" s="89">
        <f>IF(Table645[[#This Row],[Column65]]="--",0,Table645[[#This Row],[Column4]]*Table645[[#This Row],[Column65]])</f>
        <v>0</v>
      </c>
      <c r="BO239" s="163"/>
      <c r="BP239" s="164" t="str">
        <f t="shared" si="164"/>
        <v>--</v>
      </c>
      <c r="BQ239" s="160">
        <f>IF(Table645[[#This Row],[Column68]]="--",0,Table645[[#This Row],[Column4]]*Table645[[#This Row],[Column68]])</f>
        <v>0</v>
      </c>
      <c r="BR239" s="94"/>
      <c r="BS239" s="91" t="str">
        <f t="shared" si="165"/>
        <v>--</v>
      </c>
      <c r="BT239" s="92">
        <f>IF(Table645[[#This Row],[Column71]]="--",0,Table645[[#This Row],[Column4]]*Table645[[#This Row],[Column71]])</f>
        <v>0</v>
      </c>
      <c r="BU239" s="44"/>
      <c r="BV239" s="90"/>
      <c r="BW239" s="91" t="str">
        <f>IF(BV239=0,"--",(Table645[[#This Row],[Column73]]*$BV$4*(IF(J239&lt;0.5001,1,IF(J239&lt;2.0001,2,3)))+BV239/$BV$3)/60/24)</f>
        <v>--</v>
      </c>
      <c r="BX239" s="92">
        <f>IF(Table645[[#This Row],[Column75]]="--",0,Table645[[#This Row],[Column4]]*Table645[[#This Row],[Column75]])</f>
        <v>0</v>
      </c>
      <c r="BY239" s="95" t="s">
        <v>70</v>
      </c>
      <c r="BZ239" s="91" t="str">
        <f>IF(Table645[[#This Row],[Column74]]=0,"--",BW239*$BY$3)</f>
        <v>--</v>
      </c>
      <c r="CA239" s="89">
        <f>IF(Table645[[#This Row],[Column78]]="--",0,Table645[[#This Row],[Column4]]*Table645[[#This Row],[Column78]])</f>
        <v>0</v>
      </c>
      <c r="CB239" s="95" t="s">
        <v>70</v>
      </c>
      <c r="CC239" s="91" t="str">
        <f>IF(Table645[[#This Row],[Column10]]+Table645[[#This Row],[Column74]]=0,"--",J239*$CB$4*$CB$5/(24*60)+IF(Table645[[#This Row],[Column74]]=0,0,$CB$3*Table645[[#This Row],[Column75]]))</f>
        <v>--</v>
      </c>
      <c r="CD239" s="92">
        <f>IF(Table645[[#This Row],[Column81]]="--",0,Table645[[#This Row],[Column4]]*Table645[[#This Row],[Column81]])</f>
        <v>0</v>
      </c>
      <c r="CE239" s="215"/>
      <c r="CF239" s="91" t="str">
        <f t="shared" si="149"/>
        <v>--</v>
      </c>
      <c r="CG239" s="92">
        <f>IF(Table645[[#This Row],[Column84]]="--",0,Table645[[#This Row],[Column4]]*Table645[[#This Row],[Column84]])</f>
        <v>0</v>
      </c>
      <c r="CH239" s="226"/>
      <c r="CI239" s="216"/>
      <c r="CJ239" s="91" t="str">
        <f>IF(CI239=0,"--",(Table645[[#This Row],[Column86]]*$CI$4*(IF(W239&lt;0.5001,1,IF(W239&lt;2.0001,2,3)))+CI239/$CI$3)/60/24)</f>
        <v>--</v>
      </c>
      <c r="CK239" s="92">
        <f>IF(Table645[[#This Row],[Column88]]="--",0,Table645[[#This Row],[Column4]]*Table645[[#This Row],[Column88]])</f>
        <v>0</v>
      </c>
      <c r="CL239" s="217"/>
      <c r="CM239" s="91" t="str">
        <f>IF(Table645[[#This Row],[Column87]]=0,"--",CJ239*$CL$3)</f>
        <v>--</v>
      </c>
      <c r="CN239" s="92">
        <f>IF(Table645[[#This Row],[Column91]]="--",0,Table645[[#This Row],[Column4]]*Table645[[#This Row],[Column91]])</f>
        <v>0</v>
      </c>
      <c r="CO239" s="217"/>
      <c r="CP239" s="91" t="str">
        <f>IF(Table645[[#This Row],[Column10]]+Table645[[#This Row],[Column87]]=0, "--", IF($D239="", 1, $D239) * IF($J239="", 1, $J239) * $CO$3 * $CO$4 * IF(Table645[[#This Row],[Column95]]="", 1, Table645[[#This Row],[Column95]]) / (24 * 60))</f>
        <v>--</v>
      </c>
      <c r="CQ239" s="164"/>
      <c r="CR239" s="92">
        <f>IF(Table645[[#This Row],[Column94]]="--",0,Table645[[#This Row],[Column4]]*Table645[[#This Row],[Column94]])</f>
        <v>0</v>
      </c>
      <c r="CS239" s="218" t="str">
        <f>IF(Table645[[#This Row],[Column87]]="","",Table645[[#This Row],[Column87]])</f>
        <v/>
      </c>
      <c r="CT239" s="91" t="str">
        <f>IF(Table645[[#This Row],[Column97]]="","--",Table645[[#This Row],[Column97]]/$CS$3/60/24)</f>
        <v>--</v>
      </c>
      <c r="CU239" s="92">
        <f>IF(Table645[[#This Row],[Column98]]="--",0,Table645[[#This Row],[Column4]]*Table645[[#This Row],[Column98]])</f>
        <v>0</v>
      </c>
      <c r="CV239" s="93"/>
      <c r="CW239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39" s="91" t="str">
        <f>IF(OR(Table645[[#This Row],[Column74]]&gt;0,Table645[[#This Row],[Column87]]&gt;0),(Table645[[#This Row],[Column73]]+Table645[[#This Row],[Column86]]+1)*$CW$3/60/24,"--")</f>
        <v>--</v>
      </c>
      <c r="CY239" s="92">
        <f>IF(Table645[[#This Row],[Column102]]="--",0,Table645[[#This Row],[Column4]]*Table645[[#This Row],[Column102]])</f>
        <v>0</v>
      </c>
      <c r="CZ239" s="158" t="str">
        <f t="shared" si="166"/>
        <v>--</v>
      </c>
      <c r="DA239" s="153"/>
      <c r="DB239" s="160">
        <f>IF(Table645[[#This Row],[Column104]]="--",0,Table645[[#This Row],[Column4]]*Table645[[#This Row],[Column104]])</f>
        <v>0</v>
      </c>
      <c r="DC239" s="219"/>
      <c r="DD239" s="220" t="str">
        <f>IF(DC239=0,"--",1/$DC$3*1000/(60*60*24)*Table645[[#This Row],[Column107]])</f>
        <v>--</v>
      </c>
      <c r="DE239" s="160">
        <f>IF(Table645[[#This Row],[Column108]]="--",0,Table645[[#This Row],[Column4]]*Table645[[#This Row],[Column108]])</f>
        <v>0</v>
      </c>
      <c r="DF239" s="101" t="s">
        <v>70</v>
      </c>
      <c r="DG239" s="91" t="str">
        <f t="shared" si="167"/>
        <v>--</v>
      </c>
      <c r="DH239" s="89">
        <f>IF(Table645[[#This Row],[Column111]]="--",0,Table645[[#This Row],[Column4]]*Table645[[#This Row],[Column111]])</f>
        <v>0</v>
      </c>
      <c r="DI239" s="96"/>
      <c r="DJ239" s="96"/>
      <c r="DK239" s="96"/>
      <c r="DL239" s="96"/>
      <c r="DM239" s="96"/>
      <c r="DN239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39" s="89">
        <f>IF(Table645[[#This Row],[Column118]]="--",0,Table645[[#This Row],[Column4]]*Table645[[#This Row],[Column118]])</f>
        <v>0</v>
      </c>
      <c r="DP239" s="96"/>
      <c r="DQ239" s="96"/>
      <c r="DR239" s="91" t="str">
        <f t="shared" si="168"/>
        <v>--</v>
      </c>
      <c r="DS239" s="89">
        <f>IF(Table645[[#This Row],[Column122]]="--",0,Table645[[#This Row],[Column4]]*Table645[[#This Row],[Column122]])</f>
        <v>0</v>
      </c>
      <c r="DT239" t="str">
        <f>IF(Table645[[#This Row],[Column125]]=0,"--",Table645[[#This Row],[Column125]]*Table645[[#This Row],[Column126]]*Table645[[#This Row],[Column127]]/1000000000)</f>
        <v>--</v>
      </c>
      <c r="DU239" s="53"/>
      <c r="DV239" s="53"/>
      <c r="DW239" s="53"/>
      <c r="DX239" s="91" t="str">
        <f t="shared" si="169"/>
        <v>--</v>
      </c>
      <c r="DY239" s="89">
        <f>IF(Table645[[#This Row],[Column128]]="--",0,Table645[[#This Row],[Column4]]*Table645[[#This Row],[Column128]])</f>
        <v>0</v>
      </c>
      <c r="EA239" s="89">
        <f>IF(Table645[[#This Row],[Column128]]="--",0,Table645[[#This Row],[Column4]]*Table645[[#This Row],[Column128]])</f>
        <v>0</v>
      </c>
      <c r="EC239" s="89">
        <f>IF(Table645[[#This Row],[Column128]]="--",0,Table645[[#This Row],[Column4]]*Table645[[#This Row],[Column128]])</f>
        <v>0</v>
      </c>
      <c r="EE239" s="89">
        <f>IF(Table645[[#This Row],[Column128]]="--",0,Table645[[#This Row],[Column4]]*Table645[[#This Row],[Column128]])</f>
        <v>0</v>
      </c>
      <c r="EG239" s="89">
        <f>IF(Table645[[#This Row],[Column128]]="--",0,Table645[[#This Row],[Column4]]*Table645[[#This Row],[Column128]])</f>
        <v>0</v>
      </c>
      <c r="EI239" s="89">
        <f>IF(Table645[[#This Row],[Column128]]="--",0,Table645[[#This Row],[Column4]]*Table645[[#This Row],[Column128]])</f>
        <v>0</v>
      </c>
    </row>
    <row r="240" spans="1:139" x14ac:dyDescent="0.25">
      <c r="A240" s="140"/>
      <c r="B240" s="79"/>
      <c r="C240" s="140"/>
      <c r="D240" s="167"/>
      <c r="E240" s="52"/>
      <c r="F240" s="81"/>
      <c r="G240" s="81"/>
      <c r="H240" s="102" t="str">
        <f t="shared" si="160"/>
        <v>--</v>
      </c>
      <c r="I240" s="100">
        <f>IF(Table645[[#This Row],[Column8]]="--",0,Table645[[#This Row],[Column4]]*Table645[[#This Row],[Column8]])</f>
        <v>0</v>
      </c>
      <c r="J240" s="169"/>
      <c r="K240" s="85">
        <f>Table645[[#This Row],[Column4]]*Table645[[#This Row],[Column10]]</f>
        <v>0</v>
      </c>
      <c r="L240" s="170" t="str">
        <f t="shared" si="161"/>
        <v>--</v>
      </c>
      <c r="M240" s="214">
        <f>IF(Table645[[#This Row],[Column10]]=0,0,Table645[[#This Row],[Column4]]*Table645[[#This Row],[Column12]])</f>
        <v>0</v>
      </c>
      <c r="N240" s="87" t="str">
        <f t="shared" si="162"/>
        <v>--</v>
      </c>
      <c r="O240" s="138"/>
      <c r="AZ240" s="89">
        <f>IF(Table645[[#This Row],[Column14]]="--",0,Table645[[#This Row],[Column4]]*Table645[[#This Row],[Column14]])</f>
        <v>0</v>
      </c>
      <c r="BA240" s="90"/>
      <c r="BB240" s="91" t="str">
        <f>IF(BA240=0,"--",BA240*$BA$3*IF(Table645[[#This Row],[Column5]]&lt;4.1,1,2)/60/24)</f>
        <v>--</v>
      </c>
      <c r="BC240" s="92">
        <f>IF(Table645[[#This Row],[Column54]]="--",0,Table645[[#This Row],[Column4]]*Table645[[#This Row],[Column54]])</f>
        <v>0</v>
      </c>
      <c r="BD240" s="119"/>
      <c r="BE240" s="119"/>
      <c r="BF240" s="119"/>
      <c r="BG240" s="91" t="str">
        <f>IF(BD240+Table645[[#This Row],[Column58]]=0,"--",(BD240*$BF$3*Table645[[#This Row],[Column57]]+Table645[[#This Row],[Column58]]*$BF$4)/60/24)</f>
        <v>--</v>
      </c>
      <c r="BH240" s="92">
        <f>IF(Table645[[#This Row],[Column59]]="--",0,Table645[[#This Row],[Column4]]*Table645[[#This Row],[Column59]])</f>
        <v>0</v>
      </c>
      <c r="BI240" s="119"/>
      <c r="BJ240" s="91" t="str">
        <f t="shared" si="148"/>
        <v>--</v>
      </c>
      <c r="BK240" s="92">
        <f>IF(Table645[[#This Row],[Column62]]="--",0,Table645[[#This Row],[Column4]]*Table645[[#This Row],[Column62]])</f>
        <v>0</v>
      </c>
      <c r="BL240" s="93"/>
      <c r="BM240" s="91" t="str">
        <f t="shared" si="163"/>
        <v>--</v>
      </c>
      <c r="BN240" s="89">
        <f>IF(Table645[[#This Row],[Column65]]="--",0,Table645[[#This Row],[Column4]]*Table645[[#This Row],[Column65]])</f>
        <v>0</v>
      </c>
      <c r="BO240" s="163"/>
      <c r="BP240" s="164" t="str">
        <f t="shared" si="164"/>
        <v>--</v>
      </c>
      <c r="BQ240" s="160">
        <f>IF(Table645[[#This Row],[Column68]]="--",0,Table645[[#This Row],[Column4]]*Table645[[#This Row],[Column68]])</f>
        <v>0</v>
      </c>
      <c r="BR240" s="94"/>
      <c r="BS240" s="91" t="str">
        <f t="shared" si="165"/>
        <v>--</v>
      </c>
      <c r="BT240" s="92">
        <f>IF(Table645[[#This Row],[Column71]]="--",0,Table645[[#This Row],[Column4]]*Table645[[#This Row],[Column71]])</f>
        <v>0</v>
      </c>
      <c r="BU240" s="44"/>
      <c r="BV240" s="90"/>
      <c r="BW240" s="91" t="str">
        <f>IF(BV240=0,"--",(Table645[[#This Row],[Column73]]*$BV$4*(IF(J240&lt;0.5001,1,IF(J240&lt;2.0001,2,3)))+BV240/$BV$3)/60/24)</f>
        <v>--</v>
      </c>
      <c r="BX240" s="92">
        <f>IF(Table645[[#This Row],[Column75]]="--",0,Table645[[#This Row],[Column4]]*Table645[[#This Row],[Column75]])</f>
        <v>0</v>
      </c>
      <c r="BY240" s="95" t="s">
        <v>70</v>
      </c>
      <c r="BZ240" s="91" t="str">
        <f>IF(Table645[[#This Row],[Column74]]=0,"--",BW240*$BY$3)</f>
        <v>--</v>
      </c>
      <c r="CA240" s="89">
        <f>IF(Table645[[#This Row],[Column78]]="--",0,Table645[[#This Row],[Column4]]*Table645[[#This Row],[Column78]])</f>
        <v>0</v>
      </c>
      <c r="CB240" s="95" t="s">
        <v>70</v>
      </c>
      <c r="CC240" s="91" t="str">
        <f>IF(Table645[[#This Row],[Column10]]+Table645[[#This Row],[Column74]]=0,"--",J240*$CB$4*$CB$5/(24*60)+IF(Table645[[#This Row],[Column74]]=0,0,$CB$3*Table645[[#This Row],[Column75]]))</f>
        <v>--</v>
      </c>
      <c r="CD240" s="92">
        <f>IF(Table645[[#This Row],[Column81]]="--",0,Table645[[#This Row],[Column4]]*Table645[[#This Row],[Column81]])</f>
        <v>0</v>
      </c>
      <c r="CE240" s="215"/>
      <c r="CF240" s="91" t="str">
        <f t="shared" si="149"/>
        <v>--</v>
      </c>
      <c r="CG240" s="92">
        <f>IF(Table645[[#This Row],[Column84]]="--",0,Table645[[#This Row],[Column4]]*Table645[[#This Row],[Column84]])</f>
        <v>0</v>
      </c>
      <c r="CH240" s="226"/>
      <c r="CI240" s="216"/>
      <c r="CJ240" s="91" t="str">
        <f>IF(CI240=0,"--",(Table645[[#This Row],[Column86]]*$CI$4*(IF(W240&lt;0.5001,1,IF(W240&lt;2.0001,2,3)))+CI240/$CI$3)/60/24)</f>
        <v>--</v>
      </c>
      <c r="CK240" s="92">
        <f>IF(Table645[[#This Row],[Column88]]="--",0,Table645[[#This Row],[Column4]]*Table645[[#This Row],[Column88]])</f>
        <v>0</v>
      </c>
      <c r="CL240" s="217"/>
      <c r="CM240" s="91" t="str">
        <f>IF(Table645[[#This Row],[Column87]]=0,"--",CJ240*$CL$3)</f>
        <v>--</v>
      </c>
      <c r="CN240" s="92">
        <f>IF(Table645[[#This Row],[Column91]]="--",0,Table645[[#This Row],[Column4]]*Table645[[#This Row],[Column91]])</f>
        <v>0</v>
      </c>
      <c r="CO240" s="217"/>
      <c r="CP240" s="91" t="str">
        <f>IF(Table645[[#This Row],[Column10]]+Table645[[#This Row],[Column87]]=0, "--", IF($D240="", 1, $D240) * IF($J240="", 1, $J240) * $CO$3 * $CO$4 * IF(Table645[[#This Row],[Column95]]="", 1, Table645[[#This Row],[Column95]]) / (24 * 60))</f>
        <v>--</v>
      </c>
      <c r="CQ240" s="164"/>
      <c r="CR240" s="92">
        <f>IF(Table645[[#This Row],[Column94]]="--",0,Table645[[#This Row],[Column4]]*Table645[[#This Row],[Column94]])</f>
        <v>0</v>
      </c>
      <c r="CS240" s="218" t="str">
        <f>IF(Table645[[#This Row],[Column87]]="","",Table645[[#This Row],[Column87]])</f>
        <v/>
      </c>
      <c r="CT240" s="91" t="str">
        <f>IF(Table645[[#This Row],[Column97]]="","--",Table645[[#This Row],[Column97]]/$CS$3/60/24)</f>
        <v>--</v>
      </c>
      <c r="CU240" s="92">
        <f>IF(Table645[[#This Row],[Column98]]="--",0,Table645[[#This Row],[Column4]]*Table645[[#This Row],[Column98]])</f>
        <v>0</v>
      </c>
      <c r="CV240" s="93"/>
      <c r="CW240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40" s="91" t="str">
        <f>IF(OR(Table645[[#This Row],[Column74]]&gt;0,Table645[[#This Row],[Column87]]&gt;0),(Table645[[#This Row],[Column73]]+Table645[[#This Row],[Column86]]+1)*$CW$3/60/24,"--")</f>
        <v>--</v>
      </c>
      <c r="CY240" s="92">
        <f>IF(Table645[[#This Row],[Column102]]="--",0,Table645[[#This Row],[Column4]]*Table645[[#This Row],[Column102]])</f>
        <v>0</v>
      </c>
      <c r="CZ240" s="158" t="str">
        <f t="shared" si="166"/>
        <v>--</v>
      </c>
      <c r="DA240" s="153"/>
      <c r="DB240" s="160">
        <f>IF(Table645[[#This Row],[Column104]]="--",0,Table645[[#This Row],[Column4]]*Table645[[#This Row],[Column104]])</f>
        <v>0</v>
      </c>
      <c r="DC240" s="219"/>
      <c r="DD240" s="220" t="str">
        <f>IF(DC240=0,"--",1/$DC$3*1000/(60*60*24)*Table645[[#This Row],[Column107]])</f>
        <v>--</v>
      </c>
      <c r="DE240" s="160">
        <f>IF(Table645[[#This Row],[Column108]]="--",0,Table645[[#This Row],[Column4]]*Table645[[#This Row],[Column108]])</f>
        <v>0</v>
      </c>
      <c r="DF240" s="101" t="s">
        <v>70</v>
      </c>
      <c r="DG240" s="91" t="str">
        <f t="shared" si="167"/>
        <v>--</v>
      </c>
      <c r="DH240" s="89">
        <f>IF(Table645[[#This Row],[Column111]]="--",0,Table645[[#This Row],[Column4]]*Table645[[#This Row],[Column111]])</f>
        <v>0</v>
      </c>
      <c r="DI240" s="96"/>
      <c r="DJ240" s="96"/>
      <c r="DK240" s="96"/>
      <c r="DL240" s="96"/>
      <c r="DM240" s="96"/>
      <c r="DN240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40" s="89">
        <f>IF(Table645[[#This Row],[Column118]]="--",0,Table645[[#This Row],[Column4]]*Table645[[#This Row],[Column118]])</f>
        <v>0</v>
      </c>
      <c r="DP240" s="96"/>
      <c r="DQ240" s="96"/>
      <c r="DR240" s="91" t="str">
        <f t="shared" si="168"/>
        <v>--</v>
      </c>
      <c r="DS240" s="89">
        <f>IF(Table645[[#This Row],[Column122]]="--",0,Table645[[#This Row],[Column4]]*Table645[[#This Row],[Column122]])</f>
        <v>0</v>
      </c>
      <c r="DT240" t="str">
        <f>IF(Table645[[#This Row],[Column125]]=0,"--",Table645[[#This Row],[Column125]]*Table645[[#This Row],[Column126]]*Table645[[#This Row],[Column127]]/1000000000)</f>
        <v>--</v>
      </c>
      <c r="DU240" s="53"/>
      <c r="DV240" s="53"/>
      <c r="DW240" s="53"/>
      <c r="DX240" s="91" t="str">
        <f t="shared" si="169"/>
        <v>--</v>
      </c>
      <c r="DY240" s="89">
        <f>IF(Table645[[#This Row],[Column128]]="--",0,Table645[[#This Row],[Column4]]*Table645[[#This Row],[Column128]])</f>
        <v>0</v>
      </c>
      <c r="EA240" s="89">
        <f>IF(Table645[[#This Row],[Column128]]="--",0,Table645[[#This Row],[Column4]]*Table645[[#This Row],[Column128]])</f>
        <v>0</v>
      </c>
      <c r="EC240" s="89">
        <f>IF(Table645[[#This Row],[Column128]]="--",0,Table645[[#This Row],[Column4]]*Table645[[#This Row],[Column128]])</f>
        <v>0</v>
      </c>
      <c r="EE240" s="89">
        <f>IF(Table645[[#This Row],[Column128]]="--",0,Table645[[#This Row],[Column4]]*Table645[[#This Row],[Column128]])</f>
        <v>0</v>
      </c>
      <c r="EG240" s="89">
        <f>IF(Table645[[#This Row],[Column128]]="--",0,Table645[[#This Row],[Column4]]*Table645[[#This Row],[Column128]])</f>
        <v>0</v>
      </c>
      <c r="EI240" s="89">
        <f>IF(Table645[[#This Row],[Column128]]="--",0,Table645[[#This Row],[Column4]]*Table645[[#This Row],[Column128]])</f>
        <v>0</v>
      </c>
    </row>
    <row r="241" spans="1:139" x14ac:dyDescent="0.25">
      <c r="A241" s="140"/>
      <c r="B241" s="79"/>
      <c r="C241" s="140"/>
      <c r="D241" s="167"/>
      <c r="E241" s="52"/>
      <c r="F241" s="81"/>
      <c r="G241" s="81"/>
      <c r="H241" s="102" t="str">
        <f t="shared" si="160"/>
        <v>--</v>
      </c>
      <c r="I241" s="100">
        <f>IF(Table645[[#This Row],[Column8]]="--",0,Table645[[#This Row],[Column4]]*Table645[[#This Row],[Column8]])</f>
        <v>0</v>
      </c>
      <c r="J241" s="169"/>
      <c r="K241" s="85">
        <f>Table645[[#This Row],[Column4]]*Table645[[#This Row],[Column10]]</f>
        <v>0</v>
      </c>
      <c r="L241" s="170" t="str">
        <f t="shared" si="161"/>
        <v>--</v>
      </c>
      <c r="M241" s="214">
        <f>IF(Table645[[#This Row],[Column10]]=0,0,Table645[[#This Row],[Column4]]*Table645[[#This Row],[Column12]])</f>
        <v>0</v>
      </c>
      <c r="N241" s="87" t="str">
        <f t="shared" si="162"/>
        <v>--</v>
      </c>
      <c r="O241" s="138"/>
      <c r="AZ241" s="89">
        <f>IF(Table645[[#This Row],[Column14]]="--",0,Table645[[#This Row],[Column4]]*Table645[[#This Row],[Column14]])</f>
        <v>0</v>
      </c>
      <c r="BA241" s="90"/>
      <c r="BB241" s="91" t="str">
        <f>IF(BA241=0,"--",BA241*$BA$3*IF(Table645[[#This Row],[Column5]]&lt;4.1,1,2)/60/24)</f>
        <v>--</v>
      </c>
      <c r="BC241" s="92">
        <f>IF(Table645[[#This Row],[Column54]]="--",0,Table645[[#This Row],[Column4]]*Table645[[#This Row],[Column54]])</f>
        <v>0</v>
      </c>
      <c r="BD241" s="119"/>
      <c r="BE241" s="119"/>
      <c r="BF241" s="119"/>
      <c r="BG241" s="91" t="str">
        <f>IF(BD241+Table645[[#This Row],[Column58]]=0,"--",(BD241*$BF$3*Table645[[#This Row],[Column57]]+Table645[[#This Row],[Column58]]*$BF$4)/60/24)</f>
        <v>--</v>
      </c>
      <c r="BH241" s="92">
        <f>IF(Table645[[#This Row],[Column59]]="--",0,Table645[[#This Row],[Column4]]*Table645[[#This Row],[Column59]])</f>
        <v>0</v>
      </c>
      <c r="BI241" s="119"/>
      <c r="BJ241" s="91" t="str">
        <f t="shared" si="148"/>
        <v>--</v>
      </c>
      <c r="BK241" s="92">
        <f>IF(Table645[[#This Row],[Column62]]="--",0,Table645[[#This Row],[Column4]]*Table645[[#This Row],[Column62]])</f>
        <v>0</v>
      </c>
      <c r="BL241" s="93"/>
      <c r="BM241" s="91" t="str">
        <f t="shared" si="163"/>
        <v>--</v>
      </c>
      <c r="BN241" s="89">
        <f>IF(Table645[[#This Row],[Column65]]="--",0,Table645[[#This Row],[Column4]]*Table645[[#This Row],[Column65]])</f>
        <v>0</v>
      </c>
      <c r="BO241" s="163"/>
      <c r="BP241" s="164" t="str">
        <f t="shared" si="164"/>
        <v>--</v>
      </c>
      <c r="BQ241" s="160">
        <f>IF(Table645[[#This Row],[Column68]]="--",0,Table645[[#This Row],[Column4]]*Table645[[#This Row],[Column68]])</f>
        <v>0</v>
      </c>
      <c r="BR241" s="94"/>
      <c r="BS241" s="91" t="str">
        <f t="shared" si="165"/>
        <v>--</v>
      </c>
      <c r="BT241" s="92">
        <f>IF(Table645[[#This Row],[Column71]]="--",0,Table645[[#This Row],[Column4]]*Table645[[#This Row],[Column71]])</f>
        <v>0</v>
      </c>
      <c r="BU241" s="44"/>
      <c r="BV241" s="90"/>
      <c r="BW241" s="91" t="str">
        <f>IF(BV241=0,"--",(Table645[[#This Row],[Column73]]*$BV$4*(IF(J241&lt;0.5001,1,IF(J241&lt;2.0001,2,3)))+BV241/$BV$3)/60/24)</f>
        <v>--</v>
      </c>
      <c r="BX241" s="92">
        <f>IF(Table645[[#This Row],[Column75]]="--",0,Table645[[#This Row],[Column4]]*Table645[[#This Row],[Column75]])</f>
        <v>0</v>
      </c>
      <c r="BY241" s="95" t="s">
        <v>70</v>
      </c>
      <c r="BZ241" s="91" t="str">
        <f>IF(Table645[[#This Row],[Column74]]=0,"--",BW241*$BY$3)</f>
        <v>--</v>
      </c>
      <c r="CA241" s="89">
        <f>IF(Table645[[#This Row],[Column78]]="--",0,Table645[[#This Row],[Column4]]*Table645[[#This Row],[Column78]])</f>
        <v>0</v>
      </c>
      <c r="CB241" s="95" t="s">
        <v>70</v>
      </c>
      <c r="CC241" s="91" t="str">
        <f>IF(Table645[[#This Row],[Column10]]+Table645[[#This Row],[Column74]]=0,"--",J241*$CB$4*$CB$5/(24*60)+IF(Table645[[#This Row],[Column74]]=0,0,$CB$3*Table645[[#This Row],[Column75]]))</f>
        <v>--</v>
      </c>
      <c r="CD241" s="92">
        <f>IF(Table645[[#This Row],[Column81]]="--",0,Table645[[#This Row],[Column4]]*Table645[[#This Row],[Column81]])</f>
        <v>0</v>
      </c>
      <c r="CE241" s="215"/>
      <c r="CF241" s="91" t="str">
        <f t="shared" si="149"/>
        <v>--</v>
      </c>
      <c r="CG241" s="92">
        <f>IF(Table645[[#This Row],[Column84]]="--",0,Table645[[#This Row],[Column4]]*Table645[[#This Row],[Column84]])</f>
        <v>0</v>
      </c>
      <c r="CH241" s="226"/>
      <c r="CI241" s="216"/>
      <c r="CJ241" s="91" t="str">
        <f>IF(CI241=0,"--",(Table645[[#This Row],[Column86]]*$CI$4*(IF(W241&lt;0.5001,1,IF(W241&lt;2.0001,2,3)))+CI241/$CI$3)/60/24)</f>
        <v>--</v>
      </c>
      <c r="CK241" s="92">
        <f>IF(Table645[[#This Row],[Column88]]="--",0,Table645[[#This Row],[Column4]]*Table645[[#This Row],[Column88]])</f>
        <v>0</v>
      </c>
      <c r="CL241" s="217"/>
      <c r="CM241" s="91" t="str">
        <f>IF(Table645[[#This Row],[Column87]]=0,"--",CJ241*$CL$3)</f>
        <v>--</v>
      </c>
      <c r="CN241" s="92">
        <f>IF(Table645[[#This Row],[Column91]]="--",0,Table645[[#This Row],[Column4]]*Table645[[#This Row],[Column91]])</f>
        <v>0</v>
      </c>
      <c r="CO241" s="217"/>
      <c r="CP241" s="91" t="str">
        <f>IF(Table645[[#This Row],[Column10]]+Table645[[#This Row],[Column87]]=0, "--", IF($D241="", 1, $D241) * IF($J241="", 1, $J241) * $CO$3 * $CO$4 * IF(Table645[[#This Row],[Column95]]="", 1, Table645[[#This Row],[Column95]]) / (24 * 60))</f>
        <v>--</v>
      </c>
      <c r="CQ241" s="164"/>
      <c r="CR241" s="92">
        <f>IF(Table645[[#This Row],[Column94]]="--",0,Table645[[#This Row],[Column4]]*Table645[[#This Row],[Column94]])</f>
        <v>0</v>
      </c>
      <c r="CS241" s="218" t="str">
        <f>IF(Table645[[#This Row],[Column87]]="","",Table645[[#This Row],[Column87]])</f>
        <v/>
      </c>
      <c r="CT241" s="91" t="str">
        <f>IF(Table645[[#This Row],[Column97]]="","--",Table645[[#This Row],[Column97]]/$CS$3/60/24)</f>
        <v>--</v>
      </c>
      <c r="CU241" s="92">
        <f>IF(Table645[[#This Row],[Column98]]="--",0,Table645[[#This Row],[Column4]]*Table645[[#This Row],[Column98]])</f>
        <v>0</v>
      </c>
      <c r="CV241" s="93"/>
      <c r="CW241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41" s="91" t="str">
        <f>IF(OR(Table645[[#This Row],[Column74]]&gt;0,Table645[[#This Row],[Column87]]&gt;0),(Table645[[#This Row],[Column73]]+Table645[[#This Row],[Column86]]+1)*$CW$3/60/24,"--")</f>
        <v>--</v>
      </c>
      <c r="CY241" s="92">
        <f>IF(Table645[[#This Row],[Column102]]="--",0,Table645[[#This Row],[Column4]]*Table645[[#This Row],[Column102]])</f>
        <v>0</v>
      </c>
      <c r="CZ241" s="158" t="str">
        <f t="shared" si="166"/>
        <v>--</v>
      </c>
      <c r="DA241" s="153"/>
      <c r="DB241" s="160">
        <f>IF(Table645[[#This Row],[Column104]]="--",0,Table645[[#This Row],[Column4]]*Table645[[#This Row],[Column104]])</f>
        <v>0</v>
      </c>
      <c r="DC241" s="219"/>
      <c r="DD241" s="220" t="str">
        <f>IF(DC241=0,"--",1/$DC$3*1000/(60*60*24)*Table645[[#This Row],[Column107]])</f>
        <v>--</v>
      </c>
      <c r="DE241" s="160">
        <f>IF(Table645[[#This Row],[Column108]]="--",0,Table645[[#This Row],[Column4]]*Table645[[#This Row],[Column108]])</f>
        <v>0</v>
      </c>
      <c r="DF241" s="101" t="s">
        <v>70</v>
      </c>
      <c r="DG241" s="91" t="str">
        <f t="shared" si="167"/>
        <v>--</v>
      </c>
      <c r="DH241" s="89">
        <f>IF(Table645[[#This Row],[Column111]]="--",0,Table645[[#This Row],[Column4]]*Table645[[#This Row],[Column111]])</f>
        <v>0</v>
      </c>
      <c r="DI241" s="96"/>
      <c r="DJ241" s="96"/>
      <c r="DK241" s="96"/>
      <c r="DL241" s="96"/>
      <c r="DM241" s="96"/>
      <c r="DN241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41" s="89">
        <f>IF(Table645[[#This Row],[Column118]]="--",0,Table645[[#This Row],[Column4]]*Table645[[#This Row],[Column118]])</f>
        <v>0</v>
      </c>
      <c r="DP241" s="96"/>
      <c r="DQ241" s="96"/>
      <c r="DR241" s="91" t="str">
        <f t="shared" si="168"/>
        <v>--</v>
      </c>
      <c r="DS241" s="89">
        <f>IF(Table645[[#This Row],[Column122]]="--",0,Table645[[#This Row],[Column4]]*Table645[[#This Row],[Column122]])</f>
        <v>0</v>
      </c>
      <c r="DT241" t="str">
        <f>IF(Table645[[#This Row],[Column125]]=0,"--",Table645[[#This Row],[Column125]]*Table645[[#This Row],[Column126]]*Table645[[#This Row],[Column127]]/1000000000)</f>
        <v>--</v>
      </c>
      <c r="DU241" s="53"/>
      <c r="DV241" s="53"/>
      <c r="DW241" s="53"/>
      <c r="DX241" s="91" t="str">
        <f t="shared" si="169"/>
        <v>--</v>
      </c>
      <c r="DY241" s="89">
        <f>IF(Table645[[#This Row],[Column128]]="--",0,Table645[[#This Row],[Column4]]*Table645[[#This Row],[Column128]])</f>
        <v>0</v>
      </c>
      <c r="EA241" s="89">
        <f>IF(Table645[[#This Row],[Column128]]="--",0,Table645[[#This Row],[Column4]]*Table645[[#This Row],[Column128]])</f>
        <v>0</v>
      </c>
      <c r="EC241" s="89">
        <f>IF(Table645[[#This Row],[Column128]]="--",0,Table645[[#This Row],[Column4]]*Table645[[#This Row],[Column128]])</f>
        <v>0</v>
      </c>
      <c r="EE241" s="89">
        <f>IF(Table645[[#This Row],[Column128]]="--",0,Table645[[#This Row],[Column4]]*Table645[[#This Row],[Column128]])</f>
        <v>0</v>
      </c>
      <c r="EG241" s="89">
        <f>IF(Table645[[#This Row],[Column128]]="--",0,Table645[[#This Row],[Column4]]*Table645[[#This Row],[Column128]])</f>
        <v>0</v>
      </c>
      <c r="EI241" s="89">
        <f>IF(Table645[[#This Row],[Column128]]="--",0,Table645[[#This Row],[Column4]]*Table645[[#This Row],[Column128]])</f>
        <v>0</v>
      </c>
    </row>
    <row r="242" spans="1:139" x14ac:dyDescent="0.25">
      <c r="A242" s="140"/>
      <c r="B242" s="79"/>
      <c r="C242" s="140"/>
      <c r="D242" s="167"/>
      <c r="E242" s="52"/>
      <c r="F242" s="81"/>
      <c r="G242" s="81"/>
      <c r="H242" s="102" t="str">
        <f t="shared" si="160"/>
        <v>--</v>
      </c>
      <c r="I242" s="100">
        <f>IF(Table645[[#This Row],[Column8]]="--",0,Table645[[#This Row],[Column4]]*Table645[[#This Row],[Column8]])</f>
        <v>0</v>
      </c>
      <c r="J242" s="169"/>
      <c r="K242" s="85">
        <f>Table645[[#This Row],[Column4]]*Table645[[#This Row],[Column10]]</f>
        <v>0</v>
      </c>
      <c r="L242" s="170" t="str">
        <f t="shared" si="161"/>
        <v>--</v>
      </c>
      <c r="M242" s="214">
        <f>IF(Table645[[#This Row],[Column10]]=0,0,Table645[[#This Row],[Column4]]*Table645[[#This Row],[Column12]])</f>
        <v>0</v>
      </c>
      <c r="N242" s="87" t="str">
        <f t="shared" si="162"/>
        <v>--</v>
      </c>
      <c r="O242" s="138"/>
      <c r="AZ242" s="89">
        <f>IF(Table645[[#This Row],[Column14]]="--",0,Table645[[#This Row],[Column4]]*Table645[[#This Row],[Column14]])</f>
        <v>0</v>
      </c>
      <c r="BA242" s="90"/>
      <c r="BB242" s="91" t="str">
        <f>IF(BA242=0,"--",BA242*$BA$3*IF(Table645[[#This Row],[Column5]]&lt;4.1,1,2)/60/24)</f>
        <v>--</v>
      </c>
      <c r="BC242" s="92">
        <f>IF(Table645[[#This Row],[Column54]]="--",0,Table645[[#This Row],[Column4]]*Table645[[#This Row],[Column54]])</f>
        <v>0</v>
      </c>
      <c r="BD242" s="119"/>
      <c r="BE242" s="119"/>
      <c r="BF242" s="119"/>
      <c r="BG242" s="91" t="str">
        <f>IF(BD242+Table645[[#This Row],[Column58]]=0,"--",(BD242*$BF$3*Table645[[#This Row],[Column57]]+Table645[[#This Row],[Column58]]*$BF$4)/60/24)</f>
        <v>--</v>
      </c>
      <c r="BH242" s="92">
        <f>IF(Table645[[#This Row],[Column59]]="--",0,Table645[[#This Row],[Column4]]*Table645[[#This Row],[Column59]])</f>
        <v>0</v>
      </c>
      <c r="BI242" s="119"/>
      <c r="BJ242" s="91" t="str">
        <f t="shared" si="148"/>
        <v>--</v>
      </c>
      <c r="BK242" s="92">
        <f>IF(Table645[[#This Row],[Column62]]="--",0,Table645[[#This Row],[Column4]]*Table645[[#This Row],[Column62]])</f>
        <v>0</v>
      </c>
      <c r="BL242" s="93"/>
      <c r="BM242" s="91" t="str">
        <f t="shared" si="163"/>
        <v>--</v>
      </c>
      <c r="BN242" s="89">
        <f>IF(Table645[[#This Row],[Column65]]="--",0,Table645[[#This Row],[Column4]]*Table645[[#This Row],[Column65]])</f>
        <v>0</v>
      </c>
      <c r="BO242" s="163"/>
      <c r="BP242" s="164" t="str">
        <f t="shared" si="164"/>
        <v>--</v>
      </c>
      <c r="BQ242" s="160">
        <f>IF(Table645[[#This Row],[Column68]]="--",0,Table645[[#This Row],[Column4]]*Table645[[#This Row],[Column68]])</f>
        <v>0</v>
      </c>
      <c r="BR242" s="94"/>
      <c r="BS242" s="91" t="str">
        <f t="shared" si="165"/>
        <v>--</v>
      </c>
      <c r="BT242" s="92">
        <f>IF(Table645[[#This Row],[Column71]]="--",0,Table645[[#This Row],[Column4]]*Table645[[#This Row],[Column71]])</f>
        <v>0</v>
      </c>
      <c r="BU242" s="44"/>
      <c r="BV242" s="90"/>
      <c r="BW242" s="91" t="str">
        <f>IF(BV242=0,"--",(Table645[[#This Row],[Column73]]*$BV$4*(IF(J242&lt;0.5001,1,IF(J242&lt;2.0001,2,3)))+BV242/$BV$3)/60/24)</f>
        <v>--</v>
      </c>
      <c r="BX242" s="92">
        <f>IF(Table645[[#This Row],[Column75]]="--",0,Table645[[#This Row],[Column4]]*Table645[[#This Row],[Column75]])</f>
        <v>0</v>
      </c>
      <c r="BY242" s="95" t="s">
        <v>70</v>
      </c>
      <c r="BZ242" s="91" t="str">
        <f>IF(Table645[[#This Row],[Column74]]=0,"--",BW242*$BY$3)</f>
        <v>--</v>
      </c>
      <c r="CA242" s="89">
        <f>IF(Table645[[#This Row],[Column78]]="--",0,Table645[[#This Row],[Column4]]*Table645[[#This Row],[Column78]])</f>
        <v>0</v>
      </c>
      <c r="CB242" s="95" t="s">
        <v>70</v>
      </c>
      <c r="CC242" s="91" t="str">
        <f>IF(Table645[[#This Row],[Column10]]+Table645[[#This Row],[Column74]]=0,"--",J242*$CB$4*$CB$5/(24*60)+IF(Table645[[#This Row],[Column74]]=0,0,$CB$3*Table645[[#This Row],[Column75]]))</f>
        <v>--</v>
      </c>
      <c r="CD242" s="92">
        <f>IF(Table645[[#This Row],[Column81]]="--",0,Table645[[#This Row],[Column4]]*Table645[[#This Row],[Column81]])</f>
        <v>0</v>
      </c>
      <c r="CE242" s="215"/>
      <c r="CF242" s="91" t="str">
        <f t="shared" si="149"/>
        <v>--</v>
      </c>
      <c r="CG242" s="92">
        <f>IF(Table645[[#This Row],[Column84]]="--",0,Table645[[#This Row],[Column4]]*Table645[[#This Row],[Column84]])</f>
        <v>0</v>
      </c>
      <c r="CH242" s="226"/>
      <c r="CI242" s="216"/>
      <c r="CJ242" s="91" t="str">
        <f>IF(CI242=0,"--",(Table645[[#This Row],[Column86]]*$CI$4*(IF(W242&lt;0.5001,1,IF(W242&lt;2.0001,2,3)))+CI242/$CI$3)/60/24)</f>
        <v>--</v>
      </c>
      <c r="CK242" s="92">
        <f>IF(Table645[[#This Row],[Column88]]="--",0,Table645[[#This Row],[Column4]]*Table645[[#This Row],[Column88]])</f>
        <v>0</v>
      </c>
      <c r="CL242" s="217"/>
      <c r="CM242" s="91" t="str">
        <f>IF(Table645[[#This Row],[Column87]]=0,"--",CJ242*$CL$3)</f>
        <v>--</v>
      </c>
      <c r="CN242" s="92">
        <f>IF(Table645[[#This Row],[Column91]]="--",0,Table645[[#This Row],[Column4]]*Table645[[#This Row],[Column91]])</f>
        <v>0</v>
      </c>
      <c r="CO242" s="217"/>
      <c r="CP242" s="91" t="str">
        <f>IF(Table645[[#This Row],[Column10]]+Table645[[#This Row],[Column87]]=0, "--", IF($D242="", 1, $D242) * IF($J242="", 1, $J242) * $CO$3 * $CO$4 * IF(Table645[[#This Row],[Column95]]="", 1, Table645[[#This Row],[Column95]]) / (24 * 60))</f>
        <v>--</v>
      </c>
      <c r="CQ242" s="164"/>
      <c r="CR242" s="92">
        <f>IF(Table645[[#This Row],[Column94]]="--",0,Table645[[#This Row],[Column4]]*Table645[[#This Row],[Column94]])</f>
        <v>0</v>
      </c>
      <c r="CS242" s="218" t="str">
        <f>IF(Table645[[#This Row],[Column87]]="","",Table645[[#This Row],[Column87]])</f>
        <v/>
      </c>
      <c r="CT242" s="91" t="str">
        <f>IF(Table645[[#This Row],[Column97]]="","--",Table645[[#This Row],[Column97]]/$CS$3/60/24)</f>
        <v>--</v>
      </c>
      <c r="CU242" s="92">
        <f>IF(Table645[[#This Row],[Column98]]="--",0,Table645[[#This Row],[Column4]]*Table645[[#This Row],[Column98]])</f>
        <v>0</v>
      </c>
      <c r="CV242" s="93"/>
      <c r="CW242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42" s="91" t="str">
        <f>IF(OR(Table645[[#This Row],[Column74]]&gt;0,Table645[[#This Row],[Column87]]&gt;0),(Table645[[#This Row],[Column73]]+Table645[[#This Row],[Column86]]+1)*$CW$3/60/24,"--")</f>
        <v>--</v>
      </c>
      <c r="CY242" s="92">
        <f>IF(Table645[[#This Row],[Column102]]="--",0,Table645[[#This Row],[Column4]]*Table645[[#This Row],[Column102]])</f>
        <v>0</v>
      </c>
      <c r="CZ242" s="158" t="str">
        <f t="shared" si="166"/>
        <v>--</v>
      </c>
      <c r="DA242" s="153"/>
      <c r="DB242" s="160">
        <f>IF(Table645[[#This Row],[Column104]]="--",0,Table645[[#This Row],[Column4]]*Table645[[#This Row],[Column104]])</f>
        <v>0</v>
      </c>
      <c r="DC242" s="219"/>
      <c r="DD242" s="220" t="str">
        <f>IF(DC242=0,"--",1/$DC$3*1000/(60*60*24)*Table645[[#This Row],[Column107]])</f>
        <v>--</v>
      </c>
      <c r="DE242" s="160">
        <f>IF(Table645[[#This Row],[Column108]]="--",0,Table645[[#This Row],[Column4]]*Table645[[#This Row],[Column108]])</f>
        <v>0</v>
      </c>
      <c r="DF242" s="101" t="s">
        <v>70</v>
      </c>
      <c r="DG242" s="91" t="str">
        <f t="shared" si="167"/>
        <v>--</v>
      </c>
      <c r="DH242" s="89">
        <f>IF(Table645[[#This Row],[Column111]]="--",0,Table645[[#This Row],[Column4]]*Table645[[#This Row],[Column111]])</f>
        <v>0</v>
      </c>
      <c r="DI242" s="96"/>
      <c r="DJ242" s="96"/>
      <c r="DK242" s="96"/>
      <c r="DL242" s="96"/>
      <c r="DM242" s="96"/>
      <c r="DN242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42" s="89">
        <f>IF(Table645[[#This Row],[Column118]]="--",0,Table645[[#This Row],[Column4]]*Table645[[#This Row],[Column118]])</f>
        <v>0</v>
      </c>
      <c r="DP242" s="96"/>
      <c r="DQ242" s="96"/>
      <c r="DR242" s="91" t="str">
        <f t="shared" si="168"/>
        <v>--</v>
      </c>
      <c r="DS242" s="89">
        <f>IF(Table645[[#This Row],[Column122]]="--",0,Table645[[#This Row],[Column4]]*Table645[[#This Row],[Column122]])</f>
        <v>0</v>
      </c>
      <c r="DT242" t="str">
        <f>IF(Table645[[#This Row],[Column125]]=0,"--",Table645[[#This Row],[Column125]]*Table645[[#This Row],[Column126]]*Table645[[#This Row],[Column127]]/1000000000)</f>
        <v>--</v>
      </c>
      <c r="DU242" s="53"/>
      <c r="DV242" s="53"/>
      <c r="DW242" s="53"/>
      <c r="DX242" s="91" t="str">
        <f t="shared" si="169"/>
        <v>--</v>
      </c>
      <c r="DY242" s="89">
        <f>IF(Table645[[#This Row],[Column128]]="--",0,Table645[[#This Row],[Column4]]*Table645[[#This Row],[Column128]])</f>
        <v>0</v>
      </c>
      <c r="EA242" s="89">
        <f>IF(Table645[[#This Row],[Column128]]="--",0,Table645[[#This Row],[Column4]]*Table645[[#This Row],[Column128]])</f>
        <v>0</v>
      </c>
      <c r="EC242" s="89">
        <f>IF(Table645[[#This Row],[Column128]]="--",0,Table645[[#This Row],[Column4]]*Table645[[#This Row],[Column128]])</f>
        <v>0</v>
      </c>
      <c r="EE242" s="89">
        <f>IF(Table645[[#This Row],[Column128]]="--",0,Table645[[#This Row],[Column4]]*Table645[[#This Row],[Column128]])</f>
        <v>0</v>
      </c>
      <c r="EG242" s="89">
        <f>IF(Table645[[#This Row],[Column128]]="--",0,Table645[[#This Row],[Column4]]*Table645[[#This Row],[Column128]])</f>
        <v>0</v>
      </c>
      <c r="EI242" s="89">
        <f>IF(Table645[[#This Row],[Column128]]="--",0,Table645[[#This Row],[Column4]]*Table645[[#This Row],[Column128]])</f>
        <v>0</v>
      </c>
    </row>
    <row r="243" spans="1:139" x14ac:dyDescent="0.25">
      <c r="A243" s="140"/>
      <c r="B243" s="79"/>
      <c r="C243" s="140"/>
      <c r="D243" s="167"/>
      <c r="E243" s="52"/>
      <c r="F243" s="81"/>
      <c r="G243" s="81"/>
      <c r="H243" s="102" t="str">
        <f t="shared" si="160"/>
        <v>--</v>
      </c>
      <c r="I243" s="100">
        <f>IF(Table645[[#This Row],[Column8]]="--",0,Table645[[#This Row],[Column4]]*Table645[[#This Row],[Column8]])</f>
        <v>0</v>
      </c>
      <c r="J243" s="169"/>
      <c r="K243" s="85">
        <f>Table645[[#This Row],[Column4]]*Table645[[#This Row],[Column10]]</f>
        <v>0</v>
      </c>
      <c r="L243" s="170" t="str">
        <f t="shared" si="161"/>
        <v>--</v>
      </c>
      <c r="M243" s="214">
        <f>IF(Table645[[#This Row],[Column10]]=0,0,Table645[[#This Row],[Column4]]*Table645[[#This Row],[Column12]])</f>
        <v>0</v>
      </c>
      <c r="N243" s="87" t="str">
        <f t="shared" si="162"/>
        <v>--</v>
      </c>
      <c r="O243" s="138"/>
      <c r="AZ243" s="89">
        <f>IF(Table645[[#This Row],[Column14]]="--",0,Table645[[#This Row],[Column4]]*Table645[[#This Row],[Column14]])</f>
        <v>0</v>
      </c>
      <c r="BA243" s="90"/>
      <c r="BB243" s="91" t="str">
        <f>IF(BA243=0,"--",BA243*$BA$3*IF(Table645[[#This Row],[Column5]]&lt;4.1,1,2)/60/24)</f>
        <v>--</v>
      </c>
      <c r="BC243" s="92">
        <f>IF(Table645[[#This Row],[Column54]]="--",0,Table645[[#This Row],[Column4]]*Table645[[#This Row],[Column54]])</f>
        <v>0</v>
      </c>
      <c r="BD243" s="119"/>
      <c r="BE243" s="119"/>
      <c r="BF243" s="119"/>
      <c r="BG243" s="91" t="str">
        <f>IF(BD243+Table645[[#This Row],[Column58]]=0,"--",(BD243*$BF$3*Table645[[#This Row],[Column57]]+Table645[[#This Row],[Column58]]*$BF$4)/60/24)</f>
        <v>--</v>
      </c>
      <c r="BH243" s="92">
        <f>IF(Table645[[#This Row],[Column59]]="--",0,Table645[[#This Row],[Column4]]*Table645[[#This Row],[Column59]])</f>
        <v>0</v>
      </c>
      <c r="BI243" s="119"/>
      <c r="BJ243" s="91" t="str">
        <f t="shared" si="148"/>
        <v>--</v>
      </c>
      <c r="BK243" s="92">
        <f>IF(Table645[[#This Row],[Column62]]="--",0,Table645[[#This Row],[Column4]]*Table645[[#This Row],[Column62]])</f>
        <v>0</v>
      </c>
      <c r="BL243" s="93"/>
      <c r="BM243" s="91" t="str">
        <f t="shared" si="163"/>
        <v>--</v>
      </c>
      <c r="BN243" s="89">
        <f>IF(Table645[[#This Row],[Column65]]="--",0,Table645[[#This Row],[Column4]]*Table645[[#This Row],[Column65]])</f>
        <v>0</v>
      </c>
      <c r="BO243" s="163"/>
      <c r="BP243" s="164" t="str">
        <f t="shared" si="164"/>
        <v>--</v>
      </c>
      <c r="BQ243" s="160">
        <f>IF(Table645[[#This Row],[Column68]]="--",0,Table645[[#This Row],[Column4]]*Table645[[#This Row],[Column68]])</f>
        <v>0</v>
      </c>
      <c r="BR243" s="94"/>
      <c r="BS243" s="91" t="str">
        <f t="shared" si="165"/>
        <v>--</v>
      </c>
      <c r="BT243" s="92">
        <f>IF(Table645[[#This Row],[Column71]]="--",0,Table645[[#This Row],[Column4]]*Table645[[#This Row],[Column71]])</f>
        <v>0</v>
      </c>
      <c r="BU243" s="44"/>
      <c r="BV243" s="90"/>
      <c r="BW243" s="91" t="str">
        <f>IF(BV243=0,"--",(Table645[[#This Row],[Column73]]*$BV$4*(IF(J243&lt;0.5001,1,IF(J243&lt;2.0001,2,3)))+BV243/$BV$3)/60/24)</f>
        <v>--</v>
      </c>
      <c r="BX243" s="92">
        <f>IF(Table645[[#This Row],[Column75]]="--",0,Table645[[#This Row],[Column4]]*Table645[[#This Row],[Column75]])</f>
        <v>0</v>
      </c>
      <c r="BY243" s="95" t="s">
        <v>70</v>
      </c>
      <c r="BZ243" s="91" t="str">
        <f>IF(Table645[[#This Row],[Column74]]=0,"--",BW243*$BY$3)</f>
        <v>--</v>
      </c>
      <c r="CA243" s="89">
        <f>IF(Table645[[#This Row],[Column78]]="--",0,Table645[[#This Row],[Column4]]*Table645[[#This Row],[Column78]])</f>
        <v>0</v>
      </c>
      <c r="CB243" s="95" t="s">
        <v>70</v>
      </c>
      <c r="CC243" s="91" t="str">
        <f>IF(Table645[[#This Row],[Column10]]+Table645[[#This Row],[Column74]]=0,"--",J243*$CB$4*$CB$5/(24*60)+IF(Table645[[#This Row],[Column74]]=0,0,$CB$3*Table645[[#This Row],[Column75]]))</f>
        <v>--</v>
      </c>
      <c r="CD243" s="92">
        <f>IF(Table645[[#This Row],[Column81]]="--",0,Table645[[#This Row],[Column4]]*Table645[[#This Row],[Column81]])</f>
        <v>0</v>
      </c>
      <c r="CE243" s="215"/>
      <c r="CF243" s="91" t="str">
        <f t="shared" si="149"/>
        <v>--</v>
      </c>
      <c r="CG243" s="92">
        <f>IF(Table645[[#This Row],[Column84]]="--",0,Table645[[#This Row],[Column4]]*Table645[[#This Row],[Column84]])</f>
        <v>0</v>
      </c>
      <c r="CH243" s="226"/>
      <c r="CI243" s="216"/>
      <c r="CJ243" s="91" t="str">
        <f>IF(CI243=0,"--",(Table645[[#This Row],[Column86]]*$CI$4*(IF(W243&lt;0.5001,1,IF(W243&lt;2.0001,2,3)))+CI243/$CI$3)/60/24)</f>
        <v>--</v>
      </c>
      <c r="CK243" s="92">
        <f>IF(Table645[[#This Row],[Column88]]="--",0,Table645[[#This Row],[Column4]]*Table645[[#This Row],[Column88]])</f>
        <v>0</v>
      </c>
      <c r="CL243" s="217"/>
      <c r="CM243" s="91" t="str">
        <f>IF(Table645[[#This Row],[Column87]]=0,"--",CJ243*$CL$3)</f>
        <v>--</v>
      </c>
      <c r="CN243" s="92">
        <f>IF(Table645[[#This Row],[Column91]]="--",0,Table645[[#This Row],[Column4]]*Table645[[#This Row],[Column91]])</f>
        <v>0</v>
      </c>
      <c r="CO243" s="217"/>
      <c r="CP243" s="91" t="str">
        <f>IF(Table645[[#This Row],[Column10]]+Table645[[#This Row],[Column87]]=0, "--", IF($D243="", 1, $D243) * IF($J243="", 1, $J243) * $CO$3 * $CO$4 * IF(Table645[[#This Row],[Column95]]="", 1, Table645[[#This Row],[Column95]]) / (24 * 60))</f>
        <v>--</v>
      </c>
      <c r="CQ243" s="164"/>
      <c r="CR243" s="92">
        <f>IF(Table645[[#This Row],[Column94]]="--",0,Table645[[#This Row],[Column4]]*Table645[[#This Row],[Column94]])</f>
        <v>0</v>
      </c>
      <c r="CS243" s="218" t="str">
        <f>IF(Table645[[#This Row],[Column87]]="","",Table645[[#This Row],[Column87]])</f>
        <v/>
      </c>
      <c r="CT243" s="91" t="str">
        <f>IF(Table645[[#This Row],[Column97]]="","--",Table645[[#This Row],[Column97]]/$CS$3/60/24)</f>
        <v>--</v>
      </c>
      <c r="CU243" s="92">
        <f>IF(Table645[[#This Row],[Column98]]="--",0,Table645[[#This Row],[Column4]]*Table645[[#This Row],[Column98]])</f>
        <v>0</v>
      </c>
      <c r="CV243" s="93"/>
      <c r="CW243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43" s="91" t="str">
        <f>IF(OR(Table645[[#This Row],[Column74]]&gt;0,Table645[[#This Row],[Column87]]&gt;0),(Table645[[#This Row],[Column73]]+Table645[[#This Row],[Column86]]+1)*$CW$3/60/24,"--")</f>
        <v>--</v>
      </c>
      <c r="CY243" s="92">
        <f>IF(Table645[[#This Row],[Column102]]="--",0,Table645[[#This Row],[Column4]]*Table645[[#This Row],[Column102]])</f>
        <v>0</v>
      </c>
      <c r="CZ243" s="158" t="str">
        <f t="shared" si="166"/>
        <v>--</v>
      </c>
      <c r="DA243" s="153"/>
      <c r="DB243" s="160">
        <f>IF(Table645[[#This Row],[Column104]]="--",0,Table645[[#This Row],[Column4]]*Table645[[#This Row],[Column104]])</f>
        <v>0</v>
      </c>
      <c r="DC243" s="219"/>
      <c r="DD243" s="220" t="str">
        <f>IF(DC243=0,"--",1/$DC$3*1000/(60*60*24)*Table645[[#This Row],[Column107]])</f>
        <v>--</v>
      </c>
      <c r="DE243" s="160">
        <f>IF(Table645[[#This Row],[Column108]]="--",0,Table645[[#This Row],[Column4]]*Table645[[#This Row],[Column108]])</f>
        <v>0</v>
      </c>
      <c r="DF243" s="101" t="s">
        <v>70</v>
      </c>
      <c r="DG243" s="91" t="str">
        <f t="shared" si="167"/>
        <v>--</v>
      </c>
      <c r="DH243" s="89">
        <f>IF(Table645[[#This Row],[Column111]]="--",0,Table645[[#This Row],[Column4]]*Table645[[#This Row],[Column111]])</f>
        <v>0</v>
      </c>
      <c r="DI243" s="96"/>
      <c r="DJ243" s="96"/>
      <c r="DK243" s="96"/>
      <c r="DL243" s="96"/>
      <c r="DM243" s="96"/>
      <c r="DN243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43" s="89">
        <f>IF(Table645[[#This Row],[Column118]]="--",0,Table645[[#This Row],[Column4]]*Table645[[#This Row],[Column118]])</f>
        <v>0</v>
      </c>
      <c r="DP243" s="96"/>
      <c r="DQ243" s="96"/>
      <c r="DR243" s="91" t="str">
        <f t="shared" si="168"/>
        <v>--</v>
      </c>
      <c r="DS243" s="89">
        <f>IF(Table645[[#This Row],[Column122]]="--",0,Table645[[#This Row],[Column4]]*Table645[[#This Row],[Column122]])</f>
        <v>0</v>
      </c>
      <c r="DT243" t="str">
        <f>IF(Table645[[#This Row],[Column125]]=0,"--",Table645[[#This Row],[Column125]]*Table645[[#This Row],[Column126]]*Table645[[#This Row],[Column127]]/1000000000)</f>
        <v>--</v>
      </c>
      <c r="DU243" s="53"/>
      <c r="DV243" s="53"/>
      <c r="DW243" s="53"/>
      <c r="DX243" s="91" t="str">
        <f t="shared" si="169"/>
        <v>--</v>
      </c>
      <c r="DY243" s="89">
        <f>IF(Table645[[#This Row],[Column128]]="--",0,Table645[[#This Row],[Column4]]*Table645[[#This Row],[Column128]])</f>
        <v>0</v>
      </c>
      <c r="EA243" s="89">
        <f>IF(Table645[[#This Row],[Column128]]="--",0,Table645[[#This Row],[Column4]]*Table645[[#This Row],[Column128]])</f>
        <v>0</v>
      </c>
      <c r="EC243" s="89">
        <f>IF(Table645[[#This Row],[Column128]]="--",0,Table645[[#This Row],[Column4]]*Table645[[#This Row],[Column128]])</f>
        <v>0</v>
      </c>
      <c r="EE243" s="89">
        <f>IF(Table645[[#This Row],[Column128]]="--",0,Table645[[#This Row],[Column4]]*Table645[[#This Row],[Column128]])</f>
        <v>0</v>
      </c>
      <c r="EG243" s="89">
        <f>IF(Table645[[#This Row],[Column128]]="--",0,Table645[[#This Row],[Column4]]*Table645[[#This Row],[Column128]])</f>
        <v>0</v>
      </c>
      <c r="EI243" s="89">
        <f>IF(Table645[[#This Row],[Column128]]="--",0,Table645[[#This Row],[Column4]]*Table645[[#This Row],[Column128]])</f>
        <v>0</v>
      </c>
    </row>
    <row r="244" spans="1:139" x14ac:dyDescent="0.25">
      <c r="A244" s="140"/>
      <c r="B244" s="79"/>
      <c r="C244" s="140"/>
      <c r="D244" s="167"/>
      <c r="E244" s="52"/>
      <c r="F244" s="81"/>
      <c r="G244" s="81"/>
      <c r="H244" s="102" t="str">
        <f t="shared" si="160"/>
        <v>--</v>
      </c>
      <c r="I244" s="100">
        <f>IF(Table645[[#This Row],[Column8]]="--",0,Table645[[#This Row],[Column4]]*Table645[[#This Row],[Column8]])</f>
        <v>0</v>
      </c>
      <c r="J244" s="169"/>
      <c r="K244" s="85">
        <f>Table645[[#This Row],[Column4]]*Table645[[#This Row],[Column10]]</f>
        <v>0</v>
      </c>
      <c r="L244" s="170" t="str">
        <f t="shared" si="161"/>
        <v>--</v>
      </c>
      <c r="M244" s="214">
        <f>IF(Table645[[#This Row],[Column10]]=0,0,Table645[[#This Row],[Column4]]*Table645[[#This Row],[Column12]])</f>
        <v>0</v>
      </c>
      <c r="N244" s="87" t="str">
        <f t="shared" si="162"/>
        <v>--</v>
      </c>
      <c r="O244" s="138"/>
      <c r="AZ244" s="89">
        <f>IF(Table645[[#This Row],[Column14]]="--",0,Table645[[#This Row],[Column4]]*Table645[[#This Row],[Column14]])</f>
        <v>0</v>
      </c>
      <c r="BA244" s="90"/>
      <c r="BB244" s="91" t="str">
        <f>IF(BA244=0,"--",BA244*$BA$3*IF(Table645[[#This Row],[Column5]]&lt;4.1,1,2)/60/24)</f>
        <v>--</v>
      </c>
      <c r="BC244" s="92">
        <f>IF(Table645[[#This Row],[Column54]]="--",0,Table645[[#This Row],[Column4]]*Table645[[#This Row],[Column54]])</f>
        <v>0</v>
      </c>
      <c r="BD244" s="119"/>
      <c r="BE244" s="119"/>
      <c r="BF244" s="119"/>
      <c r="BG244" s="91" t="str">
        <f>IF(BD244+Table645[[#This Row],[Column58]]=0,"--",(BD244*$BF$3*Table645[[#This Row],[Column57]]+Table645[[#This Row],[Column58]]*$BF$4)/60/24)</f>
        <v>--</v>
      </c>
      <c r="BH244" s="92">
        <f>IF(Table645[[#This Row],[Column59]]="--",0,Table645[[#This Row],[Column4]]*Table645[[#This Row],[Column59]])</f>
        <v>0</v>
      </c>
      <c r="BI244" s="119"/>
      <c r="BJ244" s="91" t="str">
        <f t="shared" si="148"/>
        <v>--</v>
      </c>
      <c r="BK244" s="92">
        <f>IF(Table645[[#This Row],[Column62]]="--",0,Table645[[#This Row],[Column4]]*Table645[[#This Row],[Column62]])</f>
        <v>0</v>
      </c>
      <c r="BL244" s="93"/>
      <c r="BM244" s="91" t="str">
        <f t="shared" si="163"/>
        <v>--</v>
      </c>
      <c r="BN244" s="89">
        <f>IF(Table645[[#This Row],[Column65]]="--",0,Table645[[#This Row],[Column4]]*Table645[[#This Row],[Column65]])</f>
        <v>0</v>
      </c>
      <c r="BO244" s="163"/>
      <c r="BP244" s="164" t="str">
        <f t="shared" si="164"/>
        <v>--</v>
      </c>
      <c r="BQ244" s="160">
        <f>IF(Table645[[#This Row],[Column68]]="--",0,Table645[[#This Row],[Column4]]*Table645[[#This Row],[Column68]])</f>
        <v>0</v>
      </c>
      <c r="BR244" s="94"/>
      <c r="BS244" s="91" t="str">
        <f t="shared" si="165"/>
        <v>--</v>
      </c>
      <c r="BT244" s="92">
        <f>IF(Table645[[#This Row],[Column71]]="--",0,Table645[[#This Row],[Column4]]*Table645[[#This Row],[Column71]])</f>
        <v>0</v>
      </c>
      <c r="BU244" s="44"/>
      <c r="BV244" s="90"/>
      <c r="BW244" s="91" t="str">
        <f>IF(BV244=0,"--",(Table645[[#This Row],[Column73]]*$BV$4*(IF(J244&lt;0.5001,1,IF(J244&lt;2.0001,2,3)))+BV244/$BV$3)/60/24)</f>
        <v>--</v>
      </c>
      <c r="BX244" s="92">
        <f>IF(Table645[[#This Row],[Column75]]="--",0,Table645[[#This Row],[Column4]]*Table645[[#This Row],[Column75]])</f>
        <v>0</v>
      </c>
      <c r="BY244" s="95" t="s">
        <v>70</v>
      </c>
      <c r="BZ244" s="91" t="str">
        <f>IF(Table645[[#This Row],[Column74]]=0,"--",BW244*$BY$3)</f>
        <v>--</v>
      </c>
      <c r="CA244" s="89">
        <f>IF(Table645[[#This Row],[Column78]]="--",0,Table645[[#This Row],[Column4]]*Table645[[#This Row],[Column78]])</f>
        <v>0</v>
      </c>
      <c r="CB244" s="95" t="s">
        <v>70</v>
      </c>
      <c r="CC244" s="91" t="str">
        <f>IF(Table645[[#This Row],[Column10]]+Table645[[#This Row],[Column74]]=0,"--",J244*$CB$4*$CB$5/(24*60)+IF(Table645[[#This Row],[Column74]]=0,0,$CB$3*Table645[[#This Row],[Column75]]))</f>
        <v>--</v>
      </c>
      <c r="CD244" s="92">
        <f>IF(Table645[[#This Row],[Column81]]="--",0,Table645[[#This Row],[Column4]]*Table645[[#This Row],[Column81]])</f>
        <v>0</v>
      </c>
      <c r="CE244" s="215"/>
      <c r="CF244" s="91" t="str">
        <f t="shared" si="149"/>
        <v>--</v>
      </c>
      <c r="CG244" s="92">
        <f>IF(Table645[[#This Row],[Column84]]="--",0,Table645[[#This Row],[Column4]]*Table645[[#This Row],[Column84]])</f>
        <v>0</v>
      </c>
      <c r="CH244" s="226"/>
      <c r="CI244" s="216"/>
      <c r="CJ244" s="91" t="str">
        <f>IF(CI244=0,"--",(Table645[[#This Row],[Column86]]*$CI$4*(IF(W244&lt;0.5001,1,IF(W244&lt;2.0001,2,3)))+CI244/$CI$3)/60/24)</f>
        <v>--</v>
      </c>
      <c r="CK244" s="92">
        <f>IF(Table645[[#This Row],[Column88]]="--",0,Table645[[#This Row],[Column4]]*Table645[[#This Row],[Column88]])</f>
        <v>0</v>
      </c>
      <c r="CL244" s="217"/>
      <c r="CM244" s="91" t="str">
        <f>IF(Table645[[#This Row],[Column87]]=0,"--",CJ244*$CL$3)</f>
        <v>--</v>
      </c>
      <c r="CN244" s="92">
        <f>IF(Table645[[#This Row],[Column91]]="--",0,Table645[[#This Row],[Column4]]*Table645[[#This Row],[Column91]])</f>
        <v>0</v>
      </c>
      <c r="CO244" s="217"/>
      <c r="CP244" s="91" t="str">
        <f>IF(Table645[[#This Row],[Column10]]+Table645[[#This Row],[Column87]]=0, "--", IF($D244="", 1, $D244) * IF($J244="", 1, $J244) * $CO$3 * $CO$4 * IF(Table645[[#This Row],[Column95]]="", 1, Table645[[#This Row],[Column95]]) / (24 * 60))</f>
        <v>--</v>
      </c>
      <c r="CQ244" s="164"/>
      <c r="CR244" s="92">
        <f>IF(Table645[[#This Row],[Column94]]="--",0,Table645[[#This Row],[Column4]]*Table645[[#This Row],[Column94]])</f>
        <v>0</v>
      </c>
      <c r="CS244" s="218" t="str">
        <f>IF(Table645[[#This Row],[Column87]]="","",Table645[[#This Row],[Column87]])</f>
        <v/>
      </c>
      <c r="CT244" s="91" t="str">
        <f>IF(Table645[[#This Row],[Column97]]="","--",Table645[[#This Row],[Column97]]/$CS$3/60/24)</f>
        <v>--</v>
      </c>
      <c r="CU244" s="92">
        <f>IF(Table645[[#This Row],[Column98]]="--",0,Table645[[#This Row],[Column4]]*Table645[[#This Row],[Column98]])</f>
        <v>0</v>
      </c>
      <c r="CV244" s="93"/>
      <c r="CW244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44" s="91" t="str">
        <f>IF(OR(Table645[[#This Row],[Column74]]&gt;0,Table645[[#This Row],[Column87]]&gt;0),(Table645[[#This Row],[Column73]]+Table645[[#This Row],[Column86]]+1)*$CW$3/60/24,"--")</f>
        <v>--</v>
      </c>
      <c r="CY244" s="92">
        <f>IF(Table645[[#This Row],[Column102]]="--",0,Table645[[#This Row],[Column4]]*Table645[[#This Row],[Column102]])</f>
        <v>0</v>
      </c>
      <c r="CZ244" s="158" t="str">
        <f t="shared" si="166"/>
        <v>--</v>
      </c>
      <c r="DA244" s="153"/>
      <c r="DB244" s="160">
        <f>IF(Table645[[#This Row],[Column104]]="--",0,Table645[[#This Row],[Column4]]*Table645[[#This Row],[Column104]])</f>
        <v>0</v>
      </c>
      <c r="DC244" s="219"/>
      <c r="DD244" s="220" t="str">
        <f>IF(DC244=0,"--",1/$DC$3*1000/(60*60*24)*Table645[[#This Row],[Column107]])</f>
        <v>--</v>
      </c>
      <c r="DE244" s="160">
        <f>IF(Table645[[#This Row],[Column108]]="--",0,Table645[[#This Row],[Column4]]*Table645[[#This Row],[Column108]])</f>
        <v>0</v>
      </c>
      <c r="DF244" s="101" t="s">
        <v>70</v>
      </c>
      <c r="DG244" s="91" t="str">
        <f t="shared" si="167"/>
        <v>--</v>
      </c>
      <c r="DH244" s="89">
        <f>IF(Table645[[#This Row],[Column111]]="--",0,Table645[[#This Row],[Column4]]*Table645[[#This Row],[Column111]])</f>
        <v>0</v>
      </c>
      <c r="DI244" s="96"/>
      <c r="DJ244" s="96"/>
      <c r="DK244" s="96"/>
      <c r="DL244" s="96"/>
      <c r="DM244" s="96"/>
      <c r="DN244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44" s="89">
        <f>IF(Table645[[#This Row],[Column118]]="--",0,Table645[[#This Row],[Column4]]*Table645[[#This Row],[Column118]])</f>
        <v>0</v>
      </c>
      <c r="DP244" s="96"/>
      <c r="DQ244" s="96"/>
      <c r="DR244" s="91" t="str">
        <f t="shared" si="168"/>
        <v>--</v>
      </c>
      <c r="DS244" s="89">
        <f>IF(Table645[[#This Row],[Column122]]="--",0,Table645[[#This Row],[Column4]]*Table645[[#This Row],[Column122]])</f>
        <v>0</v>
      </c>
      <c r="DT244" t="str">
        <f>IF(Table645[[#This Row],[Column125]]=0,"--",Table645[[#This Row],[Column125]]*Table645[[#This Row],[Column126]]*Table645[[#This Row],[Column127]]/1000000000)</f>
        <v>--</v>
      </c>
      <c r="DU244" s="53"/>
      <c r="DV244" s="53"/>
      <c r="DW244" s="53"/>
      <c r="DX244" s="91" t="str">
        <f t="shared" si="169"/>
        <v>--</v>
      </c>
      <c r="DY244" s="89">
        <f>IF(Table645[[#This Row],[Column128]]="--",0,Table645[[#This Row],[Column4]]*Table645[[#This Row],[Column128]])</f>
        <v>0</v>
      </c>
      <c r="EA244" s="89">
        <f>IF(Table645[[#This Row],[Column128]]="--",0,Table645[[#This Row],[Column4]]*Table645[[#This Row],[Column128]])</f>
        <v>0</v>
      </c>
      <c r="EC244" s="89">
        <f>IF(Table645[[#This Row],[Column128]]="--",0,Table645[[#This Row],[Column4]]*Table645[[#This Row],[Column128]])</f>
        <v>0</v>
      </c>
      <c r="EE244" s="89">
        <f>IF(Table645[[#This Row],[Column128]]="--",0,Table645[[#This Row],[Column4]]*Table645[[#This Row],[Column128]])</f>
        <v>0</v>
      </c>
      <c r="EG244" s="89">
        <f>IF(Table645[[#This Row],[Column128]]="--",0,Table645[[#This Row],[Column4]]*Table645[[#This Row],[Column128]])</f>
        <v>0</v>
      </c>
      <c r="EI244" s="89">
        <f>IF(Table645[[#This Row],[Column128]]="--",0,Table645[[#This Row],[Column4]]*Table645[[#This Row],[Column128]])</f>
        <v>0</v>
      </c>
    </row>
    <row r="245" spans="1:139" x14ac:dyDescent="0.25">
      <c r="A245" s="140"/>
      <c r="B245" s="79"/>
      <c r="C245" s="140"/>
      <c r="D245" s="167"/>
      <c r="E245" s="52"/>
      <c r="F245" s="81"/>
      <c r="G245" s="81"/>
      <c r="H245" s="102" t="str">
        <f t="shared" si="160"/>
        <v>--</v>
      </c>
      <c r="I245" s="100">
        <f>IF(Table645[[#This Row],[Column8]]="--",0,Table645[[#This Row],[Column4]]*Table645[[#This Row],[Column8]])</f>
        <v>0</v>
      </c>
      <c r="J245" s="169"/>
      <c r="K245" s="85">
        <f>Table645[[#This Row],[Column4]]*Table645[[#This Row],[Column10]]</f>
        <v>0</v>
      </c>
      <c r="L245" s="170" t="str">
        <f t="shared" si="161"/>
        <v>--</v>
      </c>
      <c r="M245" s="214">
        <f>IF(Table645[[#This Row],[Column10]]=0,0,Table645[[#This Row],[Column4]]*Table645[[#This Row],[Column12]])</f>
        <v>0</v>
      </c>
      <c r="N245" s="87" t="str">
        <f t="shared" si="162"/>
        <v>--</v>
      </c>
      <c r="O245" s="138"/>
      <c r="AZ245" s="89">
        <f>IF(Table645[[#This Row],[Column14]]="--",0,Table645[[#This Row],[Column4]]*Table645[[#This Row],[Column14]])</f>
        <v>0</v>
      </c>
      <c r="BA245" s="90"/>
      <c r="BB245" s="91" t="str">
        <f>IF(BA245=0,"--",BA245*$BA$3*IF(Table645[[#This Row],[Column5]]&lt;4.1,1,2)/60/24)</f>
        <v>--</v>
      </c>
      <c r="BC245" s="92">
        <f>IF(Table645[[#This Row],[Column54]]="--",0,Table645[[#This Row],[Column4]]*Table645[[#This Row],[Column54]])</f>
        <v>0</v>
      </c>
      <c r="BD245" s="119"/>
      <c r="BE245" s="119"/>
      <c r="BF245" s="119"/>
      <c r="BG245" s="91" t="str">
        <f>IF(BD245+Table645[[#This Row],[Column58]]=0,"--",(BD245*$BF$3*Table645[[#This Row],[Column57]]+Table645[[#This Row],[Column58]]*$BF$4)/60/24)</f>
        <v>--</v>
      </c>
      <c r="BH245" s="92">
        <f>IF(Table645[[#This Row],[Column59]]="--",0,Table645[[#This Row],[Column4]]*Table645[[#This Row],[Column59]])</f>
        <v>0</v>
      </c>
      <c r="BI245" s="119"/>
      <c r="BJ245" s="91" t="str">
        <f t="shared" si="148"/>
        <v>--</v>
      </c>
      <c r="BK245" s="92">
        <f>IF(Table645[[#This Row],[Column62]]="--",0,Table645[[#This Row],[Column4]]*Table645[[#This Row],[Column62]])</f>
        <v>0</v>
      </c>
      <c r="BL245" s="93"/>
      <c r="BM245" s="91" t="str">
        <f t="shared" si="163"/>
        <v>--</v>
      </c>
      <c r="BN245" s="89">
        <f>IF(Table645[[#This Row],[Column65]]="--",0,Table645[[#This Row],[Column4]]*Table645[[#This Row],[Column65]])</f>
        <v>0</v>
      </c>
      <c r="BO245" s="163"/>
      <c r="BP245" s="164" t="str">
        <f t="shared" si="164"/>
        <v>--</v>
      </c>
      <c r="BQ245" s="160">
        <f>IF(Table645[[#This Row],[Column68]]="--",0,Table645[[#This Row],[Column4]]*Table645[[#This Row],[Column68]])</f>
        <v>0</v>
      </c>
      <c r="BR245" s="94"/>
      <c r="BS245" s="91" t="str">
        <f t="shared" si="165"/>
        <v>--</v>
      </c>
      <c r="BT245" s="92">
        <f>IF(Table645[[#This Row],[Column71]]="--",0,Table645[[#This Row],[Column4]]*Table645[[#This Row],[Column71]])</f>
        <v>0</v>
      </c>
      <c r="BU245" s="44"/>
      <c r="BV245" s="90"/>
      <c r="BW245" s="91" t="str">
        <f>IF(BV245=0,"--",(Table645[[#This Row],[Column73]]*$BV$4*(IF(J245&lt;0.5001,1,IF(J245&lt;2.0001,2,3)))+BV245/$BV$3)/60/24)</f>
        <v>--</v>
      </c>
      <c r="BX245" s="92">
        <f>IF(Table645[[#This Row],[Column75]]="--",0,Table645[[#This Row],[Column4]]*Table645[[#This Row],[Column75]])</f>
        <v>0</v>
      </c>
      <c r="BY245" s="95" t="s">
        <v>70</v>
      </c>
      <c r="BZ245" s="91" t="str">
        <f>IF(Table645[[#This Row],[Column74]]=0,"--",BW245*$BY$3)</f>
        <v>--</v>
      </c>
      <c r="CA245" s="89">
        <f>IF(Table645[[#This Row],[Column78]]="--",0,Table645[[#This Row],[Column4]]*Table645[[#This Row],[Column78]])</f>
        <v>0</v>
      </c>
      <c r="CB245" s="95" t="s">
        <v>70</v>
      </c>
      <c r="CC245" s="91" t="str">
        <f>IF(Table645[[#This Row],[Column10]]+Table645[[#This Row],[Column74]]=0,"--",J245*$CB$4*$CB$5/(24*60)+IF(Table645[[#This Row],[Column74]]=0,0,$CB$3*Table645[[#This Row],[Column75]]))</f>
        <v>--</v>
      </c>
      <c r="CD245" s="92">
        <f>IF(Table645[[#This Row],[Column81]]="--",0,Table645[[#This Row],[Column4]]*Table645[[#This Row],[Column81]])</f>
        <v>0</v>
      </c>
      <c r="CE245" s="215"/>
      <c r="CF245" s="91" t="str">
        <f t="shared" si="149"/>
        <v>--</v>
      </c>
      <c r="CG245" s="92">
        <f>IF(Table645[[#This Row],[Column84]]="--",0,Table645[[#This Row],[Column4]]*Table645[[#This Row],[Column84]])</f>
        <v>0</v>
      </c>
      <c r="CH245" s="226"/>
      <c r="CI245" s="216"/>
      <c r="CJ245" s="91" t="str">
        <f>IF(CI245=0,"--",(Table645[[#This Row],[Column86]]*$CI$4*(IF(W245&lt;0.5001,1,IF(W245&lt;2.0001,2,3)))+CI245/$CI$3)/60/24)</f>
        <v>--</v>
      </c>
      <c r="CK245" s="92">
        <f>IF(Table645[[#This Row],[Column88]]="--",0,Table645[[#This Row],[Column4]]*Table645[[#This Row],[Column88]])</f>
        <v>0</v>
      </c>
      <c r="CL245" s="217"/>
      <c r="CM245" s="91" t="str">
        <f>IF(Table645[[#This Row],[Column87]]=0,"--",CJ245*$CL$3)</f>
        <v>--</v>
      </c>
      <c r="CN245" s="92">
        <f>IF(Table645[[#This Row],[Column91]]="--",0,Table645[[#This Row],[Column4]]*Table645[[#This Row],[Column91]])</f>
        <v>0</v>
      </c>
      <c r="CO245" s="217"/>
      <c r="CP245" s="91" t="str">
        <f>IF(Table645[[#This Row],[Column10]]+Table645[[#This Row],[Column87]]=0, "--", IF($D245="", 1, $D245) * IF($J245="", 1, $J245) * $CO$3 * $CO$4 * IF(Table645[[#This Row],[Column95]]="", 1, Table645[[#This Row],[Column95]]) / (24 * 60))</f>
        <v>--</v>
      </c>
      <c r="CQ245" s="164"/>
      <c r="CR245" s="92">
        <f>IF(Table645[[#This Row],[Column94]]="--",0,Table645[[#This Row],[Column4]]*Table645[[#This Row],[Column94]])</f>
        <v>0</v>
      </c>
      <c r="CS245" s="218" t="str">
        <f>IF(Table645[[#This Row],[Column87]]="","",Table645[[#This Row],[Column87]])</f>
        <v/>
      </c>
      <c r="CT245" s="91" t="str">
        <f>IF(Table645[[#This Row],[Column97]]="","--",Table645[[#This Row],[Column97]]/$CS$3/60/24)</f>
        <v>--</v>
      </c>
      <c r="CU245" s="92">
        <f>IF(Table645[[#This Row],[Column98]]="--",0,Table645[[#This Row],[Column4]]*Table645[[#This Row],[Column98]])</f>
        <v>0</v>
      </c>
      <c r="CV245" s="93"/>
      <c r="CW245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45" s="91" t="str">
        <f>IF(OR(Table645[[#This Row],[Column74]]&gt;0,Table645[[#This Row],[Column87]]&gt;0),(Table645[[#This Row],[Column73]]+Table645[[#This Row],[Column86]]+1)*$CW$3/60/24,"--")</f>
        <v>--</v>
      </c>
      <c r="CY245" s="92">
        <f>IF(Table645[[#This Row],[Column102]]="--",0,Table645[[#This Row],[Column4]]*Table645[[#This Row],[Column102]])</f>
        <v>0</v>
      </c>
      <c r="CZ245" s="158" t="str">
        <f t="shared" si="166"/>
        <v>--</v>
      </c>
      <c r="DA245" s="153"/>
      <c r="DB245" s="160">
        <f>IF(Table645[[#This Row],[Column104]]="--",0,Table645[[#This Row],[Column4]]*Table645[[#This Row],[Column104]])</f>
        <v>0</v>
      </c>
      <c r="DC245" s="219"/>
      <c r="DD245" s="220" t="str">
        <f>IF(DC245=0,"--",1/$DC$3*1000/(60*60*24)*Table645[[#This Row],[Column107]])</f>
        <v>--</v>
      </c>
      <c r="DE245" s="160">
        <f>IF(Table645[[#This Row],[Column108]]="--",0,Table645[[#This Row],[Column4]]*Table645[[#This Row],[Column108]])</f>
        <v>0</v>
      </c>
      <c r="DF245" s="101" t="s">
        <v>70</v>
      </c>
      <c r="DG245" s="91" t="str">
        <f t="shared" si="167"/>
        <v>--</v>
      </c>
      <c r="DH245" s="89">
        <f>IF(Table645[[#This Row],[Column111]]="--",0,Table645[[#This Row],[Column4]]*Table645[[#This Row],[Column111]])</f>
        <v>0</v>
      </c>
      <c r="DI245" s="96"/>
      <c r="DJ245" s="96"/>
      <c r="DK245" s="96"/>
      <c r="DL245" s="96"/>
      <c r="DM245" s="96"/>
      <c r="DN245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45" s="89">
        <f>IF(Table645[[#This Row],[Column118]]="--",0,Table645[[#This Row],[Column4]]*Table645[[#This Row],[Column118]])</f>
        <v>0</v>
      </c>
      <c r="DP245" s="96"/>
      <c r="DQ245" s="96"/>
      <c r="DR245" s="91" t="str">
        <f t="shared" si="168"/>
        <v>--</v>
      </c>
      <c r="DS245" s="89">
        <f>IF(Table645[[#This Row],[Column122]]="--",0,Table645[[#This Row],[Column4]]*Table645[[#This Row],[Column122]])</f>
        <v>0</v>
      </c>
      <c r="DT245" t="str">
        <f>IF(Table645[[#This Row],[Column125]]=0,"--",Table645[[#This Row],[Column125]]*Table645[[#This Row],[Column126]]*Table645[[#This Row],[Column127]]/1000000000)</f>
        <v>--</v>
      </c>
      <c r="DU245" s="53"/>
      <c r="DV245" s="53"/>
      <c r="DW245" s="53"/>
      <c r="DX245" s="91" t="str">
        <f t="shared" si="169"/>
        <v>--</v>
      </c>
      <c r="DY245" s="89">
        <f>IF(Table645[[#This Row],[Column128]]="--",0,Table645[[#This Row],[Column4]]*Table645[[#This Row],[Column128]])</f>
        <v>0</v>
      </c>
      <c r="EA245" s="89">
        <f>IF(Table645[[#This Row],[Column128]]="--",0,Table645[[#This Row],[Column4]]*Table645[[#This Row],[Column128]])</f>
        <v>0</v>
      </c>
      <c r="EC245" s="89">
        <f>IF(Table645[[#This Row],[Column128]]="--",0,Table645[[#This Row],[Column4]]*Table645[[#This Row],[Column128]])</f>
        <v>0</v>
      </c>
      <c r="EE245" s="89">
        <f>IF(Table645[[#This Row],[Column128]]="--",0,Table645[[#This Row],[Column4]]*Table645[[#This Row],[Column128]])</f>
        <v>0</v>
      </c>
      <c r="EG245" s="89">
        <f>IF(Table645[[#This Row],[Column128]]="--",0,Table645[[#This Row],[Column4]]*Table645[[#This Row],[Column128]])</f>
        <v>0</v>
      </c>
      <c r="EI245" s="89">
        <f>IF(Table645[[#This Row],[Column128]]="--",0,Table645[[#This Row],[Column4]]*Table645[[#This Row],[Column128]])</f>
        <v>0</v>
      </c>
    </row>
    <row r="246" spans="1:139" x14ac:dyDescent="0.25">
      <c r="A246" s="140"/>
      <c r="B246" s="79"/>
      <c r="C246" s="140"/>
      <c r="D246" s="167"/>
      <c r="E246" s="52"/>
      <c r="F246" s="81"/>
      <c r="G246" s="81"/>
      <c r="H246" s="102" t="str">
        <f t="shared" si="160"/>
        <v>--</v>
      </c>
      <c r="I246" s="100">
        <f>IF(Table645[[#This Row],[Column8]]="--",0,Table645[[#This Row],[Column4]]*Table645[[#This Row],[Column8]])</f>
        <v>0</v>
      </c>
      <c r="J246" s="169"/>
      <c r="K246" s="85">
        <f>Table645[[#This Row],[Column4]]*Table645[[#This Row],[Column10]]</f>
        <v>0</v>
      </c>
      <c r="L246" s="170" t="str">
        <f t="shared" si="161"/>
        <v>--</v>
      </c>
      <c r="M246" s="214">
        <f>IF(Table645[[#This Row],[Column10]]=0,0,Table645[[#This Row],[Column4]]*Table645[[#This Row],[Column12]])</f>
        <v>0</v>
      </c>
      <c r="N246" s="87" t="str">
        <f t="shared" si="162"/>
        <v>--</v>
      </c>
      <c r="O246" s="138"/>
      <c r="AZ246" s="89">
        <f>IF(Table645[[#This Row],[Column14]]="--",0,Table645[[#This Row],[Column4]]*Table645[[#This Row],[Column14]])</f>
        <v>0</v>
      </c>
      <c r="BA246" s="90"/>
      <c r="BB246" s="91" t="str">
        <f>IF(BA246=0,"--",BA246*$BA$3*IF(Table645[[#This Row],[Column5]]&lt;4.1,1,2)/60/24)</f>
        <v>--</v>
      </c>
      <c r="BC246" s="92">
        <f>IF(Table645[[#This Row],[Column54]]="--",0,Table645[[#This Row],[Column4]]*Table645[[#This Row],[Column54]])</f>
        <v>0</v>
      </c>
      <c r="BD246" s="119"/>
      <c r="BE246" s="119"/>
      <c r="BF246" s="119"/>
      <c r="BG246" s="91" t="str">
        <f>IF(BD246+Table645[[#This Row],[Column58]]=0,"--",(BD246*$BF$3*Table645[[#This Row],[Column57]]+Table645[[#This Row],[Column58]]*$BF$4)/60/24)</f>
        <v>--</v>
      </c>
      <c r="BH246" s="92">
        <f>IF(Table645[[#This Row],[Column59]]="--",0,Table645[[#This Row],[Column4]]*Table645[[#This Row],[Column59]])</f>
        <v>0</v>
      </c>
      <c r="BI246" s="119"/>
      <c r="BJ246" s="91" t="str">
        <f t="shared" si="148"/>
        <v>--</v>
      </c>
      <c r="BK246" s="92">
        <f>IF(Table645[[#This Row],[Column62]]="--",0,Table645[[#This Row],[Column4]]*Table645[[#This Row],[Column62]])</f>
        <v>0</v>
      </c>
      <c r="BL246" s="93"/>
      <c r="BM246" s="91" t="str">
        <f t="shared" si="163"/>
        <v>--</v>
      </c>
      <c r="BN246" s="89">
        <f>IF(Table645[[#This Row],[Column65]]="--",0,Table645[[#This Row],[Column4]]*Table645[[#This Row],[Column65]])</f>
        <v>0</v>
      </c>
      <c r="BO246" s="163"/>
      <c r="BP246" s="164" t="str">
        <f t="shared" si="164"/>
        <v>--</v>
      </c>
      <c r="BQ246" s="160">
        <f>IF(Table645[[#This Row],[Column68]]="--",0,Table645[[#This Row],[Column4]]*Table645[[#This Row],[Column68]])</f>
        <v>0</v>
      </c>
      <c r="BR246" s="94"/>
      <c r="BS246" s="91" t="str">
        <f t="shared" si="165"/>
        <v>--</v>
      </c>
      <c r="BT246" s="92">
        <f>IF(Table645[[#This Row],[Column71]]="--",0,Table645[[#This Row],[Column4]]*Table645[[#This Row],[Column71]])</f>
        <v>0</v>
      </c>
      <c r="BU246" s="44"/>
      <c r="BV246" s="90"/>
      <c r="BW246" s="91" t="str">
        <f>IF(BV246=0,"--",(Table645[[#This Row],[Column73]]*$BV$4*(IF(J246&lt;0.5001,1,IF(J246&lt;2.0001,2,3)))+BV246/$BV$3)/60/24)</f>
        <v>--</v>
      </c>
      <c r="BX246" s="92">
        <f>IF(Table645[[#This Row],[Column75]]="--",0,Table645[[#This Row],[Column4]]*Table645[[#This Row],[Column75]])</f>
        <v>0</v>
      </c>
      <c r="BY246" s="95" t="s">
        <v>70</v>
      </c>
      <c r="BZ246" s="91" t="str">
        <f>IF(Table645[[#This Row],[Column74]]=0,"--",BW246*$BY$3)</f>
        <v>--</v>
      </c>
      <c r="CA246" s="89">
        <f>IF(Table645[[#This Row],[Column78]]="--",0,Table645[[#This Row],[Column4]]*Table645[[#This Row],[Column78]])</f>
        <v>0</v>
      </c>
      <c r="CB246" s="95" t="s">
        <v>70</v>
      </c>
      <c r="CC246" s="91" t="str">
        <f>IF(Table645[[#This Row],[Column10]]+Table645[[#This Row],[Column74]]=0,"--",J246*$CB$4*$CB$5/(24*60)+IF(Table645[[#This Row],[Column74]]=0,0,$CB$3*Table645[[#This Row],[Column75]]))</f>
        <v>--</v>
      </c>
      <c r="CD246" s="92">
        <f>IF(Table645[[#This Row],[Column81]]="--",0,Table645[[#This Row],[Column4]]*Table645[[#This Row],[Column81]])</f>
        <v>0</v>
      </c>
      <c r="CE246" s="215"/>
      <c r="CF246" s="91" t="str">
        <f t="shared" si="149"/>
        <v>--</v>
      </c>
      <c r="CG246" s="92">
        <f>IF(Table645[[#This Row],[Column84]]="--",0,Table645[[#This Row],[Column4]]*Table645[[#This Row],[Column84]])</f>
        <v>0</v>
      </c>
      <c r="CH246" s="226"/>
      <c r="CI246" s="216"/>
      <c r="CJ246" s="91" t="str">
        <f>IF(CI246=0,"--",(Table645[[#This Row],[Column86]]*$CI$4*(IF(W246&lt;0.5001,1,IF(W246&lt;2.0001,2,3)))+CI246/$CI$3)/60/24)</f>
        <v>--</v>
      </c>
      <c r="CK246" s="92">
        <f>IF(Table645[[#This Row],[Column88]]="--",0,Table645[[#This Row],[Column4]]*Table645[[#This Row],[Column88]])</f>
        <v>0</v>
      </c>
      <c r="CL246" s="217"/>
      <c r="CM246" s="91" t="str">
        <f>IF(Table645[[#This Row],[Column87]]=0,"--",CJ246*$CL$3)</f>
        <v>--</v>
      </c>
      <c r="CN246" s="92">
        <f>IF(Table645[[#This Row],[Column91]]="--",0,Table645[[#This Row],[Column4]]*Table645[[#This Row],[Column91]])</f>
        <v>0</v>
      </c>
      <c r="CO246" s="217"/>
      <c r="CP246" s="91" t="str">
        <f>IF(Table645[[#This Row],[Column10]]+Table645[[#This Row],[Column87]]=0, "--", IF($D246="", 1, $D246) * IF($J246="", 1, $J246) * $CO$3 * $CO$4 * IF(Table645[[#This Row],[Column95]]="", 1, Table645[[#This Row],[Column95]]) / (24 * 60))</f>
        <v>--</v>
      </c>
      <c r="CQ246" s="164"/>
      <c r="CR246" s="92">
        <f>IF(Table645[[#This Row],[Column94]]="--",0,Table645[[#This Row],[Column4]]*Table645[[#This Row],[Column94]])</f>
        <v>0</v>
      </c>
      <c r="CS246" s="218" t="str">
        <f>IF(Table645[[#This Row],[Column87]]="","",Table645[[#This Row],[Column87]])</f>
        <v/>
      </c>
      <c r="CT246" s="91" t="str">
        <f>IF(Table645[[#This Row],[Column97]]="","--",Table645[[#This Row],[Column97]]/$CS$3/60/24)</f>
        <v>--</v>
      </c>
      <c r="CU246" s="92">
        <f>IF(Table645[[#This Row],[Column98]]="--",0,Table645[[#This Row],[Column4]]*Table645[[#This Row],[Column98]])</f>
        <v>0</v>
      </c>
      <c r="CV246" s="93"/>
      <c r="CW246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46" s="91" t="str">
        <f>IF(OR(Table645[[#This Row],[Column74]]&gt;0,Table645[[#This Row],[Column87]]&gt;0),(Table645[[#This Row],[Column73]]+Table645[[#This Row],[Column86]]+1)*$CW$3/60/24,"--")</f>
        <v>--</v>
      </c>
      <c r="CY246" s="92">
        <f>IF(Table645[[#This Row],[Column102]]="--",0,Table645[[#This Row],[Column4]]*Table645[[#This Row],[Column102]])</f>
        <v>0</v>
      </c>
      <c r="CZ246" s="158" t="str">
        <f t="shared" si="166"/>
        <v>--</v>
      </c>
      <c r="DA246" s="153"/>
      <c r="DB246" s="160">
        <f>IF(Table645[[#This Row],[Column104]]="--",0,Table645[[#This Row],[Column4]]*Table645[[#This Row],[Column104]])</f>
        <v>0</v>
      </c>
      <c r="DC246" s="219"/>
      <c r="DD246" s="220" t="str">
        <f>IF(DC246=0,"--",1/$DC$3*1000/(60*60*24)*Table645[[#This Row],[Column107]])</f>
        <v>--</v>
      </c>
      <c r="DE246" s="160">
        <f>IF(Table645[[#This Row],[Column108]]="--",0,Table645[[#This Row],[Column4]]*Table645[[#This Row],[Column108]])</f>
        <v>0</v>
      </c>
      <c r="DF246" s="101" t="s">
        <v>70</v>
      </c>
      <c r="DG246" s="91" t="str">
        <f t="shared" si="167"/>
        <v>--</v>
      </c>
      <c r="DH246" s="89">
        <f>IF(Table645[[#This Row],[Column111]]="--",0,Table645[[#This Row],[Column4]]*Table645[[#This Row],[Column111]])</f>
        <v>0</v>
      </c>
      <c r="DI246" s="96"/>
      <c r="DJ246" s="96"/>
      <c r="DK246" s="96"/>
      <c r="DL246" s="96"/>
      <c r="DM246" s="96"/>
      <c r="DN246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46" s="89">
        <f>IF(Table645[[#This Row],[Column118]]="--",0,Table645[[#This Row],[Column4]]*Table645[[#This Row],[Column118]])</f>
        <v>0</v>
      </c>
      <c r="DP246" s="96"/>
      <c r="DQ246" s="96"/>
      <c r="DR246" s="91" t="str">
        <f t="shared" si="168"/>
        <v>--</v>
      </c>
      <c r="DS246" s="89">
        <f>IF(Table645[[#This Row],[Column122]]="--",0,Table645[[#This Row],[Column4]]*Table645[[#This Row],[Column122]])</f>
        <v>0</v>
      </c>
      <c r="DT246" t="str">
        <f>IF(Table645[[#This Row],[Column125]]=0,"--",Table645[[#This Row],[Column125]]*Table645[[#This Row],[Column126]]*Table645[[#This Row],[Column127]]/1000000000)</f>
        <v>--</v>
      </c>
      <c r="DU246" s="53"/>
      <c r="DV246" s="53"/>
      <c r="DW246" s="53"/>
      <c r="DX246" s="91" t="str">
        <f t="shared" si="169"/>
        <v>--</v>
      </c>
      <c r="DY246" s="89">
        <f>IF(Table645[[#This Row],[Column128]]="--",0,Table645[[#This Row],[Column4]]*Table645[[#This Row],[Column128]])</f>
        <v>0</v>
      </c>
      <c r="EA246" s="89">
        <f>IF(Table645[[#This Row],[Column128]]="--",0,Table645[[#This Row],[Column4]]*Table645[[#This Row],[Column128]])</f>
        <v>0</v>
      </c>
      <c r="EC246" s="89">
        <f>IF(Table645[[#This Row],[Column128]]="--",0,Table645[[#This Row],[Column4]]*Table645[[#This Row],[Column128]])</f>
        <v>0</v>
      </c>
      <c r="EE246" s="89">
        <f>IF(Table645[[#This Row],[Column128]]="--",0,Table645[[#This Row],[Column4]]*Table645[[#This Row],[Column128]])</f>
        <v>0</v>
      </c>
      <c r="EG246" s="89">
        <f>IF(Table645[[#This Row],[Column128]]="--",0,Table645[[#This Row],[Column4]]*Table645[[#This Row],[Column128]])</f>
        <v>0</v>
      </c>
      <c r="EI246" s="89">
        <f>IF(Table645[[#This Row],[Column128]]="--",0,Table645[[#This Row],[Column4]]*Table645[[#This Row],[Column128]])</f>
        <v>0</v>
      </c>
    </row>
    <row r="247" spans="1:139" x14ac:dyDescent="0.25">
      <c r="A247" s="140"/>
      <c r="B247" s="79"/>
      <c r="C247" s="140"/>
      <c r="D247" s="167"/>
      <c r="E247" s="52"/>
      <c r="F247" s="81"/>
      <c r="G247" s="81"/>
      <c r="H247" s="102" t="str">
        <f t="shared" si="160"/>
        <v>--</v>
      </c>
      <c r="I247" s="100">
        <f>IF(Table645[[#This Row],[Column8]]="--",0,Table645[[#This Row],[Column4]]*Table645[[#This Row],[Column8]])</f>
        <v>0</v>
      </c>
      <c r="J247" s="169"/>
      <c r="K247" s="85">
        <f>Table645[[#This Row],[Column4]]*Table645[[#This Row],[Column10]]</f>
        <v>0</v>
      </c>
      <c r="L247" s="170" t="str">
        <f t="shared" si="161"/>
        <v>--</v>
      </c>
      <c r="M247" s="214">
        <f>IF(Table645[[#This Row],[Column10]]=0,0,Table645[[#This Row],[Column4]]*Table645[[#This Row],[Column12]])</f>
        <v>0</v>
      </c>
      <c r="N247" s="87" t="str">
        <f t="shared" si="162"/>
        <v>--</v>
      </c>
      <c r="O247" s="138"/>
      <c r="AZ247" s="89">
        <f>IF(Table645[[#This Row],[Column14]]="--",0,Table645[[#This Row],[Column4]]*Table645[[#This Row],[Column14]])</f>
        <v>0</v>
      </c>
      <c r="BA247" s="90"/>
      <c r="BB247" s="91" t="str">
        <f>IF(BA247=0,"--",BA247*$BA$3*IF(Table645[[#This Row],[Column5]]&lt;4.1,1,2)/60/24)</f>
        <v>--</v>
      </c>
      <c r="BC247" s="92">
        <f>IF(Table645[[#This Row],[Column54]]="--",0,Table645[[#This Row],[Column4]]*Table645[[#This Row],[Column54]])</f>
        <v>0</v>
      </c>
      <c r="BD247" s="119"/>
      <c r="BE247" s="119"/>
      <c r="BF247" s="119"/>
      <c r="BG247" s="91" t="str">
        <f>IF(BD247+Table645[[#This Row],[Column58]]=0,"--",(BD247*$BF$3*Table645[[#This Row],[Column57]]+Table645[[#This Row],[Column58]]*$BF$4)/60/24)</f>
        <v>--</v>
      </c>
      <c r="BH247" s="92">
        <f>IF(Table645[[#This Row],[Column59]]="--",0,Table645[[#This Row],[Column4]]*Table645[[#This Row],[Column59]])</f>
        <v>0</v>
      </c>
      <c r="BI247" s="119"/>
      <c r="BJ247" s="91" t="str">
        <f t="shared" si="148"/>
        <v>--</v>
      </c>
      <c r="BK247" s="92">
        <f>IF(Table645[[#This Row],[Column62]]="--",0,Table645[[#This Row],[Column4]]*Table645[[#This Row],[Column62]])</f>
        <v>0</v>
      </c>
      <c r="BL247" s="93"/>
      <c r="BM247" s="91" t="str">
        <f t="shared" si="163"/>
        <v>--</v>
      </c>
      <c r="BN247" s="89">
        <f>IF(Table645[[#This Row],[Column65]]="--",0,Table645[[#This Row],[Column4]]*Table645[[#This Row],[Column65]])</f>
        <v>0</v>
      </c>
      <c r="BO247" s="163"/>
      <c r="BP247" s="164" t="str">
        <f t="shared" si="164"/>
        <v>--</v>
      </c>
      <c r="BQ247" s="160">
        <f>IF(Table645[[#This Row],[Column68]]="--",0,Table645[[#This Row],[Column4]]*Table645[[#This Row],[Column68]])</f>
        <v>0</v>
      </c>
      <c r="BR247" s="94"/>
      <c r="BS247" s="91" t="str">
        <f t="shared" si="165"/>
        <v>--</v>
      </c>
      <c r="BT247" s="92">
        <f>IF(Table645[[#This Row],[Column71]]="--",0,Table645[[#This Row],[Column4]]*Table645[[#This Row],[Column71]])</f>
        <v>0</v>
      </c>
      <c r="BU247" s="44"/>
      <c r="BV247" s="90"/>
      <c r="BW247" s="91" t="str">
        <f>IF(BV247=0,"--",(Table645[[#This Row],[Column73]]*$BV$4*(IF(J247&lt;0.5001,1,IF(J247&lt;2.0001,2,3)))+BV247/$BV$3)/60/24)</f>
        <v>--</v>
      </c>
      <c r="BX247" s="92">
        <f>IF(Table645[[#This Row],[Column75]]="--",0,Table645[[#This Row],[Column4]]*Table645[[#This Row],[Column75]])</f>
        <v>0</v>
      </c>
      <c r="BY247" s="95" t="s">
        <v>70</v>
      </c>
      <c r="BZ247" s="91" t="str">
        <f>IF(Table645[[#This Row],[Column74]]=0,"--",BW247*$BY$3)</f>
        <v>--</v>
      </c>
      <c r="CA247" s="89">
        <f>IF(Table645[[#This Row],[Column78]]="--",0,Table645[[#This Row],[Column4]]*Table645[[#This Row],[Column78]])</f>
        <v>0</v>
      </c>
      <c r="CB247" s="95" t="s">
        <v>70</v>
      </c>
      <c r="CC247" s="91" t="str">
        <f>IF(Table645[[#This Row],[Column10]]+Table645[[#This Row],[Column74]]=0,"--",J247*$CB$4*$CB$5/(24*60)+IF(Table645[[#This Row],[Column74]]=0,0,$CB$3*Table645[[#This Row],[Column75]]))</f>
        <v>--</v>
      </c>
      <c r="CD247" s="92">
        <f>IF(Table645[[#This Row],[Column81]]="--",0,Table645[[#This Row],[Column4]]*Table645[[#This Row],[Column81]])</f>
        <v>0</v>
      </c>
      <c r="CE247" s="215"/>
      <c r="CF247" s="91" t="str">
        <f t="shared" si="149"/>
        <v>--</v>
      </c>
      <c r="CG247" s="92">
        <f>IF(Table645[[#This Row],[Column84]]="--",0,Table645[[#This Row],[Column4]]*Table645[[#This Row],[Column84]])</f>
        <v>0</v>
      </c>
      <c r="CH247" s="226"/>
      <c r="CI247" s="216"/>
      <c r="CJ247" s="91" t="str">
        <f>IF(CI247=0,"--",(Table645[[#This Row],[Column86]]*$CI$4*(IF(W247&lt;0.5001,1,IF(W247&lt;2.0001,2,3)))+CI247/$CI$3)/60/24)</f>
        <v>--</v>
      </c>
      <c r="CK247" s="92">
        <f>IF(Table645[[#This Row],[Column88]]="--",0,Table645[[#This Row],[Column4]]*Table645[[#This Row],[Column88]])</f>
        <v>0</v>
      </c>
      <c r="CL247" s="217"/>
      <c r="CM247" s="91" t="str">
        <f>IF(Table645[[#This Row],[Column87]]=0,"--",CJ247*$CL$3)</f>
        <v>--</v>
      </c>
      <c r="CN247" s="92">
        <f>IF(Table645[[#This Row],[Column91]]="--",0,Table645[[#This Row],[Column4]]*Table645[[#This Row],[Column91]])</f>
        <v>0</v>
      </c>
      <c r="CO247" s="217"/>
      <c r="CP247" s="91" t="str">
        <f>IF(Table645[[#This Row],[Column10]]+Table645[[#This Row],[Column87]]=0, "--", IF($D247="", 1, $D247) * IF($J247="", 1, $J247) * $CO$3 * $CO$4 * IF(Table645[[#This Row],[Column95]]="", 1, Table645[[#This Row],[Column95]]) / (24 * 60))</f>
        <v>--</v>
      </c>
      <c r="CQ247" s="164"/>
      <c r="CR247" s="92">
        <f>IF(Table645[[#This Row],[Column94]]="--",0,Table645[[#This Row],[Column4]]*Table645[[#This Row],[Column94]])</f>
        <v>0</v>
      </c>
      <c r="CS247" s="218" t="str">
        <f>IF(Table645[[#This Row],[Column87]]="","",Table645[[#This Row],[Column87]])</f>
        <v/>
      </c>
      <c r="CT247" s="91" t="str">
        <f>IF(Table645[[#This Row],[Column97]]="","--",Table645[[#This Row],[Column97]]/$CS$3/60/24)</f>
        <v>--</v>
      </c>
      <c r="CU247" s="92">
        <f>IF(Table645[[#This Row],[Column98]]="--",0,Table645[[#This Row],[Column4]]*Table645[[#This Row],[Column98]])</f>
        <v>0</v>
      </c>
      <c r="CV247" s="93"/>
      <c r="CW247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47" s="91" t="str">
        <f>IF(OR(Table645[[#This Row],[Column74]]&gt;0,Table645[[#This Row],[Column87]]&gt;0),(Table645[[#This Row],[Column73]]+Table645[[#This Row],[Column86]]+1)*$CW$3/60/24,"--")</f>
        <v>--</v>
      </c>
      <c r="CY247" s="92">
        <f>IF(Table645[[#This Row],[Column102]]="--",0,Table645[[#This Row],[Column4]]*Table645[[#This Row],[Column102]])</f>
        <v>0</v>
      </c>
      <c r="CZ247" s="158" t="str">
        <f t="shared" si="166"/>
        <v>--</v>
      </c>
      <c r="DA247" s="153"/>
      <c r="DB247" s="160">
        <f>IF(Table645[[#This Row],[Column104]]="--",0,Table645[[#This Row],[Column4]]*Table645[[#This Row],[Column104]])</f>
        <v>0</v>
      </c>
      <c r="DC247" s="219"/>
      <c r="DD247" s="220" t="str">
        <f>IF(DC247=0,"--",1/$DC$3*1000/(60*60*24)*Table645[[#This Row],[Column107]])</f>
        <v>--</v>
      </c>
      <c r="DE247" s="160">
        <f>IF(Table645[[#This Row],[Column108]]="--",0,Table645[[#This Row],[Column4]]*Table645[[#This Row],[Column108]])</f>
        <v>0</v>
      </c>
      <c r="DF247" s="101" t="s">
        <v>70</v>
      </c>
      <c r="DG247" s="91" t="str">
        <f t="shared" si="167"/>
        <v>--</v>
      </c>
      <c r="DH247" s="89">
        <f>IF(Table645[[#This Row],[Column111]]="--",0,Table645[[#This Row],[Column4]]*Table645[[#This Row],[Column111]])</f>
        <v>0</v>
      </c>
      <c r="DI247" s="96"/>
      <c r="DJ247" s="96"/>
      <c r="DK247" s="96"/>
      <c r="DL247" s="96"/>
      <c r="DM247" s="96"/>
      <c r="DN247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47" s="89">
        <f>IF(Table645[[#This Row],[Column118]]="--",0,Table645[[#This Row],[Column4]]*Table645[[#This Row],[Column118]])</f>
        <v>0</v>
      </c>
      <c r="DP247" s="96"/>
      <c r="DQ247" s="96"/>
      <c r="DR247" s="91" t="str">
        <f t="shared" si="168"/>
        <v>--</v>
      </c>
      <c r="DS247" s="89">
        <f>IF(Table645[[#This Row],[Column122]]="--",0,Table645[[#This Row],[Column4]]*Table645[[#This Row],[Column122]])</f>
        <v>0</v>
      </c>
      <c r="DT247" t="str">
        <f>IF(Table645[[#This Row],[Column125]]=0,"--",Table645[[#This Row],[Column125]]*Table645[[#This Row],[Column126]]*Table645[[#This Row],[Column127]]/1000000000)</f>
        <v>--</v>
      </c>
      <c r="DU247" s="53"/>
      <c r="DV247" s="53"/>
      <c r="DW247" s="53"/>
      <c r="DX247" s="91" t="str">
        <f t="shared" si="169"/>
        <v>--</v>
      </c>
      <c r="DY247" s="89">
        <f>IF(Table645[[#This Row],[Column128]]="--",0,Table645[[#This Row],[Column4]]*Table645[[#This Row],[Column128]])</f>
        <v>0</v>
      </c>
      <c r="EA247" s="89">
        <f>IF(Table645[[#This Row],[Column128]]="--",0,Table645[[#This Row],[Column4]]*Table645[[#This Row],[Column128]])</f>
        <v>0</v>
      </c>
      <c r="EC247" s="89">
        <f>IF(Table645[[#This Row],[Column128]]="--",0,Table645[[#This Row],[Column4]]*Table645[[#This Row],[Column128]])</f>
        <v>0</v>
      </c>
      <c r="EE247" s="89">
        <f>IF(Table645[[#This Row],[Column128]]="--",0,Table645[[#This Row],[Column4]]*Table645[[#This Row],[Column128]])</f>
        <v>0</v>
      </c>
      <c r="EG247" s="89">
        <f>IF(Table645[[#This Row],[Column128]]="--",0,Table645[[#This Row],[Column4]]*Table645[[#This Row],[Column128]])</f>
        <v>0</v>
      </c>
      <c r="EI247" s="89">
        <f>IF(Table645[[#This Row],[Column128]]="--",0,Table645[[#This Row],[Column4]]*Table645[[#This Row],[Column128]])</f>
        <v>0</v>
      </c>
    </row>
    <row r="248" spans="1:139" x14ac:dyDescent="0.25">
      <c r="A248" s="140"/>
      <c r="B248" s="79"/>
      <c r="C248" s="140"/>
      <c r="D248" s="167"/>
      <c r="E248" s="52"/>
      <c r="F248" s="81"/>
      <c r="G248" s="81"/>
      <c r="H248" s="102" t="str">
        <f t="shared" si="160"/>
        <v>--</v>
      </c>
      <c r="I248" s="100">
        <f>IF(Table645[[#This Row],[Column8]]="--",0,Table645[[#This Row],[Column4]]*Table645[[#This Row],[Column8]])</f>
        <v>0</v>
      </c>
      <c r="J248" s="169"/>
      <c r="K248" s="85">
        <f>Table645[[#This Row],[Column4]]*Table645[[#This Row],[Column10]]</f>
        <v>0</v>
      </c>
      <c r="L248" s="170" t="str">
        <f t="shared" si="161"/>
        <v>--</v>
      </c>
      <c r="M248" s="214">
        <f>IF(Table645[[#This Row],[Column10]]=0,0,Table645[[#This Row],[Column4]]*Table645[[#This Row],[Column12]])</f>
        <v>0</v>
      </c>
      <c r="N248" s="87" t="str">
        <f t="shared" si="162"/>
        <v>--</v>
      </c>
      <c r="O248" s="138"/>
      <c r="AZ248" s="89">
        <f>IF(Table645[[#This Row],[Column14]]="--",0,Table645[[#This Row],[Column4]]*Table645[[#This Row],[Column14]])</f>
        <v>0</v>
      </c>
      <c r="BA248" s="90"/>
      <c r="BB248" s="91" t="str">
        <f>IF(BA248=0,"--",BA248*$BA$3*IF(Table645[[#This Row],[Column5]]&lt;4.1,1,2)/60/24)</f>
        <v>--</v>
      </c>
      <c r="BC248" s="92">
        <f>IF(Table645[[#This Row],[Column54]]="--",0,Table645[[#This Row],[Column4]]*Table645[[#This Row],[Column54]])</f>
        <v>0</v>
      </c>
      <c r="BD248" s="119"/>
      <c r="BE248" s="119"/>
      <c r="BF248" s="119"/>
      <c r="BG248" s="91" t="str">
        <f>IF(BD248+Table645[[#This Row],[Column58]]=0,"--",(BD248*$BF$3*Table645[[#This Row],[Column57]]+Table645[[#This Row],[Column58]]*$BF$4)/60/24)</f>
        <v>--</v>
      </c>
      <c r="BH248" s="92">
        <f>IF(Table645[[#This Row],[Column59]]="--",0,Table645[[#This Row],[Column4]]*Table645[[#This Row],[Column59]])</f>
        <v>0</v>
      </c>
      <c r="BI248" s="119"/>
      <c r="BJ248" s="91" t="str">
        <f t="shared" si="148"/>
        <v>--</v>
      </c>
      <c r="BK248" s="92">
        <f>IF(Table645[[#This Row],[Column62]]="--",0,Table645[[#This Row],[Column4]]*Table645[[#This Row],[Column62]])</f>
        <v>0</v>
      </c>
      <c r="BL248" s="93"/>
      <c r="BM248" s="91" t="str">
        <f t="shared" si="163"/>
        <v>--</v>
      </c>
      <c r="BN248" s="89">
        <f>IF(Table645[[#This Row],[Column65]]="--",0,Table645[[#This Row],[Column4]]*Table645[[#This Row],[Column65]])</f>
        <v>0</v>
      </c>
      <c r="BO248" s="163"/>
      <c r="BP248" s="164" t="str">
        <f t="shared" si="164"/>
        <v>--</v>
      </c>
      <c r="BQ248" s="160">
        <f>IF(Table645[[#This Row],[Column68]]="--",0,Table645[[#This Row],[Column4]]*Table645[[#This Row],[Column68]])</f>
        <v>0</v>
      </c>
      <c r="BR248" s="94"/>
      <c r="BS248" s="91" t="str">
        <f t="shared" si="165"/>
        <v>--</v>
      </c>
      <c r="BT248" s="92">
        <f>IF(Table645[[#This Row],[Column71]]="--",0,Table645[[#This Row],[Column4]]*Table645[[#This Row],[Column71]])</f>
        <v>0</v>
      </c>
      <c r="BU248" s="44"/>
      <c r="BV248" s="90"/>
      <c r="BW248" s="91" t="str">
        <f>IF(BV248=0,"--",(Table645[[#This Row],[Column73]]*$BV$4*(IF(J248&lt;0.5001,1,IF(J248&lt;2.0001,2,3)))+BV248/$BV$3)/60/24)</f>
        <v>--</v>
      </c>
      <c r="BX248" s="92">
        <f>IF(Table645[[#This Row],[Column75]]="--",0,Table645[[#This Row],[Column4]]*Table645[[#This Row],[Column75]])</f>
        <v>0</v>
      </c>
      <c r="BY248" s="95" t="s">
        <v>70</v>
      </c>
      <c r="BZ248" s="91" t="str">
        <f>IF(Table645[[#This Row],[Column74]]=0,"--",BW248*$BY$3)</f>
        <v>--</v>
      </c>
      <c r="CA248" s="89">
        <f>IF(Table645[[#This Row],[Column78]]="--",0,Table645[[#This Row],[Column4]]*Table645[[#This Row],[Column78]])</f>
        <v>0</v>
      </c>
      <c r="CB248" s="95" t="s">
        <v>70</v>
      </c>
      <c r="CC248" s="91" t="str">
        <f>IF(Table645[[#This Row],[Column10]]+Table645[[#This Row],[Column74]]=0,"--",J248*$CB$4*$CB$5/(24*60)+IF(Table645[[#This Row],[Column74]]=0,0,$CB$3*Table645[[#This Row],[Column75]]))</f>
        <v>--</v>
      </c>
      <c r="CD248" s="92">
        <f>IF(Table645[[#This Row],[Column81]]="--",0,Table645[[#This Row],[Column4]]*Table645[[#This Row],[Column81]])</f>
        <v>0</v>
      </c>
      <c r="CE248" s="215"/>
      <c r="CF248" s="91" t="str">
        <f t="shared" si="149"/>
        <v>--</v>
      </c>
      <c r="CG248" s="92">
        <f>IF(Table645[[#This Row],[Column84]]="--",0,Table645[[#This Row],[Column4]]*Table645[[#This Row],[Column84]])</f>
        <v>0</v>
      </c>
      <c r="CH248" s="226"/>
      <c r="CI248" s="216"/>
      <c r="CJ248" s="91" t="str">
        <f>IF(CI248=0,"--",(Table645[[#This Row],[Column86]]*$CI$4*(IF(W248&lt;0.5001,1,IF(W248&lt;2.0001,2,3)))+CI248/$CI$3)/60/24)</f>
        <v>--</v>
      </c>
      <c r="CK248" s="92">
        <f>IF(Table645[[#This Row],[Column88]]="--",0,Table645[[#This Row],[Column4]]*Table645[[#This Row],[Column88]])</f>
        <v>0</v>
      </c>
      <c r="CL248" s="217"/>
      <c r="CM248" s="91" t="str">
        <f>IF(Table645[[#This Row],[Column87]]=0,"--",CJ248*$CL$3)</f>
        <v>--</v>
      </c>
      <c r="CN248" s="92">
        <f>IF(Table645[[#This Row],[Column91]]="--",0,Table645[[#This Row],[Column4]]*Table645[[#This Row],[Column91]])</f>
        <v>0</v>
      </c>
      <c r="CO248" s="217"/>
      <c r="CP248" s="91" t="str">
        <f>IF(Table645[[#This Row],[Column10]]+Table645[[#This Row],[Column87]]=0, "--", IF($D248="", 1, $D248) * IF($J248="", 1, $J248) * $CO$3 * $CO$4 * IF(Table645[[#This Row],[Column95]]="", 1, Table645[[#This Row],[Column95]]) / (24 * 60))</f>
        <v>--</v>
      </c>
      <c r="CQ248" s="164"/>
      <c r="CR248" s="92">
        <f>IF(Table645[[#This Row],[Column94]]="--",0,Table645[[#This Row],[Column4]]*Table645[[#This Row],[Column94]])</f>
        <v>0</v>
      </c>
      <c r="CS248" s="218" t="str">
        <f>IF(Table645[[#This Row],[Column87]]="","",Table645[[#This Row],[Column87]])</f>
        <v/>
      </c>
      <c r="CT248" s="91" t="str">
        <f>IF(Table645[[#This Row],[Column97]]="","--",Table645[[#This Row],[Column97]]/$CS$3/60/24)</f>
        <v>--</v>
      </c>
      <c r="CU248" s="92">
        <f>IF(Table645[[#This Row],[Column98]]="--",0,Table645[[#This Row],[Column4]]*Table645[[#This Row],[Column98]])</f>
        <v>0</v>
      </c>
      <c r="CV248" s="93"/>
      <c r="CW248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48" s="91" t="str">
        <f>IF(OR(Table645[[#This Row],[Column74]]&gt;0,Table645[[#This Row],[Column87]]&gt;0),(Table645[[#This Row],[Column73]]+Table645[[#This Row],[Column86]]+1)*$CW$3/60/24,"--")</f>
        <v>--</v>
      </c>
      <c r="CY248" s="92">
        <f>IF(Table645[[#This Row],[Column102]]="--",0,Table645[[#This Row],[Column4]]*Table645[[#This Row],[Column102]])</f>
        <v>0</v>
      </c>
      <c r="CZ248" s="158" t="str">
        <f t="shared" si="166"/>
        <v>--</v>
      </c>
      <c r="DA248" s="153"/>
      <c r="DB248" s="160">
        <f>IF(Table645[[#This Row],[Column104]]="--",0,Table645[[#This Row],[Column4]]*Table645[[#This Row],[Column104]])</f>
        <v>0</v>
      </c>
      <c r="DC248" s="219"/>
      <c r="DD248" s="220" t="str">
        <f>IF(DC248=0,"--",1/$DC$3*1000/(60*60*24)*Table645[[#This Row],[Column107]])</f>
        <v>--</v>
      </c>
      <c r="DE248" s="160">
        <f>IF(Table645[[#This Row],[Column108]]="--",0,Table645[[#This Row],[Column4]]*Table645[[#This Row],[Column108]])</f>
        <v>0</v>
      </c>
      <c r="DF248" s="101" t="s">
        <v>70</v>
      </c>
      <c r="DG248" s="91" t="str">
        <f t="shared" si="167"/>
        <v>--</v>
      </c>
      <c r="DH248" s="89">
        <f>IF(Table645[[#This Row],[Column111]]="--",0,Table645[[#This Row],[Column4]]*Table645[[#This Row],[Column111]])</f>
        <v>0</v>
      </c>
      <c r="DI248" s="96"/>
      <c r="DJ248" s="96"/>
      <c r="DK248" s="96"/>
      <c r="DL248" s="96"/>
      <c r="DM248" s="96"/>
      <c r="DN248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48" s="89">
        <f>IF(Table645[[#This Row],[Column118]]="--",0,Table645[[#This Row],[Column4]]*Table645[[#This Row],[Column118]])</f>
        <v>0</v>
      </c>
      <c r="DP248" s="96"/>
      <c r="DQ248" s="96"/>
      <c r="DR248" s="91" t="str">
        <f t="shared" si="168"/>
        <v>--</v>
      </c>
      <c r="DS248" s="89">
        <f>IF(Table645[[#This Row],[Column122]]="--",0,Table645[[#This Row],[Column4]]*Table645[[#This Row],[Column122]])</f>
        <v>0</v>
      </c>
      <c r="DT248" t="str">
        <f>IF(Table645[[#This Row],[Column125]]=0,"--",Table645[[#This Row],[Column125]]*Table645[[#This Row],[Column126]]*Table645[[#This Row],[Column127]]/1000000000)</f>
        <v>--</v>
      </c>
      <c r="DU248" s="53"/>
      <c r="DV248" s="53"/>
      <c r="DW248" s="53"/>
      <c r="DX248" s="91" t="str">
        <f t="shared" si="169"/>
        <v>--</v>
      </c>
      <c r="DY248" s="89">
        <f>IF(Table645[[#This Row],[Column128]]="--",0,Table645[[#This Row],[Column4]]*Table645[[#This Row],[Column128]])</f>
        <v>0</v>
      </c>
      <c r="EA248" s="89">
        <f>IF(Table645[[#This Row],[Column128]]="--",0,Table645[[#This Row],[Column4]]*Table645[[#This Row],[Column128]])</f>
        <v>0</v>
      </c>
      <c r="EC248" s="89">
        <f>IF(Table645[[#This Row],[Column128]]="--",0,Table645[[#This Row],[Column4]]*Table645[[#This Row],[Column128]])</f>
        <v>0</v>
      </c>
      <c r="EE248" s="89">
        <f>IF(Table645[[#This Row],[Column128]]="--",0,Table645[[#This Row],[Column4]]*Table645[[#This Row],[Column128]])</f>
        <v>0</v>
      </c>
      <c r="EG248" s="89">
        <f>IF(Table645[[#This Row],[Column128]]="--",0,Table645[[#This Row],[Column4]]*Table645[[#This Row],[Column128]])</f>
        <v>0</v>
      </c>
      <c r="EI248" s="89">
        <f>IF(Table645[[#This Row],[Column128]]="--",0,Table645[[#This Row],[Column4]]*Table645[[#This Row],[Column128]])</f>
        <v>0</v>
      </c>
    </row>
    <row r="249" spans="1:139" x14ac:dyDescent="0.25">
      <c r="A249" s="140"/>
      <c r="B249" s="79"/>
      <c r="C249" s="140"/>
      <c r="D249" s="167"/>
      <c r="E249" s="52"/>
      <c r="F249" s="81"/>
      <c r="G249" s="81"/>
      <c r="H249" s="102" t="str">
        <f t="shared" si="160"/>
        <v>--</v>
      </c>
      <c r="I249" s="100">
        <f>IF(Table645[[#This Row],[Column8]]="--",0,Table645[[#This Row],[Column4]]*Table645[[#This Row],[Column8]])</f>
        <v>0</v>
      </c>
      <c r="J249" s="169"/>
      <c r="K249" s="85">
        <f>Table645[[#This Row],[Column4]]*Table645[[#This Row],[Column10]]</f>
        <v>0</v>
      </c>
      <c r="L249" s="170" t="str">
        <f t="shared" si="161"/>
        <v>--</v>
      </c>
      <c r="M249" s="214">
        <f>IF(Table645[[#This Row],[Column10]]=0,0,Table645[[#This Row],[Column4]]*Table645[[#This Row],[Column12]])</f>
        <v>0</v>
      </c>
      <c r="N249" s="87" t="str">
        <f t="shared" si="162"/>
        <v>--</v>
      </c>
      <c r="O249" s="138"/>
      <c r="AZ249" s="89">
        <f>IF(Table645[[#This Row],[Column14]]="--",0,Table645[[#This Row],[Column4]]*Table645[[#This Row],[Column14]])</f>
        <v>0</v>
      </c>
      <c r="BA249" s="90"/>
      <c r="BB249" s="91" t="str">
        <f>IF(BA249=0,"--",BA249*$BA$3*IF(Table645[[#This Row],[Column5]]&lt;4.1,1,2)/60/24)</f>
        <v>--</v>
      </c>
      <c r="BC249" s="92">
        <f>IF(Table645[[#This Row],[Column54]]="--",0,Table645[[#This Row],[Column4]]*Table645[[#This Row],[Column54]])</f>
        <v>0</v>
      </c>
      <c r="BD249" s="119"/>
      <c r="BE249" s="119"/>
      <c r="BF249" s="119"/>
      <c r="BG249" s="91" t="str">
        <f>IF(BD249+Table645[[#This Row],[Column58]]=0,"--",(BD249*$BF$3*Table645[[#This Row],[Column57]]+Table645[[#This Row],[Column58]]*$BF$4)/60/24)</f>
        <v>--</v>
      </c>
      <c r="BH249" s="92">
        <f>IF(Table645[[#This Row],[Column59]]="--",0,Table645[[#This Row],[Column4]]*Table645[[#This Row],[Column59]])</f>
        <v>0</v>
      </c>
      <c r="BI249" s="119"/>
      <c r="BJ249" s="91" t="str">
        <f t="shared" si="148"/>
        <v>--</v>
      </c>
      <c r="BK249" s="92">
        <f>IF(Table645[[#This Row],[Column62]]="--",0,Table645[[#This Row],[Column4]]*Table645[[#This Row],[Column62]])</f>
        <v>0</v>
      </c>
      <c r="BL249" s="93"/>
      <c r="BM249" s="91" t="str">
        <f t="shared" si="163"/>
        <v>--</v>
      </c>
      <c r="BN249" s="89">
        <f>IF(Table645[[#This Row],[Column65]]="--",0,Table645[[#This Row],[Column4]]*Table645[[#This Row],[Column65]])</f>
        <v>0</v>
      </c>
      <c r="BO249" s="163"/>
      <c r="BP249" s="164" t="str">
        <f t="shared" si="164"/>
        <v>--</v>
      </c>
      <c r="BQ249" s="160">
        <f>IF(Table645[[#This Row],[Column68]]="--",0,Table645[[#This Row],[Column4]]*Table645[[#This Row],[Column68]])</f>
        <v>0</v>
      </c>
      <c r="BR249" s="94"/>
      <c r="BS249" s="91" t="str">
        <f t="shared" si="165"/>
        <v>--</v>
      </c>
      <c r="BT249" s="92">
        <f>IF(Table645[[#This Row],[Column71]]="--",0,Table645[[#This Row],[Column4]]*Table645[[#This Row],[Column71]])</f>
        <v>0</v>
      </c>
      <c r="BU249" s="44"/>
      <c r="BV249" s="90"/>
      <c r="BW249" s="91" t="str">
        <f>IF(BV249=0,"--",(Table645[[#This Row],[Column73]]*$BV$4*(IF(J249&lt;0.5001,1,IF(J249&lt;2.0001,2,3)))+BV249/$BV$3)/60/24)</f>
        <v>--</v>
      </c>
      <c r="BX249" s="92">
        <f>IF(Table645[[#This Row],[Column75]]="--",0,Table645[[#This Row],[Column4]]*Table645[[#This Row],[Column75]])</f>
        <v>0</v>
      </c>
      <c r="BY249" s="95" t="s">
        <v>70</v>
      </c>
      <c r="BZ249" s="91" t="str">
        <f>IF(Table645[[#This Row],[Column74]]=0,"--",BW249*$BY$3)</f>
        <v>--</v>
      </c>
      <c r="CA249" s="89">
        <f>IF(Table645[[#This Row],[Column78]]="--",0,Table645[[#This Row],[Column4]]*Table645[[#This Row],[Column78]])</f>
        <v>0</v>
      </c>
      <c r="CB249" s="95" t="s">
        <v>70</v>
      </c>
      <c r="CC249" s="91" t="str">
        <f>IF(Table645[[#This Row],[Column10]]+Table645[[#This Row],[Column74]]=0,"--",J249*$CB$4*$CB$5/(24*60)+IF(Table645[[#This Row],[Column74]]=0,0,$CB$3*Table645[[#This Row],[Column75]]))</f>
        <v>--</v>
      </c>
      <c r="CD249" s="92">
        <f>IF(Table645[[#This Row],[Column81]]="--",0,Table645[[#This Row],[Column4]]*Table645[[#This Row],[Column81]])</f>
        <v>0</v>
      </c>
      <c r="CE249" s="215"/>
      <c r="CF249" s="91" t="str">
        <f t="shared" si="149"/>
        <v>--</v>
      </c>
      <c r="CG249" s="92">
        <f>IF(Table645[[#This Row],[Column84]]="--",0,Table645[[#This Row],[Column4]]*Table645[[#This Row],[Column84]])</f>
        <v>0</v>
      </c>
      <c r="CH249" s="226"/>
      <c r="CI249" s="216"/>
      <c r="CJ249" s="91" t="str">
        <f>IF(CI249=0,"--",(Table645[[#This Row],[Column86]]*$CI$4*(IF(W249&lt;0.5001,1,IF(W249&lt;2.0001,2,3)))+CI249/$CI$3)/60/24)</f>
        <v>--</v>
      </c>
      <c r="CK249" s="92">
        <f>IF(Table645[[#This Row],[Column88]]="--",0,Table645[[#This Row],[Column4]]*Table645[[#This Row],[Column88]])</f>
        <v>0</v>
      </c>
      <c r="CL249" s="217"/>
      <c r="CM249" s="91" t="str">
        <f>IF(Table645[[#This Row],[Column87]]=0,"--",CJ249*$CL$3)</f>
        <v>--</v>
      </c>
      <c r="CN249" s="92">
        <f>IF(Table645[[#This Row],[Column91]]="--",0,Table645[[#This Row],[Column4]]*Table645[[#This Row],[Column91]])</f>
        <v>0</v>
      </c>
      <c r="CO249" s="217"/>
      <c r="CP249" s="91" t="str">
        <f>IF(Table645[[#This Row],[Column10]]+Table645[[#This Row],[Column87]]=0, "--", IF($D249="", 1, $D249) * IF($J249="", 1, $J249) * $CO$3 * $CO$4 * IF(Table645[[#This Row],[Column95]]="", 1, Table645[[#This Row],[Column95]]) / (24 * 60))</f>
        <v>--</v>
      </c>
      <c r="CQ249" s="164"/>
      <c r="CR249" s="92">
        <f>IF(Table645[[#This Row],[Column94]]="--",0,Table645[[#This Row],[Column4]]*Table645[[#This Row],[Column94]])</f>
        <v>0</v>
      </c>
      <c r="CS249" s="218" t="str">
        <f>IF(Table645[[#This Row],[Column87]]="","",Table645[[#This Row],[Column87]])</f>
        <v/>
      </c>
      <c r="CT249" s="91" t="str">
        <f>IF(Table645[[#This Row],[Column97]]="","--",Table645[[#This Row],[Column97]]/$CS$3/60/24)</f>
        <v>--</v>
      </c>
      <c r="CU249" s="92">
        <f>IF(Table645[[#This Row],[Column98]]="--",0,Table645[[#This Row],[Column4]]*Table645[[#This Row],[Column98]])</f>
        <v>0</v>
      </c>
      <c r="CV249" s="93"/>
      <c r="CW249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49" s="91" t="str">
        <f>IF(OR(Table645[[#This Row],[Column74]]&gt;0,Table645[[#This Row],[Column87]]&gt;0),(Table645[[#This Row],[Column73]]+Table645[[#This Row],[Column86]]+1)*$CW$3/60/24,"--")</f>
        <v>--</v>
      </c>
      <c r="CY249" s="92">
        <f>IF(Table645[[#This Row],[Column102]]="--",0,Table645[[#This Row],[Column4]]*Table645[[#This Row],[Column102]])</f>
        <v>0</v>
      </c>
      <c r="CZ249" s="158" t="str">
        <f t="shared" si="166"/>
        <v>--</v>
      </c>
      <c r="DA249" s="153"/>
      <c r="DB249" s="160">
        <f>IF(Table645[[#This Row],[Column104]]="--",0,Table645[[#This Row],[Column4]]*Table645[[#This Row],[Column104]])</f>
        <v>0</v>
      </c>
      <c r="DC249" s="219"/>
      <c r="DD249" s="220" t="str">
        <f>IF(DC249=0,"--",1/$DC$3*1000/(60*60*24)*Table645[[#This Row],[Column107]])</f>
        <v>--</v>
      </c>
      <c r="DE249" s="160">
        <f>IF(Table645[[#This Row],[Column108]]="--",0,Table645[[#This Row],[Column4]]*Table645[[#This Row],[Column108]])</f>
        <v>0</v>
      </c>
      <c r="DF249" s="101" t="s">
        <v>70</v>
      </c>
      <c r="DG249" s="91" t="str">
        <f t="shared" si="167"/>
        <v>--</v>
      </c>
      <c r="DH249" s="89">
        <f>IF(Table645[[#This Row],[Column111]]="--",0,Table645[[#This Row],[Column4]]*Table645[[#This Row],[Column111]])</f>
        <v>0</v>
      </c>
      <c r="DI249" s="96"/>
      <c r="DJ249" s="96"/>
      <c r="DK249" s="96"/>
      <c r="DL249" s="96"/>
      <c r="DM249" s="96"/>
      <c r="DN249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49" s="89">
        <f>IF(Table645[[#This Row],[Column118]]="--",0,Table645[[#This Row],[Column4]]*Table645[[#This Row],[Column118]])</f>
        <v>0</v>
      </c>
      <c r="DP249" s="96"/>
      <c r="DQ249" s="96"/>
      <c r="DR249" s="91" t="str">
        <f t="shared" si="168"/>
        <v>--</v>
      </c>
      <c r="DS249" s="89">
        <f>IF(Table645[[#This Row],[Column122]]="--",0,Table645[[#This Row],[Column4]]*Table645[[#This Row],[Column122]])</f>
        <v>0</v>
      </c>
      <c r="DT249" t="str">
        <f>IF(Table645[[#This Row],[Column125]]=0,"--",Table645[[#This Row],[Column125]]*Table645[[#This Row],[Column126]]*Table645[[#This Row],[Column127]]/1000000000)</f>
        <v>--</v>
      </c>
      <c r="DU249" s="53"/>
      <c r="DV249" s="53"/>
      <c r="DW249" s="53"/>
      <c r="DX249" s="91" t="str">
        <f t="shared" si="169"/>
        <v>--</v>
      </c>
      <c r="DY249" s="89">
        <f>IF(Table645[[#This Row],[Column128]]="--",0,Table645[[#This Row],[Column4]]*Table645[[#This Row],[Column128]])</f>
        <v>0</v>
      </c>
      <c r="EA249" s="89">
        <f>IF(Table645[[#This Row],[Column128]]="--",0,Table645[[#This Row],[Column4]]*Table645[[#This Row],[Column128]])</f>
        <v>0</v>
      </c>
      <c r="EC249" s="89">
        <f>IF(Table645[[#This Row],[Column128]]="--",0,Table645[[#This Row],[Column4]]*Table645[[#This Row],[Column128]])</f>
        <v>0</v>
      </c>
      <c r="EE249" s="89">
        <f>IF(Table645[[#This Row],[Column128]]="--",0,Table645[[#This Row],[Column4]]*Table645[[#This Row],[Column128]])</f>
        <v>0</v>
      </c>
      <c r="EG249" s="89">
        <f>IF(Table645[[#This Row],[Column128]]="--",0,Table645[[#This Row],[Column4]]*Table645[[#This Row],[Column128]])</f>
        <v>0</v>
      </c>
      <c r="EI249" s="89">
        <f>IF(Table645[[#This Row],[Column128]]="--",0,Table645[[#This Row],[Column4]]*Table645[[#This Row],[Column128]])</f>
        <v>0</v>
      </c>
    </row>
    <row r="250" spans="1:139" x14ac:dyDescent="0.25">
      <c r="A250" s="140"/>
      <c r="B250" s="79"/>
      <c r="C250" s="140"/>
      <c r="D250" s="167"/>
      <c r="E250" s="52"/>
      <c r="F250" s="81"/>
      <c r="G250" s="81"/>
      <c r="H250" s="102" t="str">
        <f t="shared" si="160"/>
        <v>--</v>
      </c>
      <c r="I250" s="100">
        <f>IF(Table645[[#This Row],[Column8]]="--",0,Table645[[#This Row],[Column4]]*Table645[[#This Row],[Column8]])</f>
        <v>0</v>
      </c>
      <c r="J250" s="169"/>
      <c r="K250" s="85">
        <f>Table645[[#This Row],[Column4]]*Table645[[#This Row],[Column10]]</f>
        <v>0</v>
      </c>
      <c r="L250" s="170" t="str">
        <f t="shared" si="161"/>
        <v>--</v>
      </c>
      <c r="M250" s="214">
        <f>IF(Table645[[#This Row],[Column10]]=0,0,Table645[[#This Row],[Column4]]*Table645[[#This Row],[Column12]])</f>
        <v>0</v>
      </c>
      <c r="N250" s="87" t="str">
        <f t="shared" si="162"/>
        <v>--</v>
      </c>
      <c r="O250" s="138"/>
      <c r="AZ250" s="89">
        <f>IF(Table645[[#This Row],[Column14]]="--",0,Table645[[#This Row],[Column4]]*Table645[[#This Row],[Column14]])</f>
        <v>0</v>
      </c>
      <c r="BA250" s="90"/>
      <c r="BB250" s="91" t="str">
        <f>IF(BA250=0,"--",BA250*$BA$3*IF(Table645[[#This Row],[Column5]]&lt;4.1,1,2)/60/24)</f>
        <v>--</v>
      </c>
      <c r="BC250" s="92">
        <f>IF(Table645[[#This Row],[Column54]]="--",0,Table645[[#This Row],[Column4]]*Table645[[#This Row],[Column54]])</f>
        <v>0</v>
      </c>
      <c r="BD250" s="119"/>
      <c r="BE250" s="119"/>
      <c r="BF250" s="119"/>
      <c r="BG250" s="91" t="str">
        <f>IF(BD250+Table645[[#This Row],[Column58]]=0,"--",(BD250*$BF$3*Table645[[#This Row],[Column57]]+Table645[[#This Row],[Column58]]*$BF$4)/60/24)</f>
        <v>--</v>
      </c>
      <c r="BH250" s="92">
        <f>IF(Table645[[#This Row],[Column59]]="--",0,Table645[[#This Row],[Column4]]*Table645[[#This Row],[Column59]])</f>
        <v>0</v>
      </c>
      <c r="BI250" s="119"/>
      <c r="BJ250" s="91" t="str">
        <f t="shared" si="148"/>
        <v>--</v>
      </c>
      <c r="BK250" s="92">
        <f>IF(Table645[[#This Row],[Column62]]="--",0,Table645[[#This Row],[Column4]]*Table645[[#This Row],[Column62]])</f>
        <v>0</v>
      </c>
      <c r="BL250" s="93"/>
      <c r="BM250" s="91" t="str">
        <f t="shared" si="163"/>
        <v>--</v>
      </c>
      <c r="BN250" s="89">
        <f>IF(Table645[[#This Row],[Column65]]="--",0,Table645[[#This Row],[Column4]]*Table645[[#This Row],[Column65]])</f>
        <v>0</v>
      </c>
      <c r="BO250" s="163"/>
      <c r="BP250" s="164" t="str">
        <f t="shared" si="164"/>
        <v>--</v>
      </c>
      <c r="BQ250" s="160">
        <f>IF(Table645[[#This Row],[Column68]]="--",0,Table645[[#This Row],[Column4]]*Table645[[#This Row],[Column68]])</f>
        <v>0</v>
      </c>
      <c r="BR250" s="94"/>
      <c r="BS250" s="91" t="str">
        <f t="shared" si="165"/>
        <v>--</v>
      </c>
      <c r="BT250" s="92">
        <f>IF(Table645[[#This Row],[Column71]]="--",0,Table645[[#This Row],[Column4]]*Table645[[#This Row],[Column71]])</f>
        <v>0</v>
      </c>
      <c r="BU250" s="44"/>
      <c r="BV250" s="90"/>
      <c r="BW250" s="91" t="str">
        <f>IF(BV250=0,"--",(Table645[[#This Row],[Column73]]*$BV$4*(IF(J250&lt;0.5001,1,IF(J250&lt;2.0001,2,3)))+BV250/$BV$3)/60/24)</f>
        <v>--</v>
      </c>
      <c r="BX250" s="92">
        <f>IF(Table645[[#This Row],[Column75]]="--",0,Table645[[#This Row],[Column4]]*Table645[[#This Row],[Column75]])</f>
        <v>0</v>
      </c>
      <c r="BY250" s="95" t="s">
        <v>70</v>
      </c>
      <c r="BZ250" s="91" t="str">
        <f>IF(Table645[[#This Row],[Column74]]=0,"--",BW250*$BY$3)</f>
        <v>--</v>
      </c>
      <c r="CA250" s="89">
        <f>IF(Table645[[#This Row],[Column78]]="--",0,Table645[[#This Row],[Column4]]*Table645[[#This Row],[Column78]])</f>
        <v>0</v>
      </c>
      <c r="CB250" s="95" t="s">
        <v>70</v>
      </c>
      <c r="CC250" s="91" t="str">
        <f>IF(Table645[[#This Row],[Column10]]+Table645[[#This Row],[Column74]]=0,"--",J250*$CB$4*$CB$5/(24*60)+IF(Table645[[#This Row],[Column74]]=0,0,$CB$3*Table645[[#This Row],[Column75]]))</f>
        <v>--</v>
      </c>
      <c r="CD250" s="92">
        <f>IF(Table645[[#This Row],[Column81]]="--",0,Table645[[#This Row],[Column4]]*Table645[[#This Row],[Column81]])</f>
        <v>0</v>
      </c>
      <c r="CE250" s="215"/>
      <c r="CF250" s="91" t="str">
        <f t="shared" si="149"/>
        <v>--</v>
      </c>
      <c r="CG250" s="92">
        <f>IF(Table645[[#This Row],[Column84]]="--",0,Table645[[#This Row],[Column4]]*Table645[[#This Row],[Column84]])</f>
        <v>0</v>
      </c>
      <c r="CH250" s="226"/>
      <c r="CI250" s="216"/>
      <c r="CJ250" s="91" t="str">
        <f>IF(CI250=0,"--",(Table645[[#This Row],[Column86]]*$CI$4*(IF(W250&lt;0.5001,1,IF(W250&lt;2.0001,2,3)))+CI250/$CI$3)/60/24)</f>
        <v>--</v>
      </c>
      <c r="CK250" s="92">
        <f>IF(Table645[[#This Row],[Column88]]="--",0,Table645[[#This Row],[Column4]]*Table645[[#This Row],[Column88]])</f>
        <v>0</v>
      </c>
      <c r="CL250" s="217"/>
      <c r="CM250" s="91" t="str">
        <f>IF(Table645[[#This Row],[Column87]]=0,"--",CJ250*$CL$3)</f>
        <v>--</v>
      </c>
      <c r="CN250" s="92">
        <f>IF(Table645[[#This Row],[Column91]]="--",0,Table645[[#This Row],[Column4]]*Table645[[#This Row],[Column91]])</f>
        <v>0</v>
      </c>
      <c r="CO250" s="217"/>
      <c r="CP250" s="91" t="str">
        <f>IF(Table645[[#This Row],[Column10]]+Table645[[#This Row],[Column87]]=0, "--", IF($D250="", 1, $D250) * IF($J250="", 1, $J250) * $CO$3 * $CO$4 * IF(Table645[[#This Row],[Column95]]="", 1, Table645[[#This Row],[Column95]]) / (24 * 60))</f>
        <v>--</v>
      </c>
      <c r="CQ250" s="164"/>
      <c r="CR250" s="92">
        <f>IF(Table645[[#This Row],[Column94]]="--",0,Table645[[#This Row],[Column4]]*Table645[[#This Row],[Column94]])</f>
        <v>0</v>
      </c>
      <c r="CS250" s="218" t="str">
        <f>IF(Table645[[#This Row],[Column87]]="","",Table645[[#This Row],[Column87]])</f>
        <v/>
      </c>
      <c r="CT250" s="91" t="str">
        <f>IF(Table645[[#This Row],[Column97]]="","--",Table645[[#This Row],[Column97]]/$CS$3/60/24)</f>
        <v>--</v>
      </c>
      <c r="CU250" s="92">
        <f>IF(Table645[[#This Row],[Column98]]="--",0,Table645[[#This Row],[Column4]]*Table645[[#This Row],[Column98]])</f>
        <v>0</v>
      </c>
      <c r="CV250" s="93"/>
      <c r="CW250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50" s="91" t="str">
        <f>IF(OR(Table645[[#This Row],[Column74]]&gt;0,Table645[[#This Row],[Column87]]&gt;0),(Table645[[#This Row],[Column73]]+Table645[[#This Row],[Column86]]+1)*$CW$3/60/24,"--")</f>
        <v>--</v>
      </c>
      <c r="CY250" s="92">
        <f>IF(Table645[[#This Row],[Column102]]="--",0,Table645[[#This Row],[Column4]]*Table645[[#This Row],[Column102]])</f>
        <v>0</v>
      </c>
      <c r="CZ250" s="158" t="str">
        <f t="shared" si="166"/>
        <v>--</v>
      </c>
      <c r="DA250" s="153"/>
      <c r="DB250" s="160">
        <f>IF(Table645[[#This Row],[Column104]]="--",0,Table645[[#This Row],[Column4]]*Table645[[#This Row],[Column104]])</f>
        <v>0</v>
      </c>
      <c r="DC250" s="219"/>
      <c r="DD250" s="220" t="str">
        <f>IF(DC250=0,"--",1/$DC$3*1000/(60*60*24)*Table645[[#This Row],[Column107]])</f>
        <v>--</v>
      </c>
      <c r="DE250" s="160">
        <f>IF(Table645[[#This Row],[Column108]]="--",0,Table645[[#This Row],[Column4]]*Table645[[#This Row],[Column108]])</f>
        <v>0</v>
      </c>
      <c r="DF250" s="101" t="s">
        <v>70</v>
      </c>
      <c r="DG250" s="91" t="str">
        <f t="shared" si="167"/>
        <v>--</v>
      </c>
      <c r="DH250" s="89">
        <f>IF(Table645[[#This Row],[Column111]]="--",0,Table645[[#This Row],[Column4]]*Table645[[#This Row],[Column111]])</f>
        <v>0</v>
      </c>
      <c r="DI250" s="96"/>
      <c r="DJ250" s="96"/>
      <c r="DK250" s="96"/>
      <c r="DL250" s="96"/>
      <c r="DM250" s="96"/>
      <c r="DN250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50" s="89">
        <f>IF(Table645[[#This Row],[Column118]]="--",0,Table645[[#This Row],[Column4]]*Table645[[#This Row],[Column118]])</f>
        <v>0</v>
      </c>
      <c r="DP250" s="96"/>
      <c r="DQ250" s="96"/>
      <c r="DR250" s="91" t="str">
        <f t="shared" si="168"/>
        <v>--</v>
      </c>
      <c r="DS250" s="89">
        <f>IF(Table645[[#This Row],[Column122]]="--",0,Table645[[#This Row],[Column4]]*Table645[[#This Row],[Column122]])</f>
        <v>0</v>
      </c>
      <c r="DT250" t="str">
        <f>IF(Table645[[#This Row],[Column125]]=0,"--",Table645[[#This Row],[Column125]]*Table645[[#This Row],[Column126]]*Table645[[#This Row],[Column127]]/1000000000)</f>
        <v>--</v>
      </c>
      <c r="DU250" s="53"/>
      <c r="DV250" s="53"/>
      <c r="DW250" s="53"/>
      <c r="DX250" s="91" t="str">
        <f t="shared" si="169"/>
        <v>--</v>
      </c>
      <c r="DY250" s="89">
        <f>IF(Table645[[#This Row],[Column128]]="--",0,Table645[[#This Row],[Column4]]*Table645[[#This Row],[Column128]])</f>
        <v>0</v>
      </c>
      <c r="EA250" s="89">
        <f>IF(Table645[[#This Row],[Column128]]="--",0,Table645[[#This Row],[Column4]]*Table645[[#This Row],[Column128]])</f>
        <v>0</v>
      </c>
      <c r="EC250" s="89">
        <f>IF(Table645[[#This Row],[Column128]]="--",0,Table645[[#This Row],[Column4]]*Table645[[#This Row],[Column128]])</f>
        <v>0</v>
      </c>
      <c r="EE250" s="89">
        <f>IF(Table645[[#This Row],[Column128]]="--",0,Table645[[#This Row],[Column4]]*Table645[[#This Row],[Column128]])</f>
        <v>0</v>
      </c>
      <c r="EG250" s="89">
        <f>IF(Table645[[#This Row],[Column128]]="--",0,Table645[[#This Row],[Column4]]*Table645[[#This Row],[Column128]])</f>
        <v>0</v>
      </c>
      <c r="EI250" s="89">
        <f>IF(Table645[[#This Row],[Column128]]="--",0,Table645[[#This Row],[Column4]]*Table645[[#This Row],[Column128]])</f>
        <v>0</v>
      </c>
    </row>
    <row r="251" spans="1:139" x14ac:dyDescent="0.25">
      <c r="A251" s="140"/>
      <c r="B251" s="79"/>
      <c r="C251" s="140"/>
      <c r="D251" s="167"/>
      <c r="E251" s="52"/>
      <c r="F251" s="81"/>
      <c r="G251" s="81"/>
      <c r="H251" s="102" t="str">
        <f t="shared" si="160"/>
        <v>--</v>
      </c>
      <c r="I251" s="100">
        <f>IF(Table645[[#This Row],[Column8]]="--",0,Table645[[#This Row],[Column4]]*Table645[[#This Row],[Column8]])</f>
        <v>0</v>
      </c>
      <c r="J251" s="169"/>
      <c r="K251" s="85">
        <f>Table645[[#This Row],[Column4]]*Table645[[#This Row],[Column10]]</f>
        <v>0</v>
      </c>
      <c r="L251" s="170" t="str">
        <f t="shared" si="161"/>
        <v>--</v>
      </c>
      <c r="M251" s="214">
        <f>IF(Table645[[#This Row],[Column10]]=0,0,Table645[[#This Row],[Column4]]*Table645[[#This Row],[Column12]])</f>
        <v>0</v>
      </c>
      <c r="N251" s="87" t="str">
        <f t="shared" si="162"/>
        <v>--</v>
      </c>
      <c r="O251" s="138"/>
      <c r="AZ251" s="89">
        <f>IF(Table645[[#This Row],[Column14]]="--",0,Table645[[#This Row],[Column4]]*Table645[[#This Row],[Column14]])</f>
        <v>0</v>
      </c>
      <c r="BA251" s="90"/>
      <c r="BB251" s="91" t="str">
        <f>IF(BA251=0,"--",BA251*$BA$3*IF(Table645[[#This Row],[Column5]]&lt;4.1,1,2)/60/24)</f>
        <v>--</v>
      </c>
      <c r="BC251" s="92">
        <f>IF(Table645[[#This Row],[Column54]]="--",0,Table645[[#This Row],[Column4]]*Table645[[#This Row],[Column54]])</f>
        <v>0</v>
      </c>
      <c r="BD251" s="119"/>
      <c r="BE251" s="119"/>
      <c r="BF251" s="119"/>
      <c r="BG251" s="91" t="str">
        <f>IF(BD251+Table645[[#This Row],[Column58]]=0,"--",(BD251*$BF$3*Table645[[#This Row],[Column57]]+Table645[[#This Row],[Column58]]*$BF$4)/60/24)</f>
        <v>--</v>
      </c>
      <c r="BH251" s="92">
        <f>IF(Table645[[#This Row],[Column59]]="--",0,Table645[[#This Row],[Column4]]*Table645[[#This Row],[Column59]])</f>
        <v>0</v>
      </c>
      <c r="BI251" s="119"/>
      <c r="BJ251" s="91" t="str">
        <f t="shared" si="148"/>
        <v>--</v>
      </c>
      <c r="BK251" s="92">
        <f>IF(Table645[[#This Row],[Column62]]="--",0,Table645[[#This Row],[Column4]]*Table645[[#This Row],[Column62]])</f>
        <v>0</v>
      </c>
      <c r="BL251" s="93"/>
      <c r="BM251" s="91" t="str">
        <f t="shared" si="163"/>
        <v>--</v>
      </c>
      <c r="BN251" s="89">
        <f>IF(Table645[[#This Row],[Column65]]="--",0,Table645[[#This Row],[Column4]]*Table645[[#This Row],[Column65]])</f>
        <v>0</v>
      </c>
      <c r="BO251" s="163"/>
      <c r="BP251" s="164" t="str">
        <f t="shared" si="164"/>
        <v>--</v>
      </c>
      <c r="BQ251" s="160">
        <f>IF(Table645[[#This Row],[Column68]]="--",0,Table645[[#This Row],[Column4]]*Table645[[#This Row],[Column68]])</f>
        <v>0</v>
      </c>
      <c r="BR251" s="94"/>
      <c r="BS251" s="91" t="str">
        <f t="shared" si="165"/>
        <v>--</v>
      </c>
      <c r="BT251" s="92">
        <f>IF(Table645[[#This Row],[Column71]]="--",0,Table645[[#This Row],[Column4]]*Table645[[#This Row],[Column71]])</f>
        <v>0</v>
      </c>
      <c r="BU251" s="44"/>
      <c r="BV251" s="90"/>
      <c r="BW251" s="91" t="str">
        <f>IF(BV251=0,"--",(Table645[[#This Row],[Column73]]*$BV$4*(IF(J251&lt;0.5001,1,IF(J251&lt;2.0001,2,3)))+BV251/$BV$3)/60/24)</f>
        <v>--</v>
      </c>
      <c r="BX251" s="92">
        <f>IF(Table645[[#This Row],[Column75]]="--",0,Table645[[#This Row],[Column4]]*Table645[[#This Row],[Column75]])</f>
        <v>0</v>
      </c>
      <c r="BY251" s="95" t="s">
        <v>70</v>
      </c>
      <c r="BZ251" s="91" t="str">
        <f>IF(Table645[[#This Row],[Column74]]=0,"--",BW251*$BY$3)</f>
        <v>--</v>
      </c>
      <c r="CA251" s="89">
        <f>IF(Table645[[#This Row],[Column78]]="--",0,Table645[[#This Row],[Column4]]*Table645[[#This Row],[Column78]])</f>
        <v>0</v>
      </c>
      <c r="CB251" s="95" t="s">
        <v>70</v>
      </c>
      <c r="CC251" s="91" t="str">
        <f>IF(Table645[[#This Row],[Column10]]+Table645[[#This Row],[Column74]]=0,"--",J251*$CB$4*$CB$5/(24*60)+IF(Table645[[#This Row],[Column74]]=0,0,$CB$3*Table645[[#This Row],[Column75]]))</f>
        <v>--</v>
      </c>
      <c r="CD251" s="92">
        <f>IF(Table645[[#This Row],[Column81]]="--",0,Table645[[#This Row],[Column4]]*Table645[[#This Row],[Column81]])</f>
        <v>0</v>
      </c>
      <c r="CE251" s="215"/>
      <c r="CF251" s="91" t="str">
        <f t="shared" si="149"/>
        <v>--</v>
      </c>
      <c r="CG251" s="92">
        <f>IF(Table645[[#This Row],[Column84]]="--",0,Table645[[#This Row],[Column4]]*Table645[[#This Row],[Column84]])</f>
        <v>0</v>
      </c>
      <c r="CH251" s="226"/>
      <c r="CI251" s="216"/>
      <c r="CJ251" s="91" t="str">
        <f>IF(CI251=0,"--",(Table645[[#This Row],[Column86]]*$CI$4*(IF(W251&lt;0.5001,1,IF(W251&lt;2.0001,2,3)))+CI251/$CI$3)/60/24)</f>
        <v>--</v>
      </c>
      <c r="CK251" s="92">
        <f>IF(Table645[[#This Row],[Column88]]="--",0,Table645[[#This Row],[Column4]]*Table645[[#This Row],[Column88]])</f>
        <v>0</v>
      </c>
      <c r="CL251" s="217"/>
      <c r="CM251" s="91" t="str">
        <f>IF(Table645[[#This Row],[Column87]]=0,"--",CJ251*$CL$3)</f>
        <v>--</v>
      </c>
      <c r="CN251" s="92">
        <f>IF(Table645[[#This Row],[Column91]]="--",0,Table645[[#This Row],[Column4]]*Table645[[#This Row],[Column91]])</f>
        <v>0</v>
      </c>
      <c r="CO251" s="217"/>
      <c r="CP251" s="91" t="str">
        <f>IF(Table645[[#This Row],[Column10]]+Table645[[#This Row],[Column87]]=0, "--", IF($D251="", 1, $D251) * IF($J251="", 1, $J251) * $CO$3 * $CO$4 * IF(Table645[[#This Row],[Column95]]="", 1, Table645[[#This Row],[Column95]]) / (24 * 60))</f>
        <v>--</v>
      </c>
      <c r="CQ251" s="164"/>
      <c r="CR251" s="92">
        <f>IF(Table645[[#This Row],[Column94]]="--",0,Table645[[#This Row],[Column4]]*Table645[[#This Row],[Column94]])</f>
        <v>0</v>
      </c>
      <c r="CS251" s="218" t="str">
        <f>IF(Table645[[#This Row],[Column87]]="","",Table645[[#This Row],[Column87]])</f>
        <v/>
      </c>
      <c r="CT251" s="91" t="str">
        <f>IF(Table645[[#This Row],[Column97]]="","--",Table645[[#This Row],[Column97]]/$CS$3/60/24)</f>
        <v>--</v>
      </c>
      <c r="CU251" s="92">
        <f>IF(Table645[[#This Row],[Column98]]="--",0,Table645[[#This Row],[Column4]]*Table645[[#This Row],[Column98]])</f>
        <v>0</v>
      </c>
      <c r="CV251" s="93"/>
      <c r="CW251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51" s="91" t="str">
        <f>IF(OR(Table645[[#This Row],[Column74]]&gt;0,Table645[[#This Row],[Column87]]&gt;0),(Table645[[#This Row],[Column73]]+Table645[[#This Row],[Column86]]+1)*$CW$3/60/24,"--")</f>
        <v>--</v>
      </c>
      <c r="CY251" s="92">
        <f>IF(Table645[[#This Row],[Column102]]="--",0,Table645[[#This Row],[Column4]]*Table645[[#This Row],[Column102]])</f>
        <v>0</v>
      </c>
      <c r="CZ251" s="158" t="str">
        <f t="shared" si="166"/>
        <v>--</v>
      </c>
      <c r="DA251" s="153"/>
      <c r="DB251" s="160">
        <f>IF(Table645[[#This Row],[Column104]]="--",0,Table645[[#This Row],[Column4]]*Table645[[#This Row],[Column104]])</f>
        <v>0</v>
      </c>
      <c r="DC251" s="219"/>
      <c r="DD251" s="220" t="str">
        <f>IF(DC251=0,"--",1/$DC$3*1000/(60*60*24)*Table645[[#This Row],[Column107]])</f>
        <v>--</v>
      </c>
      <c r="DE251" s="160">
        <f>IF(Table645[[#This Row],[Column108]]="--",0,Table645[[#This Row],[Column4]]*Table645[[#This Row],[Column108]])</f>
        <v>0</v>
      </c>
      <c r="DF251" s="101" t="s">
        <v>70</v>
      </c>
      <c r="DG251" s="91" t="str">
        <f t="shared" si="167"/>
        <v>--</v>
      </c>
      <c r="DH251" s="89">
        <f>IF(Table645[[#This Row],[Column111]]="--",0,Table645[[#This Row],[Column4]]*Table645[[#This Row],[Column111]])</f>
        <v>0</v>
      </c>
      <c r="DI251" s="96"/>
      <c r="DJ251" s="96"/>
      <c r="DK251" s="96"/>
      <c r="DL251" s="96"/>
      <c r="DM251" s="96"/>
      <c r="DN251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51" s="89">
        <f>IF(Table645[[#This Row],[Column118]]="--",0,Table645[[#This Row],[Column4]]*Table645[[#This Row],[Column118]])</f>
        <v>0</v>
      </c>
      <c r="DP251" s="96"/>
      <c r="DQ251" s="96"/>
      <c r="DR251" s="91" t="str">
        <f t="shared" si="168"/>
        <v>--</v>
      </c>
      <c r="DS251" s="89">
        <f>IF(Table645[[#This Row],[Column122]]="--",0,Table645[[#This Row],[Column4]]*Table645[[#This Row],[Column122]])</f>
        <v>0</v>
      </c>
      <c r="DT251" t="str">
        <f>IF(Table645[[#This Row],[Column125]]=0,"--",Table645[[#This Row],[Column125]]*Table645[[#This Row],[Column126]]*Table645[[#This Row],[Column127]]/1000000000)</f>
        <v>--</v>
      </c>
      <c r="DU251" s="53"/>
      <c r="DV251" s="53"/>
      <c r="DW251" s="53"/>
      <c r="DX251" s="91" t="str">
        <f t="shared" si="169"/>
        <v>--</v>
      </c>
      <c r="DY251" s="89">
        <f>IF(Table645[[#This Row],[Column128]]="--",0,Table645[[#This Row],[Column4]]*Table645[[#This Row],[Column128]])</f>
        <v>0</v>
      </c>
      <c r="EA251" s="89">
        <f>IF(Table645[[#This Row],[Column128]]="--",0,Table645[[#This Row],[Column4]]*Table645[[#This Row],[Column128]])</f>
        <v>0</v>
      </c>
      <c r="EC251" s="89">
        <f>IF(Table645[[#This Row],[Column128]]="--",0,Table645[[#This Row],[Column4]]*Table645[[#This Row],[Column128]])</f>
        <v>0</v>
      </c>
      <c r="EE251" s="89">
        <f>IF(Table645[[#This Row],[Column128]]="--",0,Table645[[#This Row],[Column4]]*Table645[[#This Row],[Column128]])</f>
        <v>0</v>
      </c>
      <c r="EG251" s="89">
        <f>IF(Table645[[#This Row],[Column128]]="--",0,Table645[[#This Row],[Column4]]*Table645[[#This Row],[Column128]])</f>
        <v>0</v>
      </c>
      <c r="EI251" s="89">
        <f>IF(Table645[[#This Row],[Column128]]="--",0,Table645[[#This Row],[Column4]]*Table645[[#This Row],[Column128]])</f>
        <v>0</v>
      </c>
    </row>
    <row r="252" spans="1:139" x14ac:dyDescent="0.25">
      <c r="A252" s="140"/>
      <c r="B252" s="79"/>
      <c r="C252" s="140"/>
      <c r="D252" s="167"/>
      <c r="E252" s="52"/>
      <c r="F252" s="81"/>
      <c r="G252" s="81"/>
      <c r="H252" s="102" t="str">
        <f t="shared" si="160"/>
        <v>--</v>
      </c>
      <c r="I252" s="100">
        <f>IF(Table645[[#This Row],[Column8]]="--",0,Table645[[#This Row],[Column4]]*Table645[[#This Row],[Column8]])</f>
        <v>0</v>
      </c>
      <c r="J252" s="169"/>
      <c r="K252" s="85">
        <f>Table645[[#This Row],[Column4]]*Table645[[#This Row],[Column10]]</f>
        <v>0</v>
      </c>
      <c r="L252" s="170" t="str">
        <f t="shared" si="161"/>
        <v>--</v>
      </c>
      <c r="M252" s="214">
        <f>IF(Table645[[#This Row],[Column10]]=0,0,Table645[[#This Row],[Column4]]*Table645[[#This Row],[Column12]])</f>
        <v>0</v>
      </c>
      <c r="N252" s="87" t="str">
        <f t="shared" si="162"/>
        <v>--</v>
      </c>
      <c r="O252" s="138"/>
      <c r="AZ252" s="89">
        <f>IF(Table645[[#This Row],[Column14]]="--",0,Table645[[#This Row],[Column4]]*Table645[[#This Row],[Column14]])</f>
        <v>0</v>
      </c>
      <c r="BA252" s="90"/>
      <c r="BB252" s="91" t="str">
        <f>IF(BA252=0,"--",BA252*$BA$3*IF(Table645[[#This Row],[Column5]]&lt;4.1,1,2)/60/24)</f>
        <v>--</v>
      </c>
      <c r="BC252" s="92">
        <f>IF(Table645[[#This Row],[Column54]]="--",0,Table645[[#This Row],[Column4]]*Table645[[#This Row],[Column54]])</f>
        <v>0</v>
      </c>
      <c r="BD252" s="119"/>
      <c r="BE252" s="119"/>
      <c r="BF252" s="119"/>
      <c r="BG252" s="91" t="str">
        <f>IF(BD252+Table645[[#This Row],[Column58]]=0,"--",(BD252*$BF$3*Table645[[#This Row],[Column57]]+Table645[[#This Row],[Column58]]*$BF$4)/60/24)</f>
        <v>--</v>
      </c>
      <c r="BH252" s="92">
        <f>IF(Table645[[#This Row],[Column59]]="--",0,Table645[[#This Row],[Column4]]*Table645[[#This Row],[Column59]])</f>
        <v>0</v>
      </c>
      <c r="BI252" s="119"/>
      <c r="BJ252" s="91" t="str">
        <f t="shared" si="148"/>
        <v>--</v>
      </c>
      <c r="BK252" s="92">
        <f>IF(Table645[[#This Row],[Column62]]="--",0,Table645[[#This Row],[Column4]]*Table645[[#This Row],[Column62]])</f>
        <v>0</v>
      </c>
      <c r="BL252" s="93"/>
      <c r="BM252" s="91" t="str">
        <f t="shared" si="163"/>
        <v>--</v>
      </c>
      <c r="BN252" s="89">
        <f>IF(Table645[[#This Row],[Column65]]="--",0,Table645[[#This Row],[Column4]]*Table645[[#This Row],[Column65]])</f>
        <v>0</v>
      </c>
      <c r="BO252" s="163"/>
      <c r="BP252" s="164" t="str">
        <f t="shared" si="164"/>
        <v>--</v>
      </c>
      <c r="BQ252" s="160">
        <f>IF(Table645[[#This Row],[Column68]]="--",0,Table645[[#This Row],[Column4]]*Table645[[#This Row],[Column68]])</f>
        <v>0</v>
      </c>
      <c r="BR252" s="94"/>
      <c r="BS252" s="91" t="str">
        <f t="shared" si="165"/>
        <v>--</v>
      </c>
      <c r="BT252" s="92">
        <f>IF(Table645[[#This Row],[Column71]]="--",0,Table645[[#This Row],[Column4]]*Table645[[#This Row],[Column71]])</f>
        <v>0</v>
      </c>
      <c r="BU252" s="44"/>
      <c r="BV252" s="90"/>
      <c r="BW252" s="91" t="str">
        <f>IF(BV252=0,"--",(Table645[[#This Row],[Column73]]*$BV$4*(IF(J252&lt;0.5001,1,IF(J252&lt;2.0001,2,3)))+BV252/$BV$3)/60/24)</f>
        <v>--</v>
      </c>
      <c r="BX252" s="92">
        <f>IF(Table645[[#This Row],[Column75]]="--",0,Table645[[#This Row],[Column4]]*Table645[[#This Row],[Column75]])</f>
        <v>0</v>
      </c>
      <c r="BY252" s="95" t="s">
        <v>70</v>
      </c>
      <c r="BZ252" s="91" t="str">
        <f>IF(Table645[[#This Row],[Column74]]=0,"--",BW252*$BY$3)</f>
        <v>--</v>
      </c>
      <c r="CA252" s="89">
        <f>IF(Table645[[#This Row],[Column78]]="--",0,Table645[[#This Row],[Column4]]*Table645[[#This Row],[Column78]])</f>
        <v>0</v>
      </c>
      <c r="CB252" s="95" t="s">
        <v>70</v>
      </c>
      <c r="CC252" s="91" t="str">
        <f>IF(Table645[[#This Row],[Column10]]+Table645[[#This Row],[Column74]]=0,"--",J252*$CB$4*$CB$5/(24*60)+IF(Table645[[#This Row],[Column74]]=0,0,$CB$3*Table645[[#This Row],[Column75]]))</f>
        <v>--</v>
      </c>
      <c r="CD252" s="92">
        <f>IF(Table645[[#This Row],[Column81]]="--",0,Table645[[#This Row],[Column4]]*Table645[[#This Row],[Column81]])</f>
        <v>0</v>
      </c>
      <c r="CE252" s="215"/>
      <c r="CF252" s="91" t="str">
        <f t="shared" si="149"/>
        <v>--</v>
      </c>
      <c r="CG252" s="92">
        <f>IF(Table645[[#This Row],[Column84]]="--",0,Table645[[#This Row],[Column4]]*Table645[[#This Row],[Column84]])</f>
        <v>0</v>
      </c>
      <c r="CH252" s="226"/>
      <c r="CI252" s="216"/>
      <c r="CJ252" s="91" t="str">
        <f>IF(CI252=0,"--",(Table645[[#This Row],[Column86]]*$CI$4*(IF(W252&lt;0.5001,1,IF(W252&lt;2.0001,2,3)))+CI252/$CI$3)/60/24)</f>
        <v>--</v>
      </c>
      <c r="CK252" s="92">
        <f>IF(Table645[[#This Row],[Column88]]="--",0,Table645[[#This Row],[Column4]]*Table645[[#This Row],[Column88]])</f>
        <v>0</v>
      </c>
      <c r="CL252" s="217"/>
      <c r="CM252" s="91" t="str">
        <f>IF(Table645[[#This Row],[Column87]]=0,"--",CJ252*$CL$3)</f>
        <v>--</v>
      </c>
      <c r="CN252" s="92">
        <f>IF(Table645[[#This Row],[Column91]]="--",0,Table645[[#This Row],[Column4]]*Table645[[#This Row],[Column91]])</f>
        <v>0</v>
      </c>
      <c r="CO252" s="217"/>
      <c r="CP252" s="91" t="str">
        <f>IF(Table645[[#This Row],[Column10]]+Table645[[#This Row],[Column87]]=0, "--", IF($D252="", 1, $D252) * IF($J252="", 1, $J252) * $CO$3 * $CO$4 * IF(Table645[[#This Row],[Column95]]="", 1, Table645[[#This Row],[Column95]]) / (24 * 60))</f>
        <v>--</v>
      </c>
      <c r="CQ252" s="164"/>
      <c r="CR252" s="92">
        <f>IF(Table645[[#This Row],[Column94]]="--",0,Table645[[#This Row],[Column4]]*Table645[[#This Row],[Column94]])</f>
        <v>0</v>
      </c>
      <c r="CS252" s="218" t="str">
        <f>IF(Table645[[#This Row],[Column87]]="","",Table645[[#This Row],[Column87]])</f>
        <v/>
      </c>
      <c r="CT252" s="91" t="str">
        <f>IF(Table645[[#This Row],[Column97]]="","--",Table645[[#This Row],[Column97]]/$CS$3/60/24)</f>
        <v>--</v>
      </c>
      <c r="CU252" s="92">
        <f>IF(Table645[[#This Row],[Column98]]="--",0,Table645[[#This Row],[Column4]]*Table645[[#This Row],[Column98]])</f>
        <v>0</v>
      </c>
      <c r="CV252" s="93"/>
      <c r="CW252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52" s="91" t="str">
        <f>IF(OR(Table645[[#This Row],[Column74]]&gt;0,Table645[[#This Row],[Column87]]&gt;0),(Table645[[#This Row],[Column73]]+Table645[[#This Row],[Column86]]+1)*$CW$3/60/24,"--")</f>
        <v>--</v>
      </c>
      <c r="CY252" s="92">
        <f>IF(Table645[[#This Row],[Column102]]="--",0,Table645[[#This Row],[Column4]]*Table645[[#This Row],[Column102]])</f>
        <v>0</v>
      </c>
      <c r="CZ252" s="158" t="str">
        <f t="shared" si="166"/>
        <v>--</v>
      </c>
      <c r="DA252" s="153"/>
      <c r="DB252" s="160">
        <f>IF(Table645[[#This Row],[Column104]]="--",0,Table645[[#This Row],[Column4]]*Table645[[#This Row],[Column104]])</f>
        <v>0</v>
      </c>
      <c r="DC252" s="219"/>
      <c r="DD252" s="220" t="str">
        <f>IF(DC252=0,"--",1/$DC$3*1000/(60*60*24)*Table645[[#This Row],[Column107]])</f>
        <v>--</v>
      </c>
      <c r="DE252" s="160">
        <f>IF(Table645[[#This Row],[Column108]]="--",0,Table645[[#This Row],[Column4]]*Table645[[#This Row],[Column108]])</f>
        <v>0</v>
      </c>
      <c r="DF252" s="101" t="s">
        <v>70</v>
      </c>
      <c r="DG252" s="91" t="str">
        <f t="shared" si="167"/>
        <v>--</v>
      </c>
      <c r="DH252" s="89">
        <f>IF(Table645[[#This Row],[Column111]]="--",0,Table645[[#This Row],[Column4]]*Table645[[#This Row],[Column111]])</f>
        <v>0</v>
      </c>
      <c r="DI252" s="96"/>
      <c r="DJ252" s="96"/>
      <c r="DK252" s="96"/>
      <c r="DL252" s="96"/>
      <c r="DM252" s="96"/>
      <c r="DN252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52" s="89">
        <f>IF(Table645[[#This Row],[Column118]]="--",0,Table645[[#This Row],[Column4]]*Table645[[#This Row],[Column118]])</f>
        <v>0</v>
      </c>
      <c r="DP252" s="96"/>
      <c r="DQ252" s="96"/>
      <c r="DR252" s="91" t="str">
        <f t="shared" si="168"/>
        <v>--</v>
      </c>
      <c r="DS252" s="89">
        <f>IF(Table645[[#This Row],[Column122]]="--",0,Table645[[#This Row],[Column4]]*Table645[[#This Row],[Column122]])</f>
        <v>0</v>
      </c>
      <c r="DT252" t="str">
        <f>IF(Table645[[#This Row],[Column125]]=0,"--",Table645[[#This Row],[Column125]]*Table645[[#This Row],[Column126]]*Table645[[#This Row],[Column127]]/1000000000)</f>
        <v>--</v>
      </c>
      <c r="DU252" s="53"/>
      <c r="DV252" s="53"/>
      <c r="DW252" s="53"/>
      <c r="DX252" s="91" t="str">
        <f t="shared" si="169"/>
        <v>--</v>
      </c>
      <c r="DY252" s="89">
        <f>IF(Table645[[#This Row],[Column128]]="--",0,Table645[[#This Row],[Column4]]*Table645[[#This Row],[Column128]])</f>
        <v>0</v>
      </c>
      <c r="EA252" s="89">
        <f>IF(Table645[[#This Row],[Column128]]="--",0,Table645[[#This Row],[Column4]]*Table645[[#This Row],[Column128]])</f>
        <v>0</v>
      </c>
      <c r="EC252" s="89">
        <f>IF(Table645[[#This Row],[Column128]]="--",0,Table645[[#This Row],[Column4]]*Table645[[#This Row],[Column128]])</f>
        <v>0</v>
      </c>
      <c r="EE252" s="89">
        <f>IF(Table645[[#This Row],[Column128]]="--",0,Table645[[#This Row],[Column4]]*Table645[[#This Row],[Column128]])</f>
        <v>0</v>
      </c>
      <c r="EG252" s="89">
        <f>IF(Table645[[#This Row],[Column128]]="--",0,Table645[[#This Row],[Column4]]*Table645[[#This Row],[Column128]])</f>
        <v>0</v>
      </c>
      <c r="EI252" s="89">
        <f>IF(Table645[[#This Row],[Column128]]="--",0,Table645[[#This Row],[Column4]]*Table645[[#This Row],[Column128]])</f>
        <v>0</v>
      </c>
    </row>
    <row r="253" spans="1:139" x14ac:dyDescent="0.25">
      <c r="A253" s="140"/>
      <c r="B253" s="79"/>
      <c r="C253" s="140"/>
      <c r="D253" s="167"/>
      <c r="E253" s="52"/>
      <c r="F253" s="81"/>
      <c r="G253" s="81"/>
      <c r="H253" s="102" t="str">
        <f t="shared" si="160"/>
        <v>--</v>
      </c>
      <c r="I253" s="100">
        <f>IF(Table645[[#This Row],[Column8]]="--",0,Table645[[#This Row],[Column4]]*Table645[[#This Row],[Column8]])</f>
        <v>0</v>
      </c>
      <c r="J253" s="169"/>
      <c r="K253" s="85">
        <f>Table645[[#This Row],[Column4]]*Table645[[#This Row],[Column10]]</f>
        <v>0</v>
      </c>
      <c r="L253" s="170" t="str">
        <f t="shared" si="161"/>
        <v>--</v>
      </c>
      <c r="M253" s="214">
        <f>IF(Table645[[#This Row],[Column10]]=0,0,Table645[[#This Row],[Column4]]*Table645[[#This Row],[Column12]])</f>
        <v>0</v>
      </c>
      <c r="N253" s="87" t="str">
        <f t="shared" si="162"/>
        <v>--</v>
      </c>
      <c r="O253" s="138"/>
      <c r="AZ253" s="89">
        <f>IF(Table645[[#This Row],[Column14]]="--",0,Table645[[#This Row],[Column4]]*Table645[[#This Row],[Column14]])</f>
        <v>0</v>
      </c>
      <c r="BA253" s="90"/>
      <c r="BB253" s="91" t="str">
        <f>IF(BA253=0,"--",BA253*$BA$3*IF(Table645[[#This Row],[Column5]]&lt;4.1,1,2)/60/24)</f>
        <v>--</v>
      </c>
      <c r="BC253" s="92">
        <f>IF(Table645[[#This Row],[Column54]]="--",0,Table645[[#This Row],[Column4]]*Table645[[#This Row],[Column54]])</f>
        <v>0</v>
      </c>
      <c r="BD253" s="119"/>
      <c r="BE253" s="119"/>
      <c r="BF253" s="119"/>
      <c r="BG253" s="91" t="str">
        <f>IF(BD253+Table645[[#This Row],[Column58]]=0,"--",(BD253*$BF$3*Table645[[#This Row],[Column57]]+Table645[[#This Row],[Column58]]*$BF$4)/60/24)</f>
        <v>--</v>
      </c>
      <c r="BH253" s="92">
        <f>IF(Table645[[#This Row],[Column59]]="--",0,Table645[[#This Row],[Column4]]*Table645[[#This Row],[Column59]])</f>
        <v>0</v>
      </c>
      <c r="BI253" s="119"/>
      <c r="BJ253" s="91" t="str">
        <f t="shared" si="148"/>
        <v>--</v>
      </c>
      <c r="BK253" s="92">
        <f>IF(Table645[[#This Row],[Column62]]="--",0,Table645[[#This Row],[Column4]]*Table645[[#This Row],[Column62]])</f>
        <v>0</v>
      </c>
      <c r="BL253" s="93"/>
      <c r="BM253" s="91" t="str">
        <f t="shared" si="163"/>
        <v>--</v>
      </c>
      <c r="BN253" s="89">
        <f>IF(Table645[[#This Row],[Column65]]="--",0,Table645[[#This Row],[Column4]]*Table645[[#This Row],[Column65]])</f>
        <v>0</v>
      </c>
      <c r="BO253" s="163"/>
      <c r="BP253" s="164" t="str">
        <f t="shared" si="164"/>
        <v>--</v>
      </c>
      <c r="BQ253" s="160">
        <f>IF(Table645[[#This Row],[Column68]]="--",0,Table645[[#This Row],[Column4]]*Table645[[#This Row],[Column68]])</f>
        <v>0</v>
      </c>
      <c r="BR253" s="94"/>
      <c r="BS253" s="91" t="str">
        <f t="shared" si="165"/>
        <v>--</v>
      </c>
      <c r="BT253" s="92">
        <f>IF(Table645[[#This Row],[Column71]]="--",0,Table645[[#This Row],[Column4]]*Table645[[#This Row],[Column71]])</f>
        <v>0</v>
      </c>
      <c r="BU253" s="44"/>
      <c r="BV253" s="90"/>
      <c r="BW253" s="91" t="str">
        <f>IF(BV253=0,"--",(Table645[[#This Row],[Column73]]*$BV$4*(IF(J253&lt;0.5001,1,IF(J253&lt;2.0001,2,3)))+BV253/$BV$3)/60/24)</f>
        <v>--</v>
      </c>
      <c r="BX253" s="92">
        <f>IF(Table645[[#This Row],[Column75]]="--",0,Table645[[#This Row],[Column4]]*Table645[[#This Row],[Column75]])</f>
        <v>0</v>
      </c>
      <c r="BY253" s="95" t="s">
        <v>70</v>
      </c>
      <c r="BZ253" s="91" t="str">
        <f>IF(Table645[[#This Row],[Column74]]=0,"--",BW253*$BY$3)</f>
        <v>--</v>
      </c>
      <c r="CA253" s="89">
        <f>IF(Table645[[#This Row],[Column78]]="--",0,Table645[[#This Row],[Column4]]*Table645[[#This Row],[Column78]])</f>
        <v>0</v>
      </c>
      <c r="CB253" s="95" t="s">
        <v>70</v>
      </c>
      <c r="CC253" s="91" t="str">
        <f>IF(Table645[[#This Row],[Column10]]+Table645[[#This Row],[Column74]]=0,"--",J253*$CB$4*$CB$5/(24*60)+IF(Table645[[#This Row],[Column74]]=0,0,$CB$3*Table645[[#This Row],[Column75]]))</f>
        <v>--</v>
      </c>
      <c r="CD253" s="92">
        <f>IF(Table645[[#This Row],[Column81]]="--",0,Table645[[#This Row],[Column4]]*Table645[[#This Row],[Column81]])</f>
        <v>0</v>
      </c>
      <c r="CE253" s="215"/>
      <c r="CF253" s="91" t="str">
        <f t="shared" si="149"/>
        <v>--</v>
      </c>
      <c r="CG253" s="92">
        <f>IF(Table645[[#This Row],[Column84]]="--",0,Table645[[#This Row],[Column4]]*Table645[[#This Row],[Column84]])</f>
        <v>0</v>
      </c>
      <c r="CH253" s="226"/>
      <c r="CI253" s="216"/>
      <c r="CJ253" s="91" t="str">
        <f>IF(CI253=0,"--",(Table645[[#This Row],[Column86]]*$CI$4*(IF(W253&lt;0.5001,1,IF(W253&lt;2.0001,2,3)))+CI253/$CI$3)/60/24)</f>
        <v>--</v>
      </c>
      <c r="CK253" s="92">
        <f>IF(Table645[[#This Row],[Column88]]="--",0,Table645[[#This Row],[Column4]]*Table645[[#This Row],[Column88]])</f>
        <v>0</v>
      </c>
      <c r="CL253" s="217"/>
      <c r="CM253" s="91" t="str">
        <f>IF(Table645[[#This Row],[Column87]]=0,"--",CJ253*$CL$3)</f>
        <v>--</v>
      </c>
      <c r="CN253" s="92">
        <f>IF(Table645[[#This Row],[Column91]]="--",0,Table645[[#This Row],[Column4]]*Table645[[#This Row],[Column91]])</f>
        <v>0</v>
      </c>
      <c r="CO253" s="217"/>
      <c r="CP253" s="91" t="str">
        <f>IF(Table645[[#This Row],[Column10]]+Table645[[#This Row],[Column87]]=0, "--", IF($D253="", 1, $D253) * IF($J253="", 1, $J253) * $CO$3 * $CO$4 * IF(Table645[[#This Row],[Column95]]="", 1, Table645[[#This Row],[Column95]]) / (24 * 60))</f>
        <v>--</v>
      </c>
      <c r="CQ253" s="164"/>
      <c r="CR253" s="92">
        <f>IF(Table645[[#This Row],[Column94]]="--",0,Table645[[#This Row],[Column4]]*Table645[[#This Row],[Column94]])</f>
        <v>0</v>
      </c>
      <c r="CS253" s="218" t="str">
        <f>IF(Table645[[#This Row],[Column87]]="","",Table645[[#This Row],[Column87]])</f>
        <v/>
      </c>
      <c r="CT253" s="91" t="str">
        <f>IF(Table645[[#This Row],[Column97]]="","--",Table645[[#This Row],[Column97]]/$CS$3/60/24)</f>
        <v>--</v>
      </c>
      <c r="CU253" s="92">
        <f>IF(Table645[[#This Row],[Column98]]="--",0,Table645[[#This Row],[Column4]]*Table645[[#This Row],[Column98]])</f>
        <v>0</v>
      </c>
      <c r="CV253" s="93"/>
      <c r="CW253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53" s="91" t="str">
        <f>IF(OR(Table645[[#This Row],[Column74]]&gt;0,Table645[[#This Row],[Column87]]&gt;0),(Table645[[#This Row],[Column73]]+Table645[[#This Row],[Column86]]+1)*$CW$3/60/24,"--")</f>
        <v>--</v>
      </c>
      <c r="CY253" s="92">
        <f>IF(Table645[[#This Row],[Column102]]="--",0,Table645[[#This Row],[Column4]]*Table645[[#This Row],[Column102]])</f>
        <v>0</v>
      </c>
      <c r="CZ253" s="158" t="str">
        <f t="shared" si="166"/>
        <v>--</v>
      </c>
      <c r="DA253" s="153"/>
      <c r="DB253" s="160">
        <f>IF(Table645[[#This Row],[Column104]]="--",0,Table645[[#This Row],[Column4]]*Table645[[#This Row],[Column104]])</f>
        <v>0</v>
      </c>
      <c r="DC253" s="219"/>
      <c r="DD253" s="220" t="str">
        <f>IF(DC253=0,"--",1/$DC$3*1000/(60*60*24)*Table645[[#This Row],[Column107]])</f>
        <v>--</v>
      </c>
      <c r="DE253" s="160">
        <f>IF(Table645[[#This Row],[Column108]]="--",0,Table645[[#This Row],[Column4]]*Table645[[#This Row],[Column108]])</f>
        <v>0</v>
      </c>
      <c r="DF253" s="101" t="s">
        <v>70</v>
      </c>
      <c r="DG253" s="91" t="str">
        <f t="shared" si="167"/>
        <v>--</v>
      </c>
      <c r="DH253" s="89">
        <f>IF(Table645[[#This Row],[Column111]]="--",0,Table645[[#This Row],[Column4]]*Table645[[#This Row],[Column111]])</f>
        <v>0</v>
      </c>
      <c r="DI253" s="96"/>
      <c r="DJ253" s="96"/>
      <c r="DK253" s="96"/>
      <c r="DL253" s="96"/>
      <c r="DM253" s="96"/>
      <c r="DN253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53" s="89">
        <f>IF(Table645[[#This Row],[Column118]]="--",0,Table645[[#This Row],[Column4]]*Table645[[#This Row],[Column118]])</f>
        <v>0</v>
      </c>
      <c r="DP253" s="96"/>
      <c r="DQ253" s="96"/>
      <c r="DR253" s="91" t="str">
        <f t="shared" si="168"/>
        <v>--</v>
      </c>
      <c r="DS253" s="89">
        <f>IF(Table645[[#This Row],[Column122]]="--",0,Table645[[#This Row],[Column4]]*Table645[[#This Row],[Column122]])</f>
        <v>0</v>
      </c>
      <c r="DT253" t="str">
        <f>IF(Table645[[#This Row],[Column125]]=0,"--",Table645[[#This Row],[Column125]]*Table645[[#This Row],[Column126]]*Table645[[#This Row],[Column127]]/1000000000)</f>
        <v>--</v>
      </c>
      <c r="DU253" s="53"/>
      <c r="DV253" s="53"/>
      <c r="DW253" s="53"/>
      <c r="DX253" s="91" t="str">
        <f t="shared" si="169"/>
        <v>--</v>
      </c>
      <c r="DY253" s="89">
        <f>IF(Table645[[#This Row],[Column128]]="--",0,Table645[[#This Row],[Column4]]*Table645[[#This Row],[Column128]])</f>
        <v>0</v>
      </c>
      <c r="EA253" s="89">
        <f>IF(Table645[[#This Row],[Column128]]="--",0,Table645[[#This Row],[Column4]]*Table645[[#This Row],[Column128]])</f>
        <v>0</v>
      </c>
      <c r="EC253" s="89">
        <f>IF(Table645[[#This Row],[Column128]]="--",0,Table645[[#This Row],[Column4]]*Table645[[#This Row],[Column128]])</f>
        <v>0</v>
      </c>
      <c r="EE253" s="89">
        <f>IF(Table645[[#This Row],[Column128]]="--",0,Table645[[#This Row],[Column4]]*Table645[[#This Row],[Column128]])</f>
        <v>0</v>
      </c>
      <c r="EG253" s="89">
        <f>IF(Table645[[#This Row],[Column128]]="--",0,Table645[[#This Row],[Column4]]*Table645[[#This Row],[Column128]])</f>
        <v>0</v>
      </c>
      <c r="EI253" s="89">
        <f>IF(Table645[[#This Row],[Column128]]="--",0,Table645[[#This Row],[Column4]]*Table645[[#This Row],[Column128]])</f>
        <v>0</v>
      </c>
    </row>
    <row r="254" spans="1:139" x14ac:dyDescent="0.25">
      <c r="A254" s="140"/>
      <c r="B254" s="79"/>
      <c r="C254" s="140"/>
      <c r="D254" s="167"/>
      <c r="E254" s="52"/>
      <c r="F254" s="81"/>
      <c r="G254" s="81"/>
      <c r="H254" s="102" t="str">
        <f t="shared" ref="H254:H271" si="170">IF(E254&gt;0,E254*F254*G254/1000000*8*(1+$H$4),"--")</f>
        <v>--</v>
      </c>
      <c r="I254" s="100">
        <f>IF(Table645[[#This Row],[Column8]]="--",0,Table645[[#This Row],[Column4]]*Table645[[#This Row],[Column8]])</f>
        <v>0</v>
      </c>
      <c r="J254" s="169"/>
      <c r="K254" s="85">
        <f>Table645[[#This Row],[Column4]]*Table645[[#This Row],[Column10]]</f>
        <v>0</v>
      </c>
      <c r="L254" s="170" t="str">
        <f t="shared" ref="L254:L271" si="171">IF(J254=0,"--",J254/$J$3)</f>
        <v>--</v>
      </c>
      <c r="M254" s="214">
        <f>IF(Table645[[#This Row],[Column10]]=0,0,Table645[[#This Row],[Column4]]*Table645[[#This Row],[Column12]])</f>
        <v>0</v>
      </c>
      <c r="N254" s="87" t="str">
        <f t="shared" ref="N254:N271" si="172">IF(SUM(Q254:AX254)=0,"--",(Q254/$Q$4+T254/$T$4+W254/$W$4+Z254/$Z$4+AC254/$AC$4+AF254/$AF$4+AI254/$AI$4+AL254/$AL$4+AO254/$AO$4+AR254/$AR$4+AU254/$AU$4+AX254/$AX$4)/60/24)</f>
        <v>--</v>
      </c>
      <c r="O254" s="138"/>
      <c r="AZ254" s="89">
        <f>IF(Table645[[#This Row],[Column14]]="--",0,Table645[[#This Row],[Column4]]*Table645[[#This Row],[Column14]])</f>
        <v>0</v>
      </c>
      <c r="BA254" s="90"/>
      <c r="BB254" s="91" t="str">
        <f>IF(BA254=0,"--",BA254*$BA$3*IF(Table645[[#This Row],[Column5]]&lt;4.1,1,2)/60/24)</f>
        <v>--</v>
      </c>
      <c r="BC254" s="92">
        <f>IF(Table645[[#This Row],[Column54]]="--",0,Table645[[#This Row],[Column4]]*Table645[[#This Row],[Column54]])</f>
        <v>0</v>
      </c>
      <c r="BD254" s="119"/>
      <c r="BE254" s="119"/>
      <c r="BF254" s="119"/>
      <c r="BG254" s="91" t="str">
        <f>IF(BD254+Table645[[#This Row],[Column58]]=0,"--",(BD254*$BF$3*Table645[[#This Row],[Column57]]+Table645[[#This Row],[Column58]]*$BF$4)/60/24)</f>
        <v>--</v>
      </c>
      <c r="BH254" s="92">
        <f>IF(Table645[[#This Row],[Column59]]="--",0,Table645[[#This Row],[Column4]]*Table645[[#This Row],[Column59]])</f>
        <v>0</v>
      </c>
      <c r="BI254" s="119"/>
      <c r="BJ254" s="91" t="str">
        <f t="shared" si="148"/>
        <v>--</v>
      </c>
      <c r="BK254" s="92">
        <f>IF(Table645[[#This Row],[Column62]]="--",0,Table645[[#This Row],[Column4]]*Table645[[#This Row],[Column62]])</f>
        <v>0</v>
      </c>
      <c r="BL254" s="93"/>
      <c r="BM254" s="91" t="str">
        <f t="shared" ref="BM254:BM271" si="173">IF(BL254=0,"--",BL254*$BL$3/60/60/24)</f>
        <v>--</v>
      </c>
      <c r="BN254" s="89">
        <f>IF(Table645[[#This Row],[Column65]]="--",0,Table645[[#This Row],[Column4]]*Table645[[#This Row],[Column65]])</f>
        <v>0</v>
      </c>
      <c r="BO254" s="163"/>
      <c r="BP254" s="164" t="str">
        <f t="shared" ref="BP254:BP271" si="174">IF(BO254=0,"--",BO254*$BO$3/60/60/24)</f>
        <v>--</v>
      </c>
      <c r="BQ254" s="160">
        <f>IF(Table645[[#This Row],[Column68]]="--",0,Table645[[#This Row],[Column4]]*Table645[[#This Row],[Column68]])</f>
        <v>0</v>
      </c>
      <c r="BR254" s="94"/>
      <c r="BS254" s="91" t="str">
        <f t="shared" ref="BS254:BS271" si="175">IF(BR254=0,"--",BR254*$BR$3/60/60/24)</f>
        <v>--</v>
      </c>
      <c r="BT254" s="92">
        <f>IF(Table645[[#This Row],[Column71]]="--",0,Table645[[#This Row],[Column4]]*Table645[[#This Row],[Column71]])</f>
        <v>0</v>
      </c>
      <c r="BU254" s="44"/>
      <c r="BV254" s="90"/>
      <c r="BW254" s="91" t="str">
        <f>IF(BV254=0,"--",(Table645[[#This Row],[Column73]]*$BV$4*(IF(J254&lt;0.5001,1,IF(J254&lt;2.0001,2,3)))+BV254/$BV$3)/60/24)</f>
        <v>--</v>
      </c>
      <c r="BX254" s="92">
        <f>IF(Table645[[#This Row],[Column75]]="--",0,Table645[[#This Row],[Column4]]*Table645[[#This Row],[Column75]])</f>
        <v>0</v>
      </c>
      <c r="BY254" s="95" t="s">
        <v>70</v>
      </c>
      <c r="BZ254" s="91" t="str">
        <f>IF(Table645[[#This Row],[Column74]]=0,"--",BW254*$BY$3)</f>
        <v>--</v>
      </c>
      <c r="CA254" s="89">
        <f>IF(Table645[[#This Row],[Column78]]="--",0,Table645[[#This Row],[Column4]]*Table645[[#This Row],[Column78]])</f>
        <v>0</v>
      </c>
      <c r="CB254" s="95" t="s">
        <v>70</v>
      </c>
      <c r="CC254" s="91" t="str">
        <f>IF(Table645[[#This Row],[Column10]]+Table645[[#This Row],[Column74]]=0,"--",J254*$CB$4*$CB$5/(24*60)+IF(Table645[[#This Row],[Column74]]=0,0,$CB$3*Table645[[#This Row],[Column75]]))</f>
        <v>--</v>
      </c>
      <c r="CD254" s="92">
        <f>IF(Table645[[#This Row],[Column81]]="--",0,Table645[[#This Row],[Column4]]*Table645[[#This Row],[Column81]])</f>
        <v>0</v>
      </c>
      <c r="CE254" s="215"/>
      <c r="CF254" s="91" t="str">
        <f t="shared" si="149"/>
        <v>--</v>
      </c>
      <c r="CG254" s="92">
        <f>IF(Table645[[#This Row],[Column84]]="--",0,Table645[[#This Row],[Column4]]*Table645[[#This Row],[Column84]])</f>
        <v>0</v>
      </c>
      <c r="CH254" s="226"/>
      <c r="CI254" s="216"/>
      <c r="CJ254" s="91" t="str">
        <f>IF(CI254=0,"--",(Table645[[#This Row],[Column86]]*$CI$4*(IF(W254&lt;0.5001,1,IF(W254&lt;2.0001,2,3)))+CI254/$CI$3)/60/24)</f>
        <v>--</v>
      </c>
      <c r="CK254" s="92">
        <f>IF(Table645[[#This Row],[Column88]]="--",0,Table645[[#This Row],[Column4]]*Table645[[#This Row],[Column88]])</f>
        <v>0</v>
      </c>
      <c r="CL254" s="217"/>
      <c r="CM254" s="91" t="str">
        <f>IF(Table645[[#This Row],[Column87]]=0,"--",CJ254*$CL$3)</f>
        <v>--</v>
      </c>
      <c r="CN254" s="92">
        <f>IF(Table645[[#This Row],[Column91]]="--",0,Table645[[#This Row],[Column4]]*Table645[[#This Row],[Column91]])</f>
        <v>0</v>
      </c>
      <c r="CO254" s="217"/>
      <c r="CP254" s="91" t="str">
        <f>IF(Table645[[#This Row],[Column10]]+Table645[[#This Row],[Column87]]=0, "--", IF($D254="", 1, $D254) * IF($J254="", 1, $J254) * $CO$3 * $CO$4 * IF(Table645[[#This Row],[Column95]]="", 1, Table645[[#This Row],[Column95]]) / (24 * 60))</f>
        <v>--</v>
      </c>
      <c r="CQ254" s="164"/>
      <c r="CR254" s="92">
        <f>IF(Table645[[#This Row],[Column94]]="--",0,Table645[[#This Row],[Column4]]*Table645[[#This Row],[Column94]])</f>
        <v>0</v>
      </c>
      <c r="CS254" s="218" t="str">
        <f>IF(Table645[[#This Row],[Column87]]="","",Table645[[#This Row],[Column87]])</f>
        <v/>
      </c>
      <c r="CT254" s="91" t="str">
        <f>IF(Table645[[#This Row],[Column97]]="","--",Table645[[#This Row],[Column97]]/$CS$3/60/24)</f>
        <v>--</v>
      </c>
      <c r="CU254" s="92">
        <f>IF(Table645[[#This Row],[Column98]]="--",0,Table645[[#This Row],[Column4]]*Table645[[#This Row],[Column98]])</f>
        <v>0</v>
      </c>
      <c r="CV254" s="93"/>
      <c r="CW254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54" s="91" t="str">
        <f>IF(OR(Table645[[#This Row],[Column74]]&gt;0,Table645[[#This Row],[Column87]]&gt;0),(Table645[[#This Row],[Column73]]+Table645[[#This Row],[Column86]]+1)*$CW$3/60/24,"--")</f>
        <v>--</v>
      </c>
      <c r="CY254" s="92">
        <f>IF(Table645[[#This Row],[Column102]]="--",0,Table645[[#This Row],[Column4]]*Table645[[#This Row],[Column102]])</f>
        <v>0</v>
      </c>
      <c r="CZ254" s="158" t="str">
        <f t="shared" ref="CZ254:CZ271" si="176">IF(J254=0,"--",J254/$CZ$3/(24)*DA254)</f>
        <v>--</v>
      </c>
      <c r="DA254" s="153"/>
      <c r="DB254" s="160">
        <f>IF(Table645[[#This Row],[Column104]]="--",0,Table645[[#This Row],[Column4]]*Table645[[#This Row],[Column104]])</f>
        <v>0</v>
      </c>
      <c r="DC254" s="219"/>
      <c r="DD254" s="220" t="str">
        <f>IF(DC254=0,"--",1/$DC$3*1000/(60*60*24)*Table645[[#This Row],[Column107]])</f>
        <v>--</v>
      </c>
      <c r="DE254" s="160">
        <f>IF(Table645[[#This Row],[Column108]]="--",0,Table645[[#This Row],[Column4]]*Table645[[#This Row],[Column108]])</f>
        <v>0</v>
      </c>
      <c r="DF254" s="101" t="s">
        <v>70</v>
      </c>
      <c r="DG254" s="91" t="str">
        <f t="shared" ref="DG254:DG271" si="177">IF(DA254=0,"--",(J254*$DF$3)/60/24)</f>
        <v>--</v>
      </c>
      <c r="DH254" s="89">
        <f>IF(Table645[[#This Row],[Column111]]="--",0,Table645[[#This Row],[Column4]]*Table645[[#This Row],[Column111]])</f>
        <v>0</v>
      </c>
      <c r="DI254" s="96"/>
      <c r="DJ254" s="96"/>
      <c r="DK254" s="96"/>
      <c r="DL254" s="96"/>
      <c r="DM254" s="96"/>
      <c r="DN254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54" s="89">
        <f>IF(Table645[[#This Row],[Column118]]="--",0,Table645[[#This Row],[Column4]]*Table645[[#This Row],[Column118]])</f>
        <v>0</v>
      </c>
      <c r="DP254" s="96"/>
      <c r="DQ254" s="96"/>
      <c r="DR254" s="91" t="str">
        <f t="shared" ref="DR254:DR271" si="178">IF(DP254+DQ254&gt;0,(DP254*$DQ$3+DQ254*$DQ$4)/60/24,IF(DN254="--","--",(DP254*$DQ$3+DQ254*$DQ$4)/60/24))</f>
        <v>--</v>
      </c>
      <c r="DS254" s="89">
        <f>IF(Table645[[#This Row],[Column122]]="--",0,Table645[[#This Row],[Column4]]*Table645[[#This Row],[Column122]])</f>
        <v>0</v>
      </c>
      <c r="DT254" t="str">
        <f>IF(Table645[[#This Row],[Column125]]=0,"--",Table645[[#This Row],[Column125]]*Table645[[#This Row],[Column126]]*Table645[[#This Row],[Column127]]/1000000000)</f>
        <v>--</v>
      </c>
      <c r="DU254" s="53"/>
      <c r="DV254" s="53"/>
      <c r="DW254" s="53"/>
      <c r="DX254" s="91" t="str">
        <f t="shared" ref="DX254:DX271" si="179">IF(DT254="--","--",(1+DT254*$DT$3)/60/24)</f>
        <v>--</v>
      </c>
      <c r="DY254" s="89">
        <f>IF(Table645[[#This Row],[Column128]]="--",0,Table645[[#This Row],[Column4]]*Table645[[#This Row],[Column128]])</f>
        <v>0</v>
      </c>
      <c r="EA254" s="89">
        <f>IF(Table645[[#This Row],[Column128]]="--",0,Table645[[#This Row],[Column4]]*Table645[[#This Row],[Column128]])</f>
        <v>0</v>
      </c>
      <c r="EC254" s="89">
        <f>IF(Table645[[#This Row],[Column128]]="--",0,Table645[[#This Row],[Column4]]*Table645[[#This Row],[Column128]])</f>
        <v>0</v>
      </c>
      <c r="EE254" s="89">
        <f>IF(Table645[[#This Row],[Column128]]="--",0,Table645[[#This Row],[Column4]]*Table645[[#This Row],[Column128]])</f>
        <v>0</v>
      </c>
      <c r="EG254" s="89">
        <f>IF(Table645[[#This Row],[Column128]]="--",0,Table645[[#This Row],[Column4]]*Table645[[#This Row],[Column128]])</f>
        <v>0</v>
      </c>
      <c r="EI254" s="89">
        <f>IF(Table645[[#This Row],[Column128]]="--",0,Table645[[#This Row],[Column4]]*Table645[[#This Row],[Column128]])</f>
        <v>0</v>
      </c>
    </row>
    <row r="255" spans="1:139" x14ac:dyDescent="0.25">
      <c r="A255" s="140"/>
      <c r="B255" s="79"/>
      <c r="C255" s="140"/>
      <c r="D255" s="167"/>
      <c r="E255" s="52"/>
      <c r="F255" s="81"/>
      <c r="G255" s="81"/>
      <c r="H255" s="102" t="str">
        <f t="shared" si="170"/>
        <v>--</v>
      </c>
      <c r="I255" s="100">
        <f>IF(Table645[[#This Row],[Column8]]="--",0,Table645[[#This Row],[Column4]]*Table645[[#This Row],[Column8]])</f>
        <v>0</v>
      </c>
      <c r="J255" s="169"/>
      <c r="K255" s="85">
        <f>Table645[[#This Row],[Column4]]*Table645[[#This Row],[Column10]]</f>
        <v>0</v>
      </c>
      <c r="L255" s="170" t="str">
        <f t="shared" si="171"/>
        <v>--</v>
      </c>
      <c r="M255" s="214">
        <f>IF(Table645[[#This Row],[Column10]]=0,0,Table645[[#This Row],[Column4]]*Table645[[#This Row],[Column12]])</f>
        <v>0</v>
      </c>
      <c r="N255" s="87" t="str">
        <f t="shared" si="172"/>
        <v>--</v>
      </c>
      <c r="O255" s="138"/>
      <c r="AZ255" s="89">
        <f>IF(Table645[[#This Row],[Column14]]="--",0,Table645[[#This Row],[Column4]]*Table645[[#This Row],[Column14]])</f>
        <v>0</v>
      </c>
      <c r="BA255" s="90"/>
      <c r="BB255" s="91" t="str">
        <f>IF(BA255=0,"--",BA255*$BA$3*IF(Table645[[#This Row],[Column5]]&lt;4.1,1,2)/60/24)</f>
        <v>--</v>
      </c>
      <c r="BC255" s="92">
        <f>IF(Table645[[#This Row],[Column54]]="--",0,Table645[[#This Row],[Column4]]*Table645[[#This Row],[Column54]])</f>
        <v>0</v>
      </c>
      <c r="BD255" s="119"/>
      <c r="BE255" s="119"/>
      <c r="BF255" s="119"/>
      <c r="BG255" s="91" t="str">
        <f>IF(BD255+Table645[[#This Row],[Column58]]=0,"--",(BD255*$BF$3*Table645[[#This Row],[Column57]]+Table645[[#This Row],[Column58]]*$BF$4)/60/24)</f>
        <v>--</v>
      </c>
      <c r="BH255" s="92">
        <f>IF(Table645[[#This Row],[Column59]]="--",0,Table645[[#This Row],[Column4]]*Table645[[#This Row],[Column59]])</f>
        <v>0</v>
      </c>
      <c r="BI255" s="119"/>
      <c r="BJ255" s="91" t="str">
        <f t="shared" si="148"/>
        <v>--</v>
      </c>
      <c r="BK255" s="92">
        <f>IF(Table645[[#This Row],[Column62]]="--",0,Table645[[#This Row],[Column4]]*Table645[[#This Row],[Column62]])</f>
        <v>0</v>
      </c>
      <c r="BL255" s="93"/>
      <c r="BM255" s="91" t="str">
        <f t="shared" si="173"/>
        <v>--</v>
      </c>
      <c r="BN255" s="89">
        <f>IF(Table645[[#This Row],[Column65]]="--",0,Table645[[#This Row],[Column4]]*Table645[[#This Row],[Column65]])</f>
        <v>0</v>
      </c>
      <c r="BO255" s="163"/>
      <c r="BP255" s="164" t="str">
        <f t="shared" si="174"/>
        <v>--</v>
      </c>
      <c r="BQ255" s="160">
        <f>IF(Table645[[#This Row],[Column68]]="--",0,Table645[[#This Row],[Column4]]*Table645[[#This Row],[Column68]])</f>
        <v>0</v>
      </c>
      <c r="BR255" s="94"/>
      <c r="BS255" s="91" t="str">
        <f t="shared" si="175"/>
        <v>--</v>
      </c>
      <c r="BT255" s="92">
        <f>IF(Table645[[#This Row],[Column71]]="--",0,Table645[[#This Row],[Column4]]*Table645[[#This Row],[Column71]])</f>
        <v>0</v>
      </c>
      <c r="BU255" s="44"/>
      <c r="BV255" s="90"/>
      <c r="BW255" s="91" t="str">
        <f>IF(BV255=0,"--",(Table645[[#This Row],[Column73]]*$BV$4*(IF(J255&lt;0.5001,1,IF(J255&lt;2.0001,2,3)))+BV255/$BV$3)/60/24)</f>
        <v>--</v>
      </c>
      <c r="BX255" s="92">
        <f>IF(Table645[[#This Row],[Column75]]="--",0,Table645[[#This Row],[Column4]]*Table645[[#This Row],[Column75]])</f>
        <v>0</v>
      </c>
      <c r="BY255" s="95" t="s">
        <v>70</v>
      </c>
      <c r="BZ255" s="91" t="str">
        <f>IF(Table645[[#This Row],[Column74]]=0,"--",BW255*$BY$3)</f>
        <v>--</v>
      </c>
      <c r="CA255" s="89">
        <f>IF(Table645[[#This Row],[Column78]]="--",0,Table645[[#This Row],[Column4]]*Table645[[#This Row],[Column78]])</f>
        <v>0</v>
      </c>
      <c r="CB255" s="95" t="s">
        <v>70</v>
      </c>
      <c r="CC255" s="91" t="str">
        <f>IF(Table645[[#This Row],[Column10]]+Table645[[#This Row],[Column74]]=0,"--",J255*$CB$4*$CB$5/(24*60)+IF(Table645[[#This Row],[Column74]]=0,0,$CB$3*Table645[[#This Row],[Column75]]))</f>
        <v>--</v>
      </c>
      <c r="CD255" s="92">
        <f>IF(Table645[[#This Row],[Column81]]="--",0,Table645[[#This Row],[Column4]]*Table645[[#This Row],[Column81]])</f>
        <v>0</v>
      </c>
      <c r="CE255" s="215"/>
      <c r="CF255" s="91" t="str">
        <f t="shared" si="149"/>
        <v>--</v>
      </c>
      <c r="CG255" s="92">
        <f>IF(Table645[[#This Row],[Column84]]="--",0,Table645[[#This Row],[Column4]]*Table645[[#This Row],[Column84]])</f>
        <v>0</v>
      </c>
      <c r="CH255" s="226"/>
      <c r="CI255" s="216"/>
      <c r="CJ255" s="91" t="str">
        <f>IF(CI255=0,"--",(Table645[[#This Row],[Column86]]*$CI$4*(IF(W255&lt;0.5001,1,IF(W255&lt;2.0001,2,3)))+CI255/$CI$3)/60/24)</f>
        <v>--</v>
      </c>
      <c r="CK255" s="92">
        <f>IF(Table645[[#This Row],[Column88]]="--",0,Table645[[#This Row],[Column4]]*Table645[[#This Row],[Column88]])</f>
        <v>0</v>
      </c>
      <c r="CL255" s="217"/>
      <c r="CM255" s="91" t="str">
        <f>IF(Table645[[#This Row],[Column87]]=0,"--",CJ255*$CL$3)</f>
        <v>--</v>
      </c>
      <c r="CN255" s="92">
        <f>IF(Table645[[#This Row],[Column91]]="--",0,Table645[[#This Row],[Column4]]*Table645[[#This Row],[Column91]])</f>
        <v>0</v>
      </c>
      <c r="CO255" s="217"/>
      <c r="CP255" s="91" t="str">
        <f>IF(Table645[[#This Row],[Column10]]+Table645[[#This Row],[Column87]]=0, "--", IF($D255="", 1, $D255) * IF($J255="", 1, $J255) * $CO$3 * $CO$4 * IF(Table645[[#This Row],[Column95]]="", 1, Table645[[#This Row],[Column95]]) / (24 * 60))</f>
        <v>--</v>
      </c>
      <c r="CQ255" s="164"/>
      <c r="CR255" s="92">
        <f>IF(Table645[[#This Row],[Column94]]="--",0,Table645[[#This Row],[Column4]]*Table645[[#This Row],[Column94]])</f>
        <v>0</v>
      </c>
      <c r="CS255" s="218" t="str">
        <f>IF(Table645[[#This Row],[Column87]]="","",Table645[[#This Row],[Column87]])</f>
        <v/>
      </c>
      <c r="CT255" s="91" t="str">
        <f>IF(Table645[[#This Row],[Column97]]="","--",Table645[[#This Row],[Column97]]/$CS$3/60/24)</f>
        <v>--</v>
      </c>
      <c r="CU255" s="92">
        <f>IF(Table645[[#This Row],[Column98]]="--",0,Table645[[#This Row],[Column4]]*Table645[[#This Row],[Column98]])</f>
        <v>0</v>
      </c>
      <c r="CV255" s="93"/>
      <c r="CW255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55" s="91" t="str">
        <f>IF(OR(Table645[[#This Row],[Column74]]&gt;0,Table645[[#This Row],[Column87]]&gt;0),(Table645[[#This Row],[Column73]]+Table645[[#This Row],[Column86]]+1)*$CW$3/60/24,"--")</f>
        <v>--</v>
      </c>
      <c r="CY255" s="92">
        <f>IF(Table645[[#This Row],[Column102]]="--",0,Table645[[#This Row],[Column4]]*Table645[[#This Row],[Column102]])</f>
        <v>0</v>
      </c>
      <c r="CZ255" s="158" t="str">
        <f t="shared" si="176"/>
        <v>--</v>
      </c>
      <c r="DA255" s="153"/>
      <c r="DB255" s="160">
        <f>IF(Table645[[#This Row],[Column104]]="--",0,Table645[[#This Row],[Column4]]*Table645[[#This Row],[Column104]])</f>
        <v>0</v>
      </c>
      <c r="DC255" s="219"/>
      <c r="DD255" s="220" t="str">
        <f>IF(DC255=0,"--",1/$DC$3*1000/(60*60*24)*Table645[[#This Row],[Column107]])</f>
        <v>--</v>
      </c>
      <c r="DE255" s="160">
        <f>IF(Table645[[#This Row],[Column108]]="--",0,Table645[[#This Row],[Column4]]*Table645[[#This Row],[Column108]])</f>
        <v>0</v>
      </c>
      <c r="DF255" s="101" t="s">
        <v>70</v>
      </c>
      <c r="DG255" s="91" t="str">
        <f t="shared" si="177"/>
        <v>--</v>
      </c>
      <c r="DH255" s="89">
        <f>IF(Table645[[#This Row],[Column111]]="--",0,Table645[[#This Row],[Column4]]*Table645[[#This Row],[Column111]])</f>
        <v>0</v>
      </c>
      <c r="DI255" s="96"/>
      <c r="DJ255" s="96"/>
      <c r="DK255" s="96"/>
      <c r="DL255" s="96"/>
      <c r="DM255" s="96"/>
      <c r="DN255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55" s="89">
        <f>IF(Table645[[#This Row],[Column118]]="--",0,Table645[[#This Row],[Column4]]*Table645[[#This Row],[Column118]])</f>
        <v>0</v>
      </c>
      <c r="DP255" s="96"/>
      <c r="DQ255" s="96"/>
      <c r="DR255" s="91" t="str">
        <f t="shared" si="178"/>
        <v>--</v>
      </c>
      <c r="DS255" s="89">
        <f>IF(Table645[[#This Row],[Column122]]="--",0,Table645[[#This Row],[Column4]]*Table645[[#This Row],[Column122]])</f>
        <v>0</v>
      </c>
      <c r="DT255" t="str">
        <f>IF(Table645[[#This Row],[Column125]]=0,"--",Table645[[#This Row],[Column125]]*Table645[[#This Row],[Column126]]*Table645[[#This Row],[Column127]]/1000000000)</f>
        <v>--</v>
      </c>
      <c r="DU255" s="53"/>
      <c r="DV255" s="53"/>
      <c r="DW255" s="53"/>
      <c r="DX255" s="91" t="str">
        <f t="shared" si="179"/>
        <v>--</v>
      </c>
      <c r="DY255" s="89">
        <f>IF(Table645[[#This Row],[Column128]]="--",0,Table645[[#This Row],[Column4]]*Table645[[#This Row],[Column128]])</f>
        <v>0</v>
      </c>
      <c r="EA255" s="89">
        <f>IF(Table645[[#This Row],[Column128]]="--",0,Table645[[#This Row],[Column4]]*Table645[[#This Row],[Column128]])</f>
        <v>0</v>
      </c>
      <c r="EC255" s="89">
        <f>IF(Table645[[#This Row],[Column128]]="--",0,Table645[[#This Row],[Column4]]*Table645[[#This Row],[Column128]])</f>
        <v>0</v>
      </c>
      <c r="EE255" s="89">
        <f>IF(Table645[[#This Row],[Column128]]="--",0,Table645[[#This Row],[Column4]]*Table645[[#This Row],[Column128]])</f>
        <v>0</v>
      </c>
      <c r="EG255" s="89">
        <f>IF(Table645[[#This Row],[Column128]]="--",0,Table645[[#This Row],[Column4]]*Table645[[#This Row],[Column128]])</f>
        <v>0</v>
      </c>
      <c r="EI255" s="89">
        <f>IF(Table645[[#This Row],[Column128]]="--",0,Table645[[#This Row],[Column4]]*Table645[[#This Row],[Column128]])</f>
        <v>0</v>
      </c>
    </row>
    <row r="256" spans="1:139" x14ac:dyDescent="0.25">
      <c r="A256" s="140"/>
      <c r="B256" s="79"/>
      <c r="C256" s="140"/>
      <c r="D256" s="167"/>
      <c r="E256" s="52"/>
      <c r="F256" s="81"/>
      <c r="G256" s="81"/>
      <c r="H256" s="102" t="str">
        <f t="shared" si="170"/>
        <v>--</v>
      </c>
      <c r="I256" s="100">
        <f>IF(Table645[[#This Row],[Column8]]="--",0,Table645[[#This Row],[Column4]]*Table645[[#This Row],[Column8]])</f>
        <v>0</v>
      </c>
      <c r="J256" s="169"/>
      <c r="K256" s="85">
        <f>Table645[[#This Row],[Column4]]*Table645[[#This Row],[Column10]]</f>
        <v>0</v>
      </c>
      <c r="L256" s="170" t="str">
        <f t="shared" si="171"/>
        <v>--</v>
      </c>
      <c r="M256" s="214">
        <f>IF(Table645[[#This Row],[Column10]]=0,0,Table645[[#This Row],[Column4]]*Table645[[#This Row],[Column12]])</f>
        <v>0</v>
      </c>
      <c r="N256" s="87" t="str">
        <f t="shared" si="172"/>
        <v>--</v>
      </c>
      <c r="O256" s="138"/>
      <c r="AZ256" s="89">
        <f>IF(Table645[[#This Row],[Column14]]="--",0,Table645[[#This Row],[Column4]]*Table645[[#This Row],[Column14]])</f>
        <v>0</v>
      </c>
      <c r="BA256" s="90"/>
      <c r="BB256" s="91" t="str">
        <f>IF(BA256=0,"--",BA256*$BA$3*IF(Table645[[#This Row],[Column5]]&lt;4.1,1,2)/60/24)</f>
        <v>--</v>
      </c>
      <c r="BC256" s="92">
        <f>IF(Table645[[#This Row],[Column54]]="--",0,Table645[[#This Row],[Column4]]*Table645[[#This Row],[Column54]])</f>
        <v>0</v>
      </c>
      <c r="BD256" s="119"/>
      <c r="BE256" s="119"/>
      <c r="BF256" s="119"/>
      <c r="BG256" s="91" t="str">
        <f>IF(BD256+Table645[[#This Row],[Column58]]=0,"--",(BD256*$BF$3*Table645[[#This Row],[Column57]]+Table645[[#This Row],[Column58]]*$BF$4)/60/24)</f>
        <v>--</v>
      </c>
      <c r="BH256" s="92">
        <f>IF(Table645[[#This Row],[Column59]]="--",0,Table645[[#This Row],[Column4]]*Table645[[#This Row],[Column59]])</f>
        <v>0</v>
      </c>
      <c r="BI256" s="119"/>
      <c r="BJ256" s="91" t="str">
        <f t="shared" si="148"/>
        <v>--</v>
      </c>
      <c r="BK256" s="92">
        <f>IF(Table645[[#This Row],[Column62]]="--",0,Table645[[#This Row],[Column4]]*Table645[[#This Row],[Column62]])</f>
        <v>0</v>
      </c>
      <c r="BL256" s="93"/>
      <c r="BM256" s="91" t="str">
        <f t="shared" si="173"/>
        <v>--</v>
      </c>
      <c r="BN256" s="89">
        <f>IF(Table645[[#This Row],[Column65]]="--",0,Table645[[#This Row],[Column4]]*Table645[[#This Row],[Column65]])</f>
        <v>0</v>
      </c>
      <c r="BO256" s="163"/>
      <c r="BP256" s="164" t="str">
        <f t="shared" si="174"/>
        <v>--</v>
      </c>
      <c r="BQ256" s="160">
        <f>IF(Table645[[#This Row],[Column68]]="--",0,Table645[[#This Row],[Column4]]*Table645[[#This Row],[Column68]])</f>
        <v>0</v>
      </c>
      <c r="BR256" s="94"/>
      <c r="BS256" s="91" t="str">
        <f t="shared" si="175"/>
        <v>--</v>
      </c>
      <c r="BT256" s="92">
        <f>IF(Table645[[#This Row],[Column71]]="--",0,Table645[[#This Row],[Column4]]*Table645[[#This Row],[Column71]])</f>
        <v>0</v>
      </c>
      <c r="BU256" s="44"/>
      <c r="BV256" s="90"/>
      <c r="BW256" s="91" t="str">
        <f>IF(BV256=0,"--",(Table645[[#This Row],[Column73]]*$BV$4*(IF(J256&lt;0.5001,1,IF(J256&lt;2.0001,2,3)))+BV256/$BV$3)/60/24)</f>
        <v>--</v>
      </c>
      <c r="BX256" s="92">
        <f>IF(Table645[[#This Row],[Column75]]="--",0,Table645[[#This Row],[Column4]]*Table645[[#This Row],[Column75]])</f>
        <v>0</v>
      </c>
      <c r="BY256" s="95" t="s">
        <v>70</v>
      </c>
      <c r="BZ256" s="91" t="str">
        <f>IF(Table645[[#This Row],[Column74]]=0,"--",BW256*$BY$3)</f>
        <v>--</v>
      </c>
      <c r="CA256" s="89">
        <f>IF(Table645[[#This Row],[Column78]]="--",0,Table645[[#This Row],[Column4]]*Table645[[#This Row],[Column78]])</f>
        <v>0</v>
      </c>
      <c r="CB256" s="95" t="s">
        <v>70</v>
      </c>
      <c r="CC256" s="91" t="str">
        <f>IF(Table645[[#This Row],[Column10]]+Table645[[#This Row],[Column74]]=0,"--",J256*$CB$4*$CB$5/(24*60)+IF(Table645[[#This Row],[Column74]]=0,0,$CB$3*Table645[[#This Row],[Column75]]))</f>
        <v>--</v>
      </c>
      <c r="CD256" s="92">
        <f>IF(Table645[[#This Row],[Column81]]="--",0,Table645[[#This Row],[Column4]]*Table645[[#This Row],[Column81]])</f>
        <v>0</v>
      </c>
      <c r="CE256" s="215"/>
      <c r="CF256" s="91" t="str">
        <f t="shared" si="149"/>
        <v>--</v>
      </c>
      <c r="CG256" s="92">
        <f>IF(Table645[[#This Row],[Column84]]="--",0,Table645[[#This Row],[Column4]]*Table645[[#This Row],[Column84]])</f>
        <v>0</v>
      </c>
      <c r="CH256" s="226"/>
      <c r="CI256" s="216"/>
      <c r="CJ256" s="91" t="str">
        <f>IF(CI256=0,"--",(Table645[[#This Row],[Column86]]*$CI$4*(IF(W256&lt;0.5001,1,IF(W256&lt;2.0001,2,3)))+CI256/$CI$3)/60/24)</f>
        <v>--</v>
      </c>
      <c r="CK256" s="92">
        <f>IF(Table645[[#This Row],[Column88]]="--",0,Table645[[#This Row],[Column4]]*Table645[[#This Row],[Column88]])</f>
        <v>0</v>
      </c>
      <c r="CL256" s="217"/>
      <c r="CM256" s="91" t="str">
        <f>IF(Table645[[#This Row],[Column87]]=0,"--",CJ256*$CL$3)</f>
        <v>--</v>
      </c>
      <c r="CN256" s="92">
        <f>IF(Table645[[#This Row],[Column91]]="--",0,Table645[[#This Row],[Column4]]*Table645[[#This Row],[Column91]])</f>
        <v>0</v>
      </c>
      <c r="CO256" s="217"/>
      <c r="CP256" s="91" t="str">
        <f>IF(Table645[[#This Row],[Column10]]+Table645[[#This Row],[Column87]]=0, "--", IF($D256="", 1, $D256) * IF($J256="", 1, $J256) * $CO$3 * $CO$4 * IF(Table645[[#This Row],[Column95]]="", 1, Table645[[#This Row],[Column95]]) / (24 * 60))</f>
        <v>--</v>
      </c>
      <c r="CQ256" s="164"/>
      <c r="CR256" s="92">
        <f>IF(Table645[[#This Row],[Column94]]="--",0,Table645[[#This Row],[Column4]]*Table645[[#This Row],[Column94]])</f>
        <v>0</v>
      </c>
      <c r="CS256" s="218" t="str">
        <f>IF(Table645[[#This Row],[Column87]]="","",Table645[[#This Row],[Column87]])</f>
        <v/>
      </c>
      <c r="CT256" s="91" t="str">
        <f>IF(Table645[[#This Row],[Column97]]="","--",Table645[[#This Row],[Column97]]/$CS$3/60/24)</f>
        <v>--</v>
      </c>
      <c r="CU256" s="92">
        <f>IF(Table645[[#This Row],[Column98]]="--",0,Table645[[#This Row],[Column4]]*Table645[[#This Row],[Column98]])</f>
        <v>0</v>
      </c>
      <c r="CV256" s="93"/>
      <c r="CW256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56" s="91" t="str">
        <f>IF(OR(Table645[[#This Row],[Column74]]&gt;0,Table645[[#This Row],[Column87]]&gt;0),(Table645[[#This Row],[Column73]]+Table645[[#This Row],[Column86]]+1)*$CW$3/60/24,"--")</f>
        <v>--</v>
      </c>
      <c r="CY256" s="92">
        <f>IF(Table645[[#This Row],[Column102]]="--",0,Table645[[#This Row],[Column4]]*Table645[[#This Row],[Column102]])</f>
        <v>0</v>
      </c>
      <c r="CZ256" s="158" t="str">
        <f t="shared" si="176"/>
        <v>--</v>
      </c>
      <c r="DA256" s="153"/>
      <c r="DB256" s="160">
        <f>IF(Table645[[#This Row],[Column104]]="--",0,Table645[[#This Row],[Column4]]*Table645[[#This Row],[Column104]])</f>
        <v>0</v>
      </c>
      <c r="DC256" s="219"/>
      <c r="DD256" s="220" t="str">
        <f>IF(DC256=0,"--",1/$DC$3*1000/(60*60*24)*Table645[[#This Row],[Column107]])</f>
        <v>--</v>
      </c>
      <c r="DE256" s="160">
        <f>IF(Table645[[#This Row],[Column108]]="--",0,Table645[[#This Row],[Column4]]*Table645[[#This Row],[Column108]])</f>
        <v>0</v>
      </c>
      <c r="DF256" s="101" t="s">
        <v>70</v>
      </c>
      <c r="DG256" s="91" t="str">
        <f t="shared" si="177"/>
        <v>--</v>
      </c>
      <c r="DH256" s="89">
        <f>IF(Table645[[#This Row],[Column111]]="--",0,Table645[[#This Row],[Column4]]*Table645[[#This Row],[Column111]])</f>
        <v>0</v>
      </c>
      <c r="DI256" s="96"/>
      <c r="DJ256" s="96"/>
      <c r="DK256" s="96"/>
      <c r="DL256" s="96"/>
      <c r="DM256" s="96"/>
      <c r="DN256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56" s="89">
        <f>IF(Table645[[#This Row],[Column118]]="--",0,Table645[[#This Row],[Column4]]*Table645[[#This Row],[Column118]])</f>
        <v>0</v>
      </c>
      <c r="DP256" s="96"/>
      <c r="DQ256" s="96"/>
      <c r="DR256" s="91" t="str">
        <f t="shared" si="178"/>
        <v>--</v>
      </c>
      <c r="DS256" s="89">
        <f>IF(Table645[[#This Row],[Column122]]="--",0,Table645[[#This Row],[Column4]]*Table645[[#This Row],[Column122]])</f>
        <v>0</v>
      </c>
      <c r="DT256" t="str">
        <f>IF(Table645[[#This Row],[Column125]]=0,"--",Table645[[#This Row],[Column125]]*Table645[[#This Row],[Column126]]*Table645[[#This Row],[Column127]]/1000000000)</f>
        <v>--</v>
      </c>
      <c r="DU256" s="53"/>
      <c r="DV256" s="53"/>
      <c r="DW256" s="53"/>
      <c r="DX256" s="91" t="str">
        <f t="shared" si="179"/>
        <v>--</v>
      </c>
      <c r="DY256" s="89">
        <f>IF(Table645[[#This Row],[Column128]]="--",0,Table645[[#This Row],[Column4]]*Table645[[#This Row],[Column128]])</f>
        <v>0</v>
      </c>
      <c r="EA256" s="89">
        <f>IF(Table645[[#This Row],[Column128]]="--",0,Table645[[#This Row],[Column4]]*Table645[[#This Row],[Column128]])</f>
        <v>0</v>
      </c>
      <c r="EC256" s="89">
        <f>IF(Table645[[#This Row],[Column128]]="--",0,Table645[[#This Row],[Column4]]*Table645[[#This Row],[Column128]])</f>
        <v>0</v>
      </c>
      <c r="EE256" s="89">
        <f>IF(Table645[[#This Row],[Column128]]="--",0,Table645[[#This Row],[Column4]]*Table645[[#This Row],[Column128]])</f>
        <v>0</v>
      </c>
      <c r="EG256" s="89">
        <f>IF(Table645[[#This Row],[Column128]]="--",0,Table645[[#This Row],[Column4]]*Table645[[#This Row],[Column128]])</f>
        <v>0</v>
      </c>
      <c r="EI256" s="89">
        <f>IF(Table645[[#This Row],[Column128]]="--",0,Table645[[#This Row],[Column4]]*Table645[[#This Row],[Column128]])</f>
        <v>0</v>
      </c>
    </row>
    <row r="257" spans="1:139" x14ac:dyDescent="0.25">
      <c r="A257" s="140"/>
      <c r="B257" s="79"/>
      <c r="C257" s="140"/>
      <c r="D257" s="167"/>
      <c r="E257" s="52"/>
      <c r="F257" s="81"/>
      <c r="G257" s="81"/>
      <c r="H257" s="102" t="str">
        <f t="shared" si="170"/>
        <v>--</v>
      </c>
      <c r="I257" s="100">
        <f>IF(Table645[[#This Row],[Column8]]="--",0,Table645[[#This Row],[Column4]]*Table645[[#This Row],[Column8]])</f>
        <v>0</v>
      </c>
      <c r="J257" s="169"/>
      <c r="K257" s="85">
        <f>Table645[[#This Row],[Column4]]*Table645[[#This Row],[Column10]]</f>
        <v>0</v>
      </c>
      <c r="L257" s="170" t="str">
        <f t="shared" si="171"/>
        <v>--</v>
      </c>
      <c r="M257" s="214">
        <f>IF(Table645[[#This Row],[Column10]]=0,0,Table645[[#This Row],[Column4]]*Table645[[#This Row],[Column12]])</f>
        <v>0</v>
      </c>
      <c r="N257" s="87" t="str">
        <f t="shared" si="172"/>
        <v>--</v>
      </c>
      <c r="O257" s="138"/>
      <c r="AZ257" s="89">
        <f>IF(Table645[[#This Row],[Column14]]="--",0,Table645[[#This Row],[Column4]]*Table645[[#This Row],[Column14]])</f>
        <v>0</v>
      </c>
      <c r="BA257" s="90"/>
      <c r="BB257" s="91" t="str">
        <f>IF(BA257=0,"--",BA257*$BA$3*IF(Table645[[#This Row],[Column5]]&lt;4.1,1,2)/60/24)</f>
        <v>--</v>
      </c>
      <c r="BC257" s="92">
        <f>IF(Table645[[#This Row],[Column54]]="--",0,Table645[[#This Row],[Column4]]*Table645[[#This Row],[Column54]])</f>
        <v>0</v>
      </c>
      <c r="BD257" s="119"/>
      <c r="BE257" s="119"/>
      <c r="BF257" s="119"/>
      <c r="BG257" s="91" t="str">
        <f>IF(BD257+Table645[[#This Row],[Column58]]=0,"--",(BD257*$BF$3*Table645[[#This Row],[Column57]]+Table645[[#This Row],[Column58]]*$BF$4)/60/24)</f>
        <v>--</v>
      </c>
      <c r="BH257" s="92">
        <f>IF(Table645[[#This Row],[Column59]]="--",0,Table645[[#This Row],[Column4]]*Table645[[#This Row],[Column59]])</f>
        <v>0</v>
      </c>
      <c r="BI257" s="119"/>
      <c r="BJ257" s="91" t="str">
        <f t="shared" si="148"/>
        <v>--</v>
      </c>
      <c r="BK257" s="92">
        <f>IF(Table645[[#This Row],[Column62]]="--",0,Table645[[#This Row],[Column4]]*Table645[[#This Row],[Column62]])</f>
        <v>0</v>
      </c>
      <c r="BL257" s="93"/>
      <c r="BM257" s="91" t="str">
        <f t="shared" si="173"/>
        <v>--</v>
      </c>
      <c r="BN257" s="89">
        <f>IF(Table645[[#This Row],[Column65]]="--",0,Table645[[#This Row],[Column4]]*Table645[[#This Row],[Column65]])</f>
        <v>0</v>
      </c>
      <c r="BO257" s="163"/>
      <c r="BP257" s="164" t="str">
        <f t="shared" si="174"/>
        <v>--</v>
      </c>
      <c r="BQ257" s="160">
        <f>IF(Table645[[#This Row],[Column68]]="--",0,Table645[[#This Row],[Column4]]*Table645[[#This Row],[Column68]])</f>
        <v>0</v>
      </c>
      <c r="BR257" s="94"/>
      <c r="BS257" s="91" t="str">
        <f t="shared" si="175"/>
        <v>--</v>
      </c>
      <c r="BT257" s="92">
        <f>IF(Table645[[#This Row],[Column71]]="--",0,Table645[[#This Row],[Column4]]*Table645[[#This Row],[Column71]])</f>
        <v>0</v>
      </c>
      <c r="BU257" s="44"/>
      <c r="BV257" s="90"/>
      <c r="BW257" s="91" t="str">
        <f>IF(BV257=0,"--",(Table645[[#This Row],[Column73]]*$BV$4*(IF(J257&lt;0.5001,1,IF(J257&lt;2.0001,2,3)))+BV257/$BV$3)/60/24)</f>
        <v>--</v>
      </c>
      <c r="BX257" s="92">
        <f>IF(Table645[[#This Row],[Column75]]="--",0,Table645[[#This Row],[Column4]]*Table645[[#This Row],[Column75]])</f>
        <v>0</v>
      </c>
      <c r="BY257" s="95" t="s">
        <v>70</v>
      </c>
      <c r="BZ257" s="91" t="str">
        <f>IF(Table645[[#This Row],[Column74]]=0,"--",BW257*$BY$3)</f>
        <v>--</v>
      </c>
      <c r="CA257" s="89">
        <f>IF(Table645[[#This Row],[Column78]]="--",0,Table645[[#This Row],[Column4]]*Table645[[#This Row],[Column78]])</f>
        <v>0</v>
      </c>
      <c r="CB257" s="95" t="s">
        <v>70</v>
      </c>
      <c r="CC257" s="91" t="str">
        <f>IF(Table645[[#This Row],[Column10]]+Table645[[#This Row],[Column74]]=0,"--",J257*$CB$4*$CB$5/(24*60)+IF(Table645[[#This Row],[Column74]]=0,0,$CB$3*Table645[[#This Row],[Column75]]))</f>
        <v>--</v>
      </c>
      <c r="CD257" s="92">
        <f>IF(Table645[[#This Row],[Column81]]="--",0,Table645[[#This Row],[Column4]]*Table645[[#This Row],[Column81]])</f>
        <v>0</v>
      </c>
      <c r="CE257" s="215"/>
      <c r="CF257" s="91" t="str">
        <f t="shared" si="149"/>
        <v>--</v>
      </c>
      <c r="CG257" s="92">
        <f>IF(Table645[[#This Row],[Column84]]="--",0,Table645[[#This Row],[Column4]]*Table645[[#This Row],[Column84]])</f>
        <v>0</v>
      </c>
      <c r="CH257" s="226"/>
      <c r="CI257" s="216"/>
      <c r="CJ257" s="91" t="str">
        <f>IF(CI257=0,"--",(Table645[[#This Row],[Column86]]*$CI$4*(IF(W257&lt;0.5001,1,IF(W257&lt;2.0001,2,3)))+CI257/$CI$3)/60/24)</f>
        <v>--</v>
      </c>
      <c r="CK257" s="92">
        <f>IF(Table645[[#This Row],[Column88]]="--",0,Table645[[#This Row],[Column4]]*Table645[[#This Row],[Column88]])</f>
        <v>0</v>
      </c>
      <c r="CL257" s="217"/>
      <c r="CM257" s="91" t="str">
        <f>IF(Table645[[#This Row],[Column87]]=0,"--",CJ257*$CL$3)</f>
        <v>--</v>
      </c>
      <c r="CN257" s="92">
        <f>IF(Table645[[#This Row],[Column91]]="--",0,Table645[[#This Row],[Column4]]*Table645[[#This Row],[Column91]])</f>
        <v>0</v>
      </c>
      <c r="CO257" s="217"/>
      <c r="CP257" s="91" t="str">
        <f>IF(Table645[[#This Row],[Column10]]+Table645[[#This Row],[Column87]]=0, "--", IF($D257="", 1, $D257) * IF($J257="", 1, $J257) * $CO$3 * $CO$4 * IF(Table645[[#This Row],[Column95]]="", 1, Table645[[#This Row],[Column95]]) / (24 * 60))</f>
        <v>--</v>
      </c>
      <c r="CQ257" s="164"/>
      <c r="CR257" s="92">
        <f>IF(Table645[[#This Row],[Column94]]="--",0,Table645[[#This Row],[Column4]]*Table645[[#This Row],[Column94]])</f>
        <v>0</v>
      </c>
      <c r="CS257" s="218" t="str">
        <f>IF(Table645[[#This Row],[Column87]]="","",Table645[[#This Row],[Column87]])</f>
        <v/>
      </c>
      <c r="CT257" s="91" t="str">
        <f>IF(Table645[[#This Row],[Column97]]="","--",Table645[[#This Row],[Column97]]/$CS$3/60/24)</f>
        <v>--</v>
      </c>
      <c r="CU257" s="92">
        <f>IF(Table645[[#This Row],[Column98]]="--",0,Table645[[#This Row],[Column4]]*Table645[[#This Row],[Column98]])</f>
        <v>0</v>
      </c>
      <c r="CV257" s="93"/>
      <c r="CW257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57" s="91" t="str">
        <f>IF(OR(Table645[[#This Row],[Column74]]&gt;0,Table645[[#This Row],[Column87]]&gt;0),(Table645[[#This Row],[Column73]]+Table645[[#This Row],[Column86]]+1)*$CW$3/60/24,"--")</f>
        <v>--</v>
      </c>
      <c r="CY257" s="92">
        <f>IF(Table645[[#This Row],[Column102]]="--",0,Table645[[#This Row],[Column4]]*Table645[[#This Row],[Column102]])</f>
        <v>0</v>
      </c>
      <c r="CZ257" s="158" t="str">
        <f t="shared" si="176"/>
        <v>--</v>
      </c>
      <c r="DA257" s="153"/>
      <c r="DB257" s="160">
        <f>IF(Table645[[#This Row],[Column104]]="--",0,Table645[[#This Row],[Column4]]*Table645[[#This Row],[Column104]])</f>
        <v>0</v>
      </c>
      <c r="DC257" s="219"/>
      <c r="DD257" s="220" t="str">
        <f>IF(DC257=0,"--",1/$DC$3*1000/(60*60*24)*Table645[[#This Row],[Column107]])</f>
        <v>--</v>
      </c>
      <c r="DE257" s="160">
        <f>IF(Table645[[#This Row],[Column108]]="--",0,Table645[[#This Row],[Column4]]*Table645[[#This Row],[Column108]])</f>
        <v>0</v>
      </c>
      <c r="DF257" s="101" t="s">
        <v>70</v>
      </c>
      <c r="DG257" s="91" t="str">
        <f t="shared" si="177"/>
        <v>--</v>
      </c>
      <c r="DH257" s="89">
        <f>IF(Table645[[#This Row],[Column111]]="--",0,Table645[[#This Row],[Column4]]*Table645[[#This Row],[Column111]])</f>
        <v>0</v>
      </c>
      <c r="DI257" s="96"/>
      <c r="DJ257" s="96"/>
      <c r="DK257" s="96"/>
      <c r="DL257" s="96"/>
      <c r="DM257" s="96"/>
      <c r="DN257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57" s="89">
        <f>IF(Table645[[#This Row],[Column118]]="--",0,Table645[[#This Row],[Column4]]*Table645[[#This Row],[Column118]])</f>
        <v>0</v>
      </c>
      <c r="DP257" s="96"/>
      <c r="DQ257" s="96"/>
      <c r="DR257" s="91" t="str">
        <f t="shared" si="178"/>
        <v>--</v>
      </c>
      <c r="DS257" s="89">
        <f>IF(Table645[[#This Row],[Column122]]="--",0,Table645[[#This Row],[Column4]]*Table645[[#This Row],[Column122]])</f>
        <v>0</v>
      </c>
      <c r="DT257" t="str">
        <f>IF(Table645[[#This Row],[Column125]]=0,"--",Table645[[#This Row],[Column125]]*Table645[[#This Row],[Column126]]*Table645[[#This Row],[Column127]]/1000000000)</f>
        <v>--</v>
      </c>
      <c r="DU257" s="53"/>
      <c r="DV257" s="53"/>
      <c r="DW257" s="53"/>
      <c r="DX257" s="91" t="str">
        <f t="shared" si="179"/>
        <v>--</v>
      </c>
      <c r="DY257" s="89">
        <f>IF(Table645[[#This Row],[Column128]]="--",0,Table645[[#This Row],[Column4]]*Table645[[#This Row],[Column128]])</f>
        <v>0</v>
      </c>
      <c r="EA257" s="89">
        <f>IF(Table645[[#This Row],[Column128]]="--",0,Table645[[#This Row],[Column4]]*Table645[[#This Row],[Column128]])</f>
        <v>0</v>
      </c>
      <c r="EC257" s="89">
        <f>IF(Table645[[#This Row],[Column128]]="--",0,Table645[[#This Row],[Column4]]*Table645[[#This Row],[Column128]])</f>
        <v>0</v>
      </c>
      <c r="EE257" s="89">
        <f>IF(Table645[[#This Row],[Column128]]="--",0,Table645[[#This Row],[Column4]]*Table645[[#This Row],[Column128]])</f>
        <v>0</v>
      </c>
      <c r="EG257" s="89">
        <f>IF(Table645[[#This Row],[Column128]]="--",0,Table645[[#This Row],[Column4]]*Table645[[#This Row],[Column128]])</f>
        <v>0</v>
      </c>
      <c r="EI257" s="89">
        <f>IF(Table645[[#This Row],[Column128]]="--",0,Table645[[#This Row],[Column4]]*Table645[[#This Row],[Column128]])</f>
        <v>0</v>
      </c>
    </row>
    <row r="258" spans="1:139" x14ac:dyDescent="0.25">
      <c r="A258" s="140"/>
      <c r="B258" s="79"/>
      <c r="C258" s="140"/>
      <c r="D258" s="167"/>
      <c r="E258" s="52"/>
      <c r="F258" s="81"/>
      <c r="G258" s="81"/>
      <c r="H258" s="102" t="str">
        <f t="shared" si="170"/>
        <v>--</v>
      </c>
      <c r="I258" s="100">
        <f>IF(Table645[[#This Row],[Column8]]="--",0,Table645[[#This Row],[Column4]]*Table645[[#This Row],[Column8]])</f>
        <v>0</v>
      </c>
      <c r="J258" s="169"/>
      <c r="K258" s="85">
        <f>Table645[[#This Row],[Column4]]*Table645[[#This Row],[Column10]]</f>
        <v>0</v>
      </c>
      <c r="L258" s="170" t="str">
        <f t="shared" si="171"/>
        <v>--</v>
      </c>
      <c r="M258" s="214">
        <f>IF(Table645[[#This Row],[Column10]]=0,0,Table645[[#This Row],[Column4]]*Table645[[#This Row],[Column12]])</f>
        <v>0</v>
      </c>
      <c r="N258" s="87" t="str">
        <f t="shared" si="172"/>
        <v>--</v>
      </c>
      <c r="O258" s="138"/>
      <c r="AZ258" s="89">
        <f>IF(Table645[[#This Row],[Column14]]="--",0,Table645[[#This Row],[Column4]]*Table645[[#This Row],[Column14]])</f>
        <v>0</v>
      </c>
      <c r="BA258" s="90"/>
      <c r="BB258" s="91" t="str">
        <f>IF(BA258=0,"--",BA258*$BA$3*IF(Table645[[#This Row],[Column5]]&lt;4.1,1,2)/60/24)</f>
        <v>--</v>
      </c>
      <c r="BC258" s="92">
        <f>IF(Table645[[#This Row],[Column54]]="--",0,Table645[[#This Row],[Column4]]*Table645[[#This Row],[Column54]])</f>
        <v>0</v>
      </c>
      <c r="BD258" s="119"/>
      <c r="BE258" s="119"/>
      <c r="BF258" s="119"/>
      <c r="BG258" s="91" t="str">
        <f>IF(BD258+Table645[[#This Row],[Column58]]=0,"--",(BD258*$BF$3*Table645[[#This Row],[Column57]]+Table645[[#This Row],[Column58]]*$BF$4)/60/24)</f>
        <v>--</v>
      </c>
      <c r="BH258" s="92">
        <f>IF(Table645[[#This Row],[Column59]]="--",0,Table645[[#This Row],[Column4]]*Table645[[#This Row],[Column59]])</f>
        <v>0</v>
      </c>
      <c r="BI258" s="119"/>
      <c r="BJ258" s="91" t="str">
        <f t="shared" si="148"/>
        <v>--</v>
      </c>
      <c r="BK258" s="92">
        <f>IF(Table645[[#This Row],[Column62]]="--",0,Table645[[#This Row],[Column4]]*Table645[[#This Row],[Column62]])</f>
        <v>0</v>
      </c>
      <c r="BL258" s="93"/>
      <c r="BM258" s="91" t="str">
        <f t="shared" si="173"/>
        <v>--</v>
      </c>
      <c r="BN258" s="89">
        <f>IF(Table645[[#This Row],[Column65]]="--",0,Table645[[#This Row],[Column4]]*Table645[[#This Row],[Column65]])</f>
        <v>0</v>
      </c>
      <c r="BO258" s="163"/>
      <c r="BP258" s="164" t="str">
        <f t="shared" si="174"/>
        <v>--</v>
      </c>
      <c r="BQ258" s="160">
        <f>IF(Table645[[#This Row],[Column68]]="--",0,Table645[[#This Row],[Column4]]*Table645[[#This Row],[Column68]])</f>
        <v>0</v>
      </c>
      <c r="BR258" s="94"/>
      <c r="BS258" s="91" t="str">
        <f t="shared" si="175"/>
        <v>--</v>
      </c>
      <c r="BT258" s="92">
        <f>IF(Table645[[#This Row],[Column71]]="--",0,Table645[[#This Row],[Column4]]*Table645[[#This Row],[Column71]])</f>
        <v>0</v>
      </c>
      <c r="BU258" s="44"/>
      <c r="BV258" s="90"/>
      <c r="BW258" s="91" t="str">
        <f>IF(BV258=0,"--",(Table645[[#This Row],[Column73]]*$BV$4*(IF(J258&lt;0.5001,1,IF(J258&lt;2.0001,2,3)))+BV258/$BV$3)/60/24)</f>
        <v>--</v>
      </c>
      <c r="BX258" s="92">
        <f>IF(Table645[[#This Row],[Column75]]="--",0,Table645[[#This Row],[Column4]]*Table645[[#This Row],[Column75]])</f>
        <v>0</v>
      </c>
      <c r="BY258" s="95" t="s">
        <v>70</v>
      </c>
      <c r="BZ258" s="91" t="str">
        <f>IF(Table645[[#This Row],[Column74]]=0,"--",BW258*$BY$3)</f>
        <v>--</v>
      </c>
      <c r="CA258" s="89">
        <f>IF(Table645[[#This Row],[Column78]]="--",0,Table645[[#This Row],[Column4]]*Table645[[#This Row],[Column78]])</f>
        <v>0</v>
      </c>
      <c r="CB258" s="95" t="s">
        <v>70</v>
      </c>
      <c r="CC258" s="91" t="str">
        <f>IF(Table645[[#This Row],[Column10]]+Table645[[#This Row],[Column74]]=0,"--",J258*$CB$4*$CB$5/(24*60)+IF(Table645[[#This Row],[Column74]]=0,0,$CB$3*Table645[[#This Row],[Column75]]))</f>
        <v>--</v>
      </c>
      <c r="CD258" s="92">
        <f>IF(Table645[[#This Row],[Column81]]="--",0,Table645[[#This Row],[Column4]]*Table645[[#This Row],[Column81]])</f>
        <v>0</v>
      </c>
      <c r="CE258" s="215"/>
      <c r="CF258" s="91" t="str">
        <f t="shared" si="149"/>
        <v>--</v>
      </c>
      <c r="CG258" s="92">
        <f>IF(Table645[[#This Row],[Column84]]="--",0,Table645[[#This Row],[Column4]]*Table645[[#This Row],[Column84]])</f>
        <v>0</v>
      </c>
      <c r="CH258" s="226"/>
      <c r="CI258" s="216"/>
      <c r="CJ258" s="91" t="str">
        <f>IF(CI258=0,"--",(Table645[[#This Row],[Column86]]*$CI$4*(IF(W258&lt;0.5001,1,IF(W258&lt;2.0001,2,3)))+CI258/$CI$3)/60/24)</f>
        <v>--</v>
      </c>
      <c r="CK258" s="92">
        <f>IF(Table645[[#This Row],[Column88]]="--",0,Table645[[#This Row],[Column4]]*Table645[[#This Row],[Column88]])</f>
        <v>0</v>
      </c>
      <c r="CL258" s="217"/>
      <c r="CM258" s="91" t="str">
        <f>IF(Table645[[#This Row],[Column87]]=0,"--",CJ258*$CL$3)</f>
        <v>--</v>
      </c>
      <c r="CN258" s="92">
        <f>IF(Table645[[#This Row],[Column91]]="--",0,Table645[[#This Row],[Column4]]*Table645[[#This Row],[Column91]])</f>
        <v>0</v>
      </c>
      <c r="CO258" s="217"/>
      <c r="CP258" s="91" t="str">
        <f>IF(Table645[[#This Row],[Column10]]+Table645[[#This Row],[Column87]]=0, "--", IF($D258="", 1, $D258) * IF($J258="", 1, $J258) * $CO$3 * $CO$4 * IF(Table645[[#This Row],[Column95]]="", 1, Table645[[#This Row],[Column95]]) / (24 * 60))</f>
        <v>--</v>
      </c>
      <c r="CQ258" s="164"/>
      <c r="CR258" s="92">
        <f>IF(Table645[[#This Row],[Column94]]="--",0,Table645[[#This Row],[Column4]]*Table645[[#This Row],[Column94]])</f>
        <v>0</v>
      </c>
      <c r="CS258" s="218" t="str">
        <f>IF(Table645[[#This Row],[Column87]]="","",Table645[[#This Row],[Column87]])</f>
        <v/>
      </c>
      <c r="CT258" s="91" t="str">
        <f>IF(Table645[[#This Row],[Column97]]="","--",Table645[[#This Row],[Column97]]/$CS$3/60/24)</f>
        <v>--</v>
      </c>
      <c r="CU258" s="92">
        <f>IF(Table645[[#This Row],[Column98]]="--",0,Table645[[#This Row],[Column4]]*Table645[[#This Row],[Column98]])</f>
        <v>0</v>
      </c>
      <c r="CV258" s="93"/>
      <c r="CW258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58" s="91" t="str">
        <f>IF(OR(Table645[[#This Row],[Column74]]&gt;0,Table645[[#This Row],[Column87]]&gt;0),(Table645[[#This Row],[Column73]]+Table645[[#This Row],[Column86]]+1)*$CW$3/60/24,"--")</f>
        <v>--</v>
      </c>
      <c r="CY258" s="92">
        <f>IF(Table645[[#This Row],[Column102]]="--",0,Table645[[#This Row],[Column4]]*Table645[[#This Row],[Column102]])</f>
        <v>0</v>
      </c>
      <c r="CZ258" s="158" t="str">
        <f t="shared" si="176"/>
        <v>--</v>
      </c>
      <c r="DA258" s="153"/>
      <c r="DB258" s="160">
        <f>IF(Table645[[#This Row],[Column104]]="--",0,Table645[[#This Row],[Column4]]*Table645[[#This Row],[Column104]])</f>
        <v>0</v>
      </c>
      <c r="DC258" s="219"/>
      <c r="DD258" s="220" t="str">
        <f>IF(DC258=0,"--",1/$DC$3*1000/(60*60*24)*Table645[[#This Row],[Column107]])</f>
        <v>--</v>
      </c>
      <c r="DE258" s="160">
        <f>IF(Table645[[#This Row],[Column108]]="--",0,Table645[[#This Row],[Column4]]*Table645[[#This Row],[Column108]])</f>
        <v>0</v>
      </c>
      <c r="DF258" s="101" t="s">
        <v>70</v>
      </c>
      <c r="DG258" s="91" t="str">
        <f t="shared" si="177"/>
        <v>--</v>
      </c>
      <c r="DH258" s="89">
        <f>IF(Table645[[#This Row],[Column111]]="--",0,Table645[[#This Row],[Column4]]*Table645[[#This Row],[Column111]])</f>
        <v>0</v>
      </c>
      <c r="DI258" s="96"/>
      <c r="DJ258" s="96"/>
      <c r="DK258" s="96"/>
      <c r="DL258" s="96"/>
      <c r="DM258" s="96"/>
      <c r="DN258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58" s="89">
        <f>IF(Table645[[#This Row],[Column118]]="--",0,Table645[[#This Row],[Column4]]*Table645[[#This Row],[Column118]])</f>
        <v>0</v>
      </c>
      <c r="DP258" s="96"/>
      <c r="DQ258" s="96"/>
      <c r="DR258" s="91" t="str">
        <f t="shared" si="178"/>
        <v>--</v>
      </c>
      <c r="DS258" s="89">
        <f>IF(Table645[[#This Row],[Column122]]="--",0,Table645[[#This Row],[Column4]]*Table645[[#This Row],[Column122]])</f>
        <v>0</v>
      </c>
      <c r="DT258" t="str">
        <f>IF(Table645[[#This Row],[Column125]]=0,"--",Table645[[#This Row],[Column125]]*Table645[[#This Row],[Column126]]*Table645[[#This Row],[Column127]]/1000000000)</f>
        <v>--</v>
      </c>
      <c r="DU258" s="53"/>
      <c r="DV258" s="53"/>
      <c r="DW258" s="53"/>
      <c r="DX258" s="91" t="str">
        <f t="shared" si="179"/>
        <v>--</v>
      </c>
      <c r="DY258" s="89">
        <f>IF(Table645[[#This Row],[Column128]]="--",0,Table645[[#This Row],[Column4]]*Table645[[#This Row],[Column128]])</f>
        <v>0</v>
      </c>
      <c r="EA258" s="89">
        <f>IF(Table645[[#This Row],[Column128]]="--",0,Table645[[#This Row],[Column4]]*Table645[[#This Row],[Column128]])</f>
        <v>0</v>
      </c>
      <c r="EC258" s="89">
        <f>IF(Table645[[#This Row],[Column128]]="--",0,Table645[[#This Row],[Column4]]*Table645[[#This Row],[Column128]])</f>
        <v>0</v>
      </c>
      <c r="EE258" s="89">
        <f>IF(Table645[[#This Row],[Column128]]="--",0,Table645[[#This Row],[Column4]]*Table645[[#This Row],[Column128]])</f>
        <v>0</v>
      </c>
      <c r="EG258" s="89">
        <f>IF(Table645[[#This Row],[Column128]]="--",0,Table645[[#This Row],[Column4]]*Table645[[#This Row],[Column128]])</f>
        <v>0</v>
      </c>
      <c r="EI258" s="89">
        <f>IF(Table645[[#This Row],[Column128]]="--",0,Table645[[#This Row],[Column4]]*Table645[[#This Row],[Column128]])</f>
        <v>0</v>
      </c>
    </row>
    <row r="259" spans="1:139" x14ac:dyDescent="0.25">
      <c r="A259" s="140"/>
      <c r="B259" s="79"/>
      <c r="C259" s="140"/>
      <c r="D259" s="167"/>
      <c r="E259" s="52"/>
      <c r="F259" s="81"/>
      <c r="G259" s="81"/>
      <c r="H259" s="102" t="str">
        <f t="shared" si="170"/>
        <v>--</v>
      </c>
      <c r="I259" s="100">
        <f>IF(Table645[[#This Row],[Column8]]="--",0,Table645[[#This Row],[Column4]]*Table645[[#This Row],[Column8]])</f>
        <v>0</v>
      </c>
      <c r="J259" s="169"/>
      <c r="K259" s="85">
        <f>Table645[[#This Row],[Column4]]*Table645[[#This Row],[Column10]]</f>
        <v>0</v>
      </c>
      <c r="L259" s="170" t="str">
        <f t="shared" si="171"/>
        <v>--</v>
      </c>
      <c r="M259" s="214">
        <f>IF(Table645[[#This Row],[Column10]]=0,0,Table645[[#This Row],[Column4]]*Table645[[#This Row],[Column12]])</f>
        <v>0</v>
      </c>
      <c r="N259" s="87" t="str">
        <f t="shared" si="172"/>
        <v>--</v>
      </c>
      <c r="O259" s="138"/>
      <c r="AZ259" s="89">
        <f>IF(Table645[[#This Row],[Column14]]="--",0,Table645[[#This Row],[Column4]]*Table645[[#This Row],[Column14]])</f>
        <v>0</v>
      </c>
      <c r="BA259" s="90"/>
      <c r="BB259" s="91" t="str">
        <f>IF(BA259=0,"--",BA259*$BA$3*IF(Table645[[#This Row],[Column5]]&lt;4.1,1,2)/60/24)</f>
        <v>--</v>
      </c>
      <c r="BC259" s="92">
        <f>IF(Table645[[#This Row],[Column54]]="--",0,Table645[[#This Row],[Column4]]*Table645[[#This Row],[Column54]])</f>
        <v>0</v>
      </c>
      <c r="BD259" s="119"/>
      <c r="BE259" s="119"/>
      <c r="BF259" s="119"/>
      <c r="BG259" s="91" t="str">
        <f>IF(BD259+Table645[[#This Row],[Column58]]=0,"--",(BD259*$BF$3*Table645[[#This Row],[Column57]]+Table645[[#This Row],[Column58]]*$BF$4)/60/24)</f>
        <v>--</v>
      </c>
      <c r="BH259" s="92">
        <f>IF(Table645[[#This Row],[Column59]]="--",0,Table645[[#This Row],[Column4]]*Table645[[#This Row],[Column59]])</f>
        <v>0</v>
      </c>
      <c r="BI259" s="119"/>
      <c r="BJ259" s="91" t="str">
        <f t="shared" si="148"/>
        <v>--</v>
      </c>
      <c r="BK259" s="92">
        <f>IF(Table645[[#This Row],[Column62]]="--",0,Table645[[#This Row],[Column4]]*Table645[[#This Row],[Column62]])</f>
        <v>0</v>
      </c>
      <c r="BL259" s="93"/>
      <c r="BM259" s="91" t="str">
        <f t="shared" si="173"/>
        <v>--</v>
      </c>
      <c r="BN259" s="89">
        <f>IF(Table645[[#This Row],[Column65]]="--",0,Table645[[#This Row],[Column4]]*Table645[[#This Row],[Column65]])</f>
        <v>0</v>
      </c>
      <c r="BO259" s="163"/>
      <c r="BP259" s="164" t="str">
        <f t="shared" si="174"/>
        <v>--</v>
      </c>
      <c r="BQ259" s="160">
        <f>IF(Table645[[#This Row],[Column68]]="--",0,Table645[[#This Row],[Column4]]*Table645[[#This Row],[Column68]])</f>
        <v>0</v>
      </c>
      <c r="BR259" s="94"/>
      <c r="BS259" s="91" t="str">
        <f t="shared" si="175"/>
        <v>--</v>
      </c>
      <c r="BT259" s="92">
        <f>IF(Table645[[#This Row],[Column71]]="--",0,Table645[[#This Row],[Column4]]*Table645[[#This Row],[Column71]])</f>
        <v>0</v>
      </c>
      <c r="BU259" s="44"/>
      <c r="BV259" s="90"/>
      <c r="BW259" s="91" t="str">
        <f>IF(BV259=0,"--",(Table645[[#This Row],[Column73]]*$BV$4*(IF(J259&lt;0.5001,1,IF(J259&lt;2.0001,2,3)))+BV259/$BV$3)/60/24)</f>
        <v>--</v>
      </c>
      <c r="BX259" s="92">
        <f>IF(Table645[[#This Row],[Column75]]="--",0,Table645[[#This Row],[Column4]]*Table645[[#This Row],[Column75]])</f>
        <v>0</v>
      </c>
      <c r="BY259" s="95" t="s">
        <v>70</v>
      </c>
      <c r="BZ259" s="91" t="str">
        <f>IF(Table645[[#This Row],[Column74]]=0,"--",BW259*$BY$3)</f>
        <v>--</v>
      </c>
      <c r="CA259" s="89">
        <f>IF(Table645[[#This Row],[Column78]]="--",0,Table645[[#This Row],[Column4]]*Table645[[#This Row],[Column78]])</f>
        <v>0</v>
      </c>
      <c r="CB259" s="95" t="s">
        <v>70</v>
      </c>
      <c r="CC259" s="91" t="str">
        <f>IF(Table645[[#This Row],[Column10]]+Table645[[#This Row],[Column74]]=0,"--",J259*$CB$4*$CB$5/(24*60)+IF(Table645[[#This Row],[Column74]]=0,0,$CB$3*Table645[[#This Row],[Column75]]))</f>
        <v>--</v>
      </c>
      <c r="CD259" s="92">
        <f>IF(Table645[[#This Row],[Column81]]="--",0,Table645[[#This Row],[Column4]]*Table645[[#This Row],[Column81]])</f>
        <v>0</v>
      </c>
      <c r="CE259" s="215"/>
      <c r="CF259" s="91" t="str">
        <f t="shared" si="149"/>
        <v>--</v>
      </c>
      <c r="CG259" s="92">
        <f>IF(Table645[[#This Row],[Column84]]="--",0,Table645[[#This Row],[Column4]]*Table645[[#This Row],[Column84]])</f>
        <v>0</v>
      </c>
      <c r="CH259" s="226"/>
      <c r="CI259" s="216"/>
      <c r="CJ259" s="91" t="str">
        <f>IF(CI259=0,"--",(Table645[[#This Row],[Column86]]*$CI$4*(IF(W259&lt;0.5001,1,IF(W259&lt;2.0001,2,3)))+CI259/$CI$3)/60/24)</f>
        <v>--</v>
      </c>
      <c r="CK259" s="92">
        <f>IF(Table645[[#This Row],[Column88]]="--",0,Table645[[#This Row],[Column4]]*Table645[[#This Row],[Column88]])</f>
        <v>0</v>
      </c>
      <c r="CL259" s="217"/>
      <c r="CM259" s="91" t="str">
        <f>IF(Table645[[#This Row],[Column87]]=0,"--",CJ259*$CL$3)</f>
        <v>--</v>
      </c>
      <c r="CN259" s="92">
        <f>IF(Table645[[#This Row],[Column91]]="--",0,Table645[[#This Row],[Column4]]*Table645[[#This Row],[Column91]])</f>
        <v>0</v>
      </c>
      <c r="CO259" s="217"/>
      <c r="CP259" s="91" t="str">
        <f>IF(Table645[[#This Row],[Column10]]+Table645[[#This Row],[Column87]]=0, "--", IF($D259="", 1, $D259) * IF($J259="", 1, $J259) * $CO$3 * $CO$4 * IF(Table645[[#This Row],[Column95]]="", 1, Table645[[#This Row],[Column95]]) / (24 * 60))</f>
        <v>--</v>
      </c>
      <c r="CQ259" s="164"/>
      <c r="CR259" s="92">
        <f>IF(Table645[[#This Row],[Column94]]="--",0,Table645[[#This Row],[Column4]]*Table645[[#This Row],[Column94]])</f>
        <v>0</v>
      </c>
      <c r="CS259" s="218" t="str">
        <f>IF(Table645[[#This Row],[Column87]]="","",Table645[[#This Row],[Column87]])</f>
        <v/>
      </c>
      <c r="CT259" s="91" t="str">
        <f>IF(Table645[[#This Row],[Column97]]="","--",Table645[[#This Row],[Column97]]/$CS$3/60/24)</f>
        <v>--</v>
      </c>
      <c r="CU259" s="92">
        <f>IF(Table645[[#This Row],[Column98]]="--",0,Table645[[#This Row],[Column4]]*Table645[[#This Row],[Column98]])</f>
        <v>0</v>
      </c>
      <c r="CV259" s="93"/>
      <c r="CW259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59" s="91" t="str">
        <f>IF(OR(Table645[[#This Row],[Column74]]&gt;0,Table645[[#This Row],[Column87]]&gt;0),(Table645[[#This Row],[Column73]]+Table645[[#This Row],[Column86]]+1)*$CW$3/60/24,"--")</f>
        <v>--</v>
      </c>
      <c r="CY259" s="92">
        <f>IF(Table645[[#This Row],[Column102]]="--",0,Table645[[#This Row],[Column4]]*Table645[[#This Row],[Column102]])</f>
        <v>0</v>
      </c>
      <c r="CZ259" s="158" t="str">
        <f t="shared" si="176"/>
        <v>--</v>
      </c>
      <c r="DA259" s="153"/>
      <c r="DB259" s="160">
        <f>IF(Table645[[#This Row],[Column104]]="--",0,Table645[[#This Row],[Column4]]*Table645[[#This Row],[Column104]])</f>
        <v>0</v>
      </c>
      <c r="DC259" s="219"/>
      <c r="DD259" s="220" t="str">
        <f>IF(DC259=0,"--",1/$DC$3*1000/(60*60*24)*Table645[[#This Row],[Column107]])</f>
        <v>--</v>
      </c>
      <c r="DE259" s="160">
        <f>IF(Table645[[#This Row],[Column108]]="--",0,Table645[[#This Row],[Column4]]*Table645[[#This Row],[Column108]])</f>
        <v>0</v>
      </c>
      <c r="DF259" s="101" t="s">
        <v>70</v>
      </c>
      <c r="DG259" s="91" t="str">
        <f t="shared" si="177"/>
        <v>--</v>
      </c>
      <c r="DH259" s="89">
        <f>IF(Table645[[#This Row],[Column111]]="--",0,Table645[[#This Row],[Column4]]*Table645[[#This Row],[Column111]])</f>
        <v>0</v>
      </c>
      <c r="DI259" s="96"/>
      <c r="DJ259" s="96"/>
      <c r="DK259" s="96"/>
      <c r="DL259" s="96"/>
      <c r="DM259" s="96"/>
      <c r="DN259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59" s="89">
        <f>IF(Table645[[#This Row],[Column118]]="--",0,Table645[[#This Row],[Column4]]*Table645[[#This Row],[Column118]])</f>
        <v>0</v>
      </c>
      <c r="DP259" s="96"/>
      <c r="DQ259" s="96"/>
      <c r="DR259" s="91" t="str">
        <f t="shared" si="178"/>
        <v>--</v>
      </c>
      <c r="DS259" s="89">
        <f>IF(Table645[[#This Row],[Column122]]="--",0,Table645[[#This Row],[Column4]]*Table645[[#This Row],[Column122]])</f>
        <v>0</v>
      </c>
      <c r="DT259" t="str">
        <f>IF(Table645[[#This Row],[Column125]]=0,"--",Table645[[#This Row],[Column125]]*Table645[[#This Row],[Column126]]*Table645[[#This Row],[Column127]]/1000000000)</f>
        <v>--</v>
      </c>
      <c r="DU259" s="53"/>
      <c r="DV259" s="53"/>
      <c r="DW259" s="53"/>
      <c r="DX259" s="91" t="str">
        <f t="shared" si="179"/>
        <v>--</v>
      </c>
      <c r="DY259" s="89">
        <f>IF(Table645[[#This Row],[Column128]]="--",0,Table645[[#This Row],[Column4]]*Table645[[#This Row],[Column128]])</f>
        <v>0</v>
      </c>
      <c r="EA259" s="89">
        <f>IF(Table645[[#This Row],[Column128]]="--",0,Table645[[#This Row],[Column4]]*Table645[[#This Row],[Column128]])</f>
        <v>0</v>
      </c>
      <c r="EC259" s="89">
        <f>IF(Table645[[#This Row],[Column128]]="--",0,Table645[[#This Row],[Column4]]*Table645[[#This Row],[Column128]])</f>
        <v>0</v>
      </c>
      <c r="EE259" s="89">
        <f>IF(Table645[[#This Row],[Column128]]="--",0,Table645[[#This Row],[Column4]]*Table645[[#This Row],[Column128]])</f>
        <v>0</v>
      </c>
      <c r="EG259" s="89">
        <f>IF(Table645[[#This Row],[Column128]]="--",0,Table645[[#This Row],[Column4]]*Table645[[#This Row],[Column128]])</f>
        <v>0</v>
      </c>
      <c r="EI259" s="89">
        <f>IF(Table645[[#This Row],[Column128]]="--",0,Table645[[#This Row],[Column4]]*Table645[[#This Row],[Column128]])</f>
        <v>0</v>
      </c>
    </row>
    <row r="260" spans="1:139" x14ac:dyDescent="0.25">
      <c r="A260" s="140"/>
      <c r="B260" s="79"/>
      <c r="C260" s="140"/>
      <c r="D260" s="167"/>
      <c r="E260" s="52"/>
      <c r="F260" s="81"/>
      <c r="G260" s="81"/>
      <c r="H260" s="102" t="str">
        <f t="shared" si="170"/>
        <v>--</v>
      </c>
      <c r="I260" s="100">
        <f>IF(Table645[[#This Row],[Column8]]="--",0,Table645[[#This Row],[Column4]]*Table645[[#This Row],[Column8]])</f>
        <v>0</v>
      </c>
      <c r="J260" s="169"/>
      <c r="K260" s="85">
        <f>Table645[[#This Row],[Column4]]*Table645[[#This Row],[Column10]]</f>
        <v>0</v>
      </c>
      <c r="L260" s="170" t="str">
        <f t="shared" si="171"/>
        <v>--</v>
      </c>
      <c r="M260" s="214">
        <f>IF(Table645[[#This Row],[Column10]]=0,0,Table645[[#This Row],[Column4]]*Table645[[#This Row],[Column12]])</f>
        <v>0</v>
      </c>
      <c r="N260" s="87" t="str">
        <f t="shared" si="172"/>
        <v>--</v>
      </c>
      <c r="O260" s="138"/>
      <c r="AZ260" s="89">
        <f>IF(Table645[[#This Row],[Column14]]="--",0,Table645[[#This Row],[Column4]]*Table645[[#This Row],[Column14]])</f>
        <v>0</v>
      </c>
      <c r="BA260" s="90"/>
      <c r="BB260" s="91" t="str">
        <f>IF(BA260=0,"--",BA260*$BA$3*IF(Table645[[#This Row],[Column5]]&lt;4.1,1,2)/60/24)</f>
        <v>--</v>
      </c>
      <c r="BC260" s="92">
        <f>IF(Table645[[#This Row],[Column54]]="--",0,Table645[[#This Row],[Column4]]*Table645[[#This Row],[Column54]])</f>
        <v>0</v>
      </c>
      <c r="BD260" s="119"/>
      <c r="BE260" s="119"/>
      <c r="BF260" s="119"/>
      <c r="BG260" s="91" t="str">
        <f>IF(BD260+Table645[[#This Row],[Column58]]=0,"--",(BD260*$BF$3*Table645[[#This Row],[Column57]]+Table645[[#This Row],[Column58]]*$BF$4)/60/24)</f>
        <v>--</v>
      </c>
      <c r="BH260" s="92">
        <f>IF(Table645[[#This Row],[Column59]]="--",0,Table645[[#This Row],[Column4]]*Table645[[#This Row],[Column59]])</f>
        <v>0</v>
      </c>
      <c r="BI260" s="119"/>
      <c r="BJ260" s="91" t="str">
        <f t="shared" si="148"/>
        <v>--</v>
      </c>
      <c r="BK260" s="92">
        <f>IF(Table645[[#This Row],[Column62]]="--",0,Table645[[#This Row],[Column4]]*Table645[[#This Row],[Column62]])</f>
        <v>0</v>
      </c>
      <c r="BL260" s="93"/>
      <c r="BM260" s="91" t="str">
        <f t="shared" si="173"/>
        <v>--</v>
      </c>
      <c r="BN260" s="89">
        <f>IF(Table645[[#This Row],[Column65]]="--",0,Table645[[#This Row],[Column4]]*Table645[[#This Row],[Column65]])</f>
        <v>0</v>
      </c>
      <c r="BO260" s="163"/>
      <c r="BP260" s="164" t="str">
        <f t="shared" si="174"/>
        <v>--</v>
      </c>
      <c r="BQ260" s="160">
        <f>IF(Table645[[#This Row],[Column68]]="--",0,Table645[[#This Row],[Column4]]*Table645[[#This Row],[Column68]])</f>
        <v>0</v>
      </c>
      <c r="BR260" s="94"/>
      <c r="BS260" s="91" t="str">
        <f t="shared" si="175"/>
        <v>--</v>
      </c>
      <c r="BT260" s="92">
        <f>IF(Table645[[#This Row],[Column71]]="--",0,Table645[[#This Row],[Column4]]*Table645[[#This Row],[Column71]])</f>
        <v>0</v>
      </c>
      <c r="BU260" s="44"/>
      <c r="BV260" s="90"/>
      <c r="BW260" s="91" t="str">
        <f>IF(BV260=0,"--",(Table645[[#This Row],[Column73]]*$BV$4*(IF(J260&lt;0.5001,1,IF(J260&lt;2.0001,2,3)))+BV260/$BV$3)/60/24)</f>
        <v>--</v>
      </c>
      <c r="BX260" s="92">
        <f>IF(Table645[[#This Row],[Column75]]="--",0,Table645[[#This Row],[Column4]]*Table645[[#This Row],[Column75]])</f>
        <v>0</v>
      </c>
      <c r="BY260" s="95" t="s">
        <v>70</v>
      </c>
      <c r="BZ260" s="91" t="str">
        <f>IF(Table645[[#This Row],[Column74]]=0,"--",BW260*$BY$3)</f>
        <v>--</v>
      </c>
      <c r="CA260" s="89">
        <f>IF(Table645[[#This Row],[Column78]]="--",0,Table645[[#This Row],[Column4]]*Table645[[#This Row],[Column78]])</f>
        <v>0</v>
      </c>
      <c r="CB260" s="95" t="s">
        <v>70</v>
      </c>
      <c r="CC260" s="91" t="str">
        <f>IF(Table645[[#This Row],[Column10]]+Table645[[#This Row],[Column74]]=0,"--",J260*$CB$4*$CB$5/(24*60)+IF(Table645[[#This Row],[Column74]]=0,0,$CB$3*Table645[[#This Row],[Column75]]))</f>
        <v>--</v>
      </c>
      <c r="CD260" s="92">
        <f>IF(Table645[[#This Row],[Column81]]="--",0,Table645[[#This Row],[Column4]]*Table645[[#This Row],[Column81]])</f>
        <v>0</v>
      </c>
      <c r="CE260" s="215"/>
      <c r="CF260" s="91" t="str">
        <f t="shared" si="149"/>
        <v>--</v>
      </c>
      <c r="CG260" s="92">
        <f>IF(Table645[[#This Row],[Column84]]="--",0,Table645[[#This Row],[Column4]]*Table645[[#This Row],[Column84]])</f>
        <v>0</v>
      </c>
      <c r="CH260" s="226"/>
      <c r="CI260" s="216"/>
      <c r="CJ260" s="91" t="str">
        <f>IF(CI260=0,"--",(Table645[[#This Row],[Column86]]*$CI$4*(IF(W260&lt;0.5001,1,IF(W260&lt;2.0001,2,3)))+CI260/$CI$3)/60/24)</f>
        <v>--</v>
      </c>
      <c r="CK260" s="92">
        <f>IF(Table645[[#This Row],[Column88]]="--",0,Table645[[#This Row],[Column4]]*Table645[[#This Row],[Column88]])</f>
        <v>0</v>
      </c>
      <c r="CL260" s="217"/>
      <c r="CM260" s="91" t="str">
        <f>IF(Table645[[#This Row],[Column87]]=0,"--",CJ260*$CL$3)</f>
        <v>--</v>
      </c>
      <c r="CN260" s="92">
        <f>IF(Table645[[#This Row],[Column91]]="--",0,Table645[[#This Row],[Column4]]*Table645[[#This Row],[Column91]])</f>
        <v>0</v>
      </c>
      <c r="CO260" s="217"/>
      <c r="CP260" s="91" t="str">
        <f>IF(Table645[[#This Row],[Column10]]+Table645[[#This Row],[Column87]]=0, "--", IF($D260="", 1, $D260) * IF($J260="", 1, $J260) * $CO$3 * $CO$4 * IF(Table645[[#This Row],[Column95]]="", 1, Table645[[#This Row],[Column95]]) / (24 * 60))</f>
        <v>--</v>
      </c>
      <c r="CQ260" s="164"/>
      <c r="CR260" s="92">
        <f>IF(Table645[[#This Row],[Column94]]="--",0,Table645[[#This Row],[Column4]]*Table645[[#This Row],[Column94]])</f>
        <v>0</v>
      </c>
      <c r="CS260" s="218" t="str">
        <f>IF(Table645[[#This Row],[Column87]]="","",Table645[[#This Row],[Column87]])</f>
        <v/>
      </c>
      <c r="CT260" s="91" t="str">
        <f>IF(Table645[[#This Row],[Column97]]="","--",Table645[[#This Row],[Column97]]/$CS$3/60/24)</f>
        <v>--</v>
      </c>
      <c r="CU260" s="92">
        <f>IF(Table645[[#This Row],[Column98]]="--",0,Table645[[#This Row],[Column4]]*Table645[[#This Row],[Column98]])</f>
        <v>0</v>
      </c>
      <c r="CV260" s="93"/>
      <c r="CW260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60" s="91" t="str">
        <f>IF(OR(Table645[[#This Row],[Column74]]&gt;0,Table645[[#This Row],[Column87]]&gt;0),(Table645[[#This Row],[Column73]]+Table645[[#This Row],[Column86]]+1)*$CW$3/60/24,"--")</f>
        <v>--</v>
      </c>
      <c r="CY260" s="92">
        <f>IF(Table645[[#This Row],[Column102]]="--",0,Table645[[#This Row],[Column4]]*Table645[[#This Row],[Column102]])</f>
        <v>0</v>
      </c>
      <c r="CZ260" s="158" t="str">
        <f t="shared" si="176"/>
        <v>--</v>
      </c>
      <c r="DA260" s="153"/>
      <c r="DB260" s="160">
        <f>IF(Table645[[#This Row],[Column104]]="--",0,Table645[[#This Row],[Column4]]*Table645[[#This Row],[Column104]])</f>
        <v>0</v>
      </c>
      <c r="DC260" s="219"/>
      <c r="DD260" s="220" t="str">
        <f>IF(DC260=0,"--",1/$DC$3*1000/(60*60*24)*Table645[[#This Row],[Column107]])</f>
        <v>--</v>
      </c>
      <c r="DE260" s="160">
        <f>IF(Table645[[#This Row],[Column108]]="--",0,Table645[[#This Row],[Column4]]*Table645[[#This Row],[Column108]])</f>
        <v>0</v>
      </c>
      <c r="DF260" s="101" t="s">
        <v>70</v>
      </c>
      <c r="DG260" s="91" t="str">
        <f t="shared" si="177"/>
        <v>--</v>
      </c>
      <c r="DH260" s="89">
        <f>IF(Table645[[#This Row],[Column111]]="--",0,Table645[[#This Row],[Column4]]*Table645[[#This Row],[Column111]])</f>
        <v>0</v>
      </c>
      <c r="DI260" s="96"/>
      <c r="DJ260" s="96"/>
      <c r="DK260" s="96"/>
      <c r="DL260" s="96"/>
      <c r="DM260" s="96"/>
      <c r="DN260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60" s="89">
        <f>IF(Table645[[#This Row],[Column118]]="--",0,Table645[[#This Row],[Column4]]*Table645[[#This Row],[Column118]])</f>
        <v>0</v>
      </c>
      <c r="DP260" s="96"/>
      <c r="DQ260" s="96"/>
      <c r="DR260" s="91" t="str">
        <f t="shared" si="178"/>
        <v>--</v>
      </c>
      <c r="DS260" s="89">
        <f>IF(Table645[[#This Row],[Column122]]="--",0,Table645[[#This Row],[Column4]]*Table645[[#This Row],[Column122]])</f>
        <v>0</v>
      </c>
      <c r="DT260" t="str">
        <f>IF(Table645[[#This Row],[Column125]]=0,"--",Table645[[#This Row],[Column125]]*Table645[[#This Row],[Column126]]*Table645[[#This Row],[Column127]]/1000000000)</f>
        <v>--</v>
      </c>
      <c r="DU260" s="53"/>
      <c r="DV260" s="53"/>
      <c r="DW260" s="53"/>
      <c r="DX260" s="91" t="str">
        <f t="shared" si="179"/>
        <v>--</v>
      </c>
      <c r="DY260" s="89">
        <f>IF(Table645[[#This Row],[Column128]]="--",0,Table645[[#This Row],[Column4]]*Table645[[#This Row],[Column128]])</f>
        <v>0</v>
      </c>
      <c r="EA260" s="89">
        <f>IF(Table645[[#This Row],[Column128]]="--",0,Table645[[#This Row],[Column4]]*Table645[[#This Row],[Column128]])</f>
        <v>0</v>
      </c>
      <c r="EC260" s="89">
        <f>IF(Table645[[#This Row],[Column128]]="--",0,Table645[[#This Row],[Column4]]*Table645[[#This Row],[Column128]])</f>
        <v>0</v>
      </c>
      <c r="EE260" s="89">
        <f>IF(Table645[[#This Row],[Column128]]="--",0,Table645[[#This Row],[Column4]]*Table645[[#This Row],[Column128]])</f>
        <v>0</v>
      </c>
      <c r="EG260" s="89">
        <f>IF(Table645[[#This Row],[Column128]]="--",0,Table645[[#This Row],[Column4]]*Table645[[#This Row],[Column128]])</f>
        <v>0</v>
      </c>
      <c r="EI260" s="89">
        <f>IF(Table645[[#This Row],[Column128]]="--",0,Table645[[#This Row],[Column4]]*Table645[[#This Row],[Column128]])</f>
        <v>0</v>
      </c>
    </row>
    <row r="261" spans="1:139" x14ac:dyDescent="0.25">
      <c r="A261" s="140"/>
      <c r="B261" s="79"/>
      <c r="C261" s="140"/>
      <c r="D261" s="167"/>
      <c r="E261" s="52"/>
      <c r="F261" s="81"/>
      <c r="G261" s="81"/>
      <c r="H261" s="102" t="str">
        <f t="shared" si="170"/>
        <v>--</v>
      </c>
      <c r="I261" s="100">
        <f>IF(Table645[[#This Row],[Column8]]="--",0,Table645[[#This Row],[Column4]]*Table645[[#This Row],[Column8]])</f>
        <v>0</v>
      </c>
      <c r="J261" s="169"/>
      <c r="K261" s="85">
        <f>Table645[[#This Row],[Column4]]*Table645[[#This Row],[Column10]]</f>
        <v>0</v>
      </c>
      <c r="L261" s="170" t="str">
        <f t="shared" si="171"/>
        <v>--</v>
      </c>
      <c r="M261" s="214">
        <f>IF(Table645[[#This Row],[Column10]]=0,0,Table645[[#This Row],[Column4]]*Table645[[#This Row],[Column12]])</f>
        <v>0</v>
      </c>
      <c r="N261" s="87" t="str">
        <f t="shared" si="172"/>
        <v>--</v>
      </c>
      <c r="O261" s="138"/>
      <c r="AZ261" s="89">
        <f>IF(Table645[[#This Row],[Column14]]="--",0,Table645[[#This Row],[Column4]]*Table645[[#This Row],[Column14]])</f>
        <v>0</v>
      </c>
      <c r="BA261" s="90"/>
      <c r="BB261" s="91" t="str">
        <f>IF(BA261=0,"--",BA261*$BA$3*IF(Table645[[#This Row],[Column5]]&lt;4.1,1,2)/60/24)</f>
        <v>--</v>
      </c>
      <c r="BC261" s="92">
        <f>IF(Table645[[#This Row],[Column54]]="--",0,Table645[[#This Row],[Column4]]*Table645[[#This Row],[Column54]])</f>
        <v>0</v>
      </c>
      <c r="BD261" s="119"/>
      <c r="BE261" s="119"/>
      <c r="BF261" s="119"/>
      <c r="BG261" s="91" t="str">
        <f>IF(BD261+Table645[[#This Row],[Column58]]=0,"--",(BD261*$BF$3*Table645[[#This Row],[Column57]]+Table645[[#This Row],[Column58]]*$BF$4)/60/24)</f>
        <v>--</v>
      </c>
      <c r="BH261" s="92">
        <f>IF(Table645[[#This Row],[Column59]]="--",0,Table645[[#This Row],[Column4]]*Table645[[#This Row],[Column59]])</f>
        <v>0</v>
      </c>
      <c r="BI261" s="119"/>
      <c r="BJ261" s="91" t="str">
        <f t="shared" si="148"/>
        <v>--</v>
      </c>
      <c r="BK261" s="92">
        <f>IF(Table645[[#This Row],[Column62]]="--",0,Table645[[#This Row],[Column4]]*Table645[[#This Row],[Column62]])</f>
        <v>0</v>
      </c>
      <c r="BL261" s="93"/>
      <c r="BM261" s="91" t="str">
        <f t="shared" si="173"/>
        <v>--</v>
      </c>
      <c r="BN261" s="89">
        <f>IF(Table645[[#This Row],[Column65]]="--",0,Table645[[#This Row],[Column4]]*Table645[[#This Row],[Column65]])</f>
        <v>0</v>
      </c>
      <c r="BO261" s="163"/>
      <c r="BP261" s="164" t="str">
        <f t="shared" si="174"/>
        <v>--</v>
      </c>
      <c r="BQ261" s="160">
        <f>IF(Table645[[#This Row],[Column68]]="--",0,Table645[[#This Row],[Column4]]*Table645[[#This Row],[Column68]])</f>
        <v>0</v>
      </c>
      <c r="BR261" s="94"/>
      <c r="BS261" s="91" t="str">
        <f t="shared" si="175"/>
        <v>--</v>
      </c>
      <c r="BT261" s="92">
        <f>IF(Table645[[#This Row],[Column71]]="--",0,Table645[[#This Row],[Column4]]*Table645[[#This Row],[Column71]])</f>
        <v>0</v>
      </c>
      <c r="BU261" s="44"/>
      <c r="BV261" s="90"/>
      <c r="BW261" s="91" t="str">
        <f>IF(BV261=0,"--",(Table645[[#This Row],[Column73]]*$BV$4*(IF(J261&lt;0.5001,1,IF(J261&lt;2.0001,2,3)))+BV261/$BV$3)/60/24)</f>
        <v>--</v>
      </c>
      <c r="BX261" s="92">
        <f>IF(Table645[[#This Row],[Column75]]="--",0,Table645[[#This Row],[Column4]]*Table645[[#This Row],[Column75]])</f>
        <v>0</v>
      </c>
      <c r="BY261" s="95" t="s">
        <v>70</v>
      </c>
      <c r="BZ261" s="91" t="str">
        <f>IF(Table645[[#This Row],[Column74]]=0,"--",BW261*$BY$3)</f>
        <v>--</v>
      </c>
      <c r="CA261" s="89">
        <f>IF(Table645[[#This Row],[Column78]]="--",0,Table645[[#This Row],[Column4]]*Table645[[#This Row],[Column78]])</f>
        <v>0</v>
      </c>
      <c r="CB261" s="95" t="s">
        <v>70</v>
      </c>
      <c r="CC261" s="91" t="str">
        <f>IF(Table645[[#This Row],[Column10]]+Table645[[#This Row],[Column74]]=0,"--",J261*$CB$4*$CB$5/(24*60)+IF(Table645[[#This Row],[Column74]]=0,0,$CB$3*Table645[[#This Row],[Column75]]))</f>
        <v>--</v>
      </c>
      <c r="CD261" s="92">
        <f>IF(Table645[[#This Row],[Column81]]="--",0,Table645[[#This Row],[Column4]]*Table645[[#This Row],[Column81]])</f>
        <v>0</v>
      </c>
      <c r="CE261" s="215"/>
      <c r="CF261" s="91" t="str">
        <f t="shared" si="149"/>
        <v>--</v>
      </c>
      <c r="CG261" s="92">
        <f>IF(Table645[[#This Row],[Column84]]="--",0,Table645[[#This Row],[Column4]]*Table645[[#This Row],[Column84]])</f>
        <v>0</v>
      </c>
      <c r="CH261" s="226"/>
      <c r="CI261" s="216"/>
      <c r="CJ261" s="91" t="str">
        <f>IF(CI261=0,"--",(Table645[[#This Row],[Column86]]*$CI$4*(IF(W261&lt;0.5001,1,IF(W261&lt;2.0001,2,3)))+CI261/$CI$3)/60/24)</f>
        <v>--</v>
      </c>
      <c r="CK261" s="92">
        <f>IF(Table645[[#This Row],[Column88]]="--",0,Table645[[#This Row],[Column4]]*Table645[[#This Row],[Column88]])</f>
        <v>0</v>
      </c>
      <c r="CL261" s="217"/>
      <c r="CM261" s="91" t="str">
        <f>IF(Table645[[#This Row],[Column87]]=0,"--",CJ261*$CL$3)</f>
        <v>--</v>
      </c>
      <c r="CN261" s="92">
        <f>IF(Table645[[#This Row],[Column91]]="--",0,Table645[[#This Row],[Column4]]*Table645[[#This Row],[Column91]])</f>
        <v>0</v>
      </c>
      <c r="CO261" s="217"/>
      <c r="CP261" s="91" t="str">
        <f>IF(Table645[[#This Row],[Column10]]+Table645[[#This Row],[Column87]]=0, "--", IF($D261="", 1, $D261) * IF($J261="", 1, $J261) * $CO$3 * $CO$4 * IF(Table645[[#This Row],[Column95]]="", 1, Table645[[#This Row],[Column95]]) / (24 * 60))</f>
        <v>--</v>
      </c>
      <c r="CQ261" s="164"/>
      <c r="CR261" s="92">
        <f>IF(Table645[[#This Row],[Column94]]="--",0,Table645[[#This Row],[Column4]]*Table645[[#This Row],[Column94]])</f>
        <v>0</v>
      </c>
      <c r="CS261" s="218" t="str">
        <f>IF(Table645[[#This Row],[Column87]]="","",Table645[[#This Row],[Column87]])</f>
        <v/>
      </c>
      <c r="CT261" s="91" t="str">
        <f>IF(Table645[[#This Row],[Column97]]="","--",Table645[[#This Row],[Column97]]/$CS$3/60/24)</f>
        <v>--</v>
      </c>
      <c r="CU261" s="92">
        <f>IF(Table645[[#This Row],[Column98]]="--",0,Table645[[#This Row],[Column4]]*Table645[[#This Row],[Column98]])</f>
        <v>0</v>
      </c>
      <c r="CV261" s="93"/>
      <c r="CW261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61" s="91" t="str">
        <f>IF(OR(Table645[[#This Row],[Column74]]&gt;0,Table645[[#This Row],[Column87]]&gt;0),(Table645[[#This Row],[Column73]]+Table645[[#This Row],[Column86]]+1)*$CW$3/60/24,"--")</f>
        <v>--</v>
      </c>
      <c r="CY261" s="92">
        <f>IF(Table645[[#This Row],[Column102]]="--",0,Table645[[#This Row],[Column4]]*Table645[[#This Row],[Column102]])</f>
        <v>0</v>
      </c>
      <c r="CZ261" s="158" t="str">
        <f t="shared" si="176"/>
        <v>--</v>
      </c>
      <c r="DA261" s="153"/>
      <c r="DB261" s="160">
        <f>IF(Table645[[#This Row],[Column104]]="--",0,Table645[[#This Row],[Column4]]*Table645[[#This Row],[Column104]])</f>
        <v>0</v>
      </c>
      <c r="DC261" s="219"/>
      <c r="DD261" s="220" t="str">
        <f>IF(DC261=0,"--",1/$DC$3*1000/(60*60*24)*Table645[[#This Row],[Column107]])</f>
        <v>--</v>
      </c>
      <c r="DE261" s="160">
        <f>IF(Table645[[#This Row],[Column108]]="--",0,Table645[[#This Row],[Column4]]*Table645[[#This Row],[Column108]])</f>
        <v>0</v>
      </c>
      <c r="DF261" s="101" t="s">
        <v>70</v>
      </c>
      <c r="DG261" s="91" t="str">
        <f t="shared" si="177"/>
        <v>--</v>
      </c>
      <c r="DH261" s="89">
        <f>IF(Table645[[#This Row],[Column111]]="--",0,Table645[[#This Row],[Column4]]*Table645[[#This Row],[Column111]])</f>
        <v>0</v>
      </c>
      <c r="DI261" s="96"/>
      <c r="DJ261" s="96"/>
      <c r="DK261" s="96"/>
      <c r="DL261" s="96"/>
      <c r="DM261" s="96"/>
      <c r="DN261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61" s="89">
        <f>IF(Table645[[#This Row],[Column118]]="--",0,Table645[[#This Row],[Column4]]*Table645[[#This Row],[Column118]])</f>
        <v>0</v>
      </c>
      <c r="DP261" s="96"/>
      <c r="DQ261" s="96"/>
      <c r="DR261" s="91" t="str">
        <f t="shared" si="178"/>
        <v>--</v>
      </c>
      <c r="DS261" s="89">
        <f>IF(Table645[[#This Row],[Column122]]="--",0,Table645[[#This Row],[Column4]]*Table645[[#This Row],[Column122]])</f>
        <v>0</v>
      </c>
      <c r="DT261" t="str">
        <f>IF(Table645[[#This Row],[Column125]]=0,"--",Table645[[#This Row],[Column125]]*Table645[[#This Row],[Column126]]*Table645[[#This Row],[Column127]]/1000000000)</f>
        <v>--</v>
      </c>
      <c r="DU261" s="53"/>
      <c r="DV261" s="53"/>
      <c r="DW261" s="53"/>
      <c r="DX261" s="91" t="str">
        <f t="shared" si="179"/>
        <v>--</v>
      </c>
      <c r="DY261" s="89">
        <f>IF(Table645[[#This Row],[Column128]]="--",0,Table645[[#This Row],[Column4]]*Table645[[#This Row],[Column128]])</f>
        <v>0</v>
      </c>
      <c r="EA261" s="89">
        <f>IF(Table645[[#This Row],[Column128]]="--",0,Table645[[#This Row],[Column4]]*Table645[[#This Row],[Column128]])</f>
        <v>0</v>
      </c>
      <c r="EC261" s="89">
        <f>IF(Table645[[#This Row],[Column128]]="--",0,Table645[[#This Row],[Column4]]*Table645[[#This Row],[Column128]])</f>
        <v>0</v>
      </c>
      <c r="EE261" s="89">
        <f>IF(Table645[[#This Row],[Column128]]="--",0,Table645[[#This Row],[Column4]]*Table645[[#This Row],[Column128]])</f>
        <v>0</v>
      </c>
      <c r="EG261" s="89">
        <f>IF(Table645[[#This Row],[Column128]]="--",0,Table645[[#This Row],[Column4]]*Table645[[#This Row],[Column128]])</f>
        <v>0</v>
      </c>
      <c r="EI261" s="89">
        <f>IF(Table645[[#This Row],[Column128]]="--",0,Table645[[#This Row],[Column4]]*Table645[[#This Row],[Column128]])</f>
        <v>0</v>
      </c>
    </row>
    <row r="262" spans="1:139" x14ac:dyDescent="0.25">
      <c r="A262" s="140"/>
      <c r="B262" s="79"/>
      <c r="C262" s="140"/>
      <c r="D262" s="167"/>
      <c r="E262" s="52"/>
      <c r="F262" s="81"/>
      <c r="G262" s="81"/>
      <c r="H262" s="102" t="str">
        <f t="shared" si="170"/>
        <v>--</v>
      </c>
      <c r="I262" s="100">
        <f>IF(Table645[[#This Row],[Column8]]="--",0,Table645[[#This Row],[Column4]]*Table645[[#This Row],[Column8]])</f>
        <v>0</v>
      </c>
      <c r="J262" s="169"/>
      <c r="K262" s="85">
        <f>Table645[[#This Row],[Column4]]*Table645[[#This Row],[Column10]]</f>
        <v>0</v>
      </c>
      <c r="L262" s="170" t="str">
        <f t="shared" si="171"/>
        <v>--</v>
      </c>
      <c r="M262" s="214">
        <f>IF(Table645[[#This Row],[Column10]]=0,0,Table645[[#This Row],[Column4]]*Table645[[#This Row],[Column12]])</f>
        <v>0</v>
      </c>
      <c r="N262" s="87" t="str">
        <f t="shared" si="172"/>
        <v>--</v>
      </c>
      <c r="O262" s="138"/>
      <c r="AZ262" s="89">
        <f>IF(Table645[[#This Row],[Column14]]="--",0,Table645[[#This Row],[Column4]]*Table645[[#This Row],[Column14]])</f>
        <v>0</v>
      </c>
      <c r="BA262" s="90"/>
      <c r="BB262" s="91" t="str">
        <f>IF(BA262=0,"--",BA262*$BA$3*IF(Table645[[#This Row],[Column5]]&lt;4.1,1,2)/60/24)</f>
        <v>--</v>
      </c>
      <c r="BC262" s="92">
        <f>IF(Table645[[#This Row],[Column54]]="--",0,Table645[[#This Row],[Column4]]*Table645[[#This Row],[Column54]])</f>
        <v>0</v>
      </c>
      <c r="BD262" s="119"/>
      <c r="BE262" s="119"/>
      <c r="BF262" s="119"/>
      <c r="BG262" s="91" t="str">
        <f>IF(BD262+Table645[[#This Row],[Column58]]=0,"--",(BD262*$BF$3*Table645[[#This Row],[Column57]]+Table645[[#This Row],[Column58]]*$BF$4)/60/24)</f>
        <v>--</v>
      </c>
      <c r="BH262" s="92">
        <f>IF(Table645[[#This Row],[Column59]]="--",0,Table645[[#This Row],[Column4]]*Table645[[#This Row],[Column59]])</f>
        <v>0</v>
      </c>
      <c r="BI262" s="119"/>
      <c r="BJ262" s="91" t="str">
        <f t="shared" si="148"/>
        <v>--</v>
      </c>
      <c r="BK262" s="92">
        <f>IF(Table645[[#This Row],[Column62]]="--",0,Table645[[#This Row],[Column4]]*Table645[[#This Row],[Column62]])</f>
        <v>0</v>
      </c>
      <c r="BL262" s="93"/>
      <c r="BM262" s="91" t="str">
        <f t="shared" si="173"/>
        <v>--</v>
      </c>
      <c r="BN262" s="89">
        <f>IF(Table645[[#This Row],[Column65]]="--",0,Table645[[#This Row],[Column4]]*Table645[[#This Row],[Column65]])</f>
        <v>0</v>
      </c>
      <c r="BO262" s="163"/>
      <c r="BP262" s="164" t="str">
        <f t="shared" si="174"/>
        <v>--</v>
      </c>
      <c r="BQ262" s="160">
        <f>IF(Table645[[#This Row],[Column68]]="--",0,Table645[[#This Row],[Column4]]*Table645[[#This Row],[Column68]])</f>
        <v>0</v>
      </c>
      <c r="BR262" s="94"/>
      <c r="BS262" s="91" t="str">
        <f t="shared" si="175"/>
        <v>--</v>
      </c>
      <c r="BT262" s="92">
        <f>IF(Table645[[#This Row],[Column71]]="--",0,Table645[[#This Row],[Column4]]*Table645[[#This Row],[Column71]])</f>
        <v>0</v>
      </c>
      <c r="BU262" s="44"/>
      <c r="BV262" s="90"/>
      <c r="BW262" s="91" t="str">
        <f>IF(BV262=0,"--",(Table645[[#This Row],[Column73]]*$BV$4*(IF(J262&lt;0.5001,1,IF(J262&lt;2.0001,2,3)))+BV262/$BV$3)/60/24)</f>
        <v>--</v>
      </c>
      <c r="BX262" s="92">
        <f>IF(Table645[[#This Row],[Column75]]="--",0,Table645[[#This Row],[Column4]]*Table645[[#This Row],[Column75]])</f>
        <v>0</v>
      </c>
      <c r="BY262" s="95" t="s">
        <v>70</v>
      </c>
      <c r="BZ262" s="91" t="str">
        <f>IF(Table645[[#This Row],[Column74]]=0,"--",BW262*$BY$3)</f>
        <v>--</v>
      </c>
      <c r="CA262" s="89">
        <f>IF(Table645[[#This Row],[Column78]]="--",0,Table645[[#This Row],[Column4]]*Table645[[#This Row],[Column78]])</f>
        <v>0</v>
      </c>
      <c r="CB262" s="95" t="s">
        <v>70</v>
      </c>
      <c r="CC262" s="91" t="str">
        <f>IF(Table645[[#This Row],[Column10]]+Table645[[#This Row],[Column74]]=0,"--",J262*$CB$4*$CB$5/(24*60)+IF(Table645[[#This Row],[Column74]]=0,0,$CB$3*Table645[[#This Row],[Column75]]))</f>
        <v>--</v>
      </c>
      <c r="CD262" s="92">
        <f>IF(Table645[[#This Row],[Column81]]="--",0,Table645[[#This Row],[Column4]]*Table645[[#This Row],[Column81]])</f>
        <v>0</v>
      </c>
      <c r="CE262" s="215"/>
      <c r="CF262" s="91" t="str">
        <f t="shared" si="149"/>
        <v>--</v>
      </c>
      <c r="CG262" s="92">
        <f>IF(Table645[[#This Row],[Column84]]="--",0,Table645[[#This Row],[Column4]]*Table645[[#This Row],[Column84]])</f>
        <v>0</v>
      </c>
      <c r="CH262" s="226"/>
      <c r="CI262" s="216"/>
      <c r="CJ262" s="91" t="str">
        <f>IF(CI262=0,"--",(Table645[[#This Row],[Column86]]*$CI$4*(IF(W262&lt;0.5001,1,IF(W262&lt;2.0001,2,3)))+CI262/$CI$3)/60/24)</f>
        <v>--</v>
      </c>
      <c r="CK262" s="92">
        <f>IF(Table645[[#This Row],[Column88]]="--",0,Table645[[#This Row],[Column4]]*Table645[[#This Row],[Column88]])</f>
        <v>0</v>
      </c>
      <c r="CL262" s="217"/>
      <c r="CM262" s="91" t="str">
        <f>IF(Table645[[#This Row],[Column87]]=0,"--",CJ262*$CL$3)</f>
        <v>--</v>
      </c>
      <c r="CN262" s="92">
        <f>IF(Table645[[#This Row],[Column91]]="--",0,Table645[[#This Row],[Column4]]*Table645[[#This Row],[Column91]])</f>
        <v>0</v>
      </c>
      <c r="CO262" s="217"/>
      <c r="CP262" s="91" t="str">
        <f>IF(Table645[[#This Row],[Column10]]+Table645[[#This Row],[Column87]]=0, "--", IF($D262="", 1, $D262) * IF($J262="", 1, $J262) * $CO$3 * $CO$4 * IF(Table645[[#This Row],[Column95]]="", 1, Table645[[#This Row],[Column95]]) / (24 * 60))</f>
        <v>--</v>
      </c>
      <c r="CQ262" s="164"/>
      <c r="CR262" s="92">
        <f>IF(Table645[[#This Row],[Column94]]="--",0,Table645[[#This Row],[Column4]]*Table645[[#This Row],[Column94]])</f>
        <v>0</v>
      </c>
      <c r="CS262" s="218" t="str">
        <f>IF(Table645[[#This Row],[Column87]]="","",Table645[[#This Row],[Column87]])</f>
        <v/>
      </c>
      <c r="CT262" s="91" t="str">
        <f>IF(Table645[[#This Row],[Column97]]="","--",Table645[[#This Row],[Column97]]/$CS$3/60/24)</f>
        <v>--</v>
      </c>
      <c r="CU262" s="92">
        <f>IF(Table645[[#This Row],[Column98]]="--",0,Table645[[#This Row],[Column4]]*Table645[[#This Row],[Column98]])</f>
        <v>0</v>
      </c>
      <c r="CV262" s="93"/>
      <c r="CW262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62" s="91" t="str">
        <f>IF(OR(Table645[[#This Row],[Column74]]&gt;0,Table645[[#This Row],[Column87]]&gt;0),(Table645[[#This Row],[Column73]]+Table645[[#This Row],[Column86]]+1)*$CW$3/60/24,"--")</f>
        <v>--</v>
      </c>
      <c r="CY262" s="92">
        <f>IF(Table645[[#This Row],[Column102]]="--",0,Table645[[#This Row],[Column4]]*Table645[[#This Row],[Column102]])</f>
        <v>0</v>
      </c>
      <c r="CZ262" s="158" t="str">
        <f t="shared" si="176"/>
        <v>--</v>
      </c>
      <c r="DA262" s="153"/>
      <c r="DB262" s="160">
        <f>IF(Table645[[#This Row],[Column104]]="--",0,Table645[[#This Row],[Column4]]*Table645[[#This Row],[Column104]])</f>
        <v>0</v>
      </c>
      <c r="DC262" s="219"/>
      <c r="DD262" s="220" t="str">
        <f>IF(DC262=0,"--",1/$DC$3*1000/(60*60*24)*Table645[[#This Row],[Column107]])</f>
        <v>--</v>
      </c>
      <c r="DE262" s="160">
        <f>IF(Table645[[#This Row],[Column108]]="--",0,Table645[[#This Row],[Column4]]*Table645[[#This Row],[Column108]])</f>
        <v>0</v>
      </c>
      <c r="DF262" s="101" t="s">
        <v>70</v>
      </c>
      <c r="DG262" s="91" t="str">
        <f t="shared" si="177"/>
        <v>--</v>
      </c>
      <c r="DH262" s="89">
        <f>IF(Table645[[#This Row],[Column111]]="--",0,Table645[[#This Row],[Column4]]*Table645[[#This Row],[Column111]])</f>
        <v>0</v>
      </c>
      <c r="DI262" s="96"/>
      <c r="DJ262" s="96"/>
      <c r="DK262" s="96"/>
      <c r="DL262" s="96"/>
      <c r="DM262" s="96"/>
      <c r="DN262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62" s="89">
        <f>IF(Table645[[#This Row],[Column118]]="--",0,Table645[[#This Row],[Column4]]*Table645[[#This Row],[Column118]])</f>
        <v>0</v>
      </c>
      <c r="DP262" s="96"/>
      <c r="DQ262" s="96"/>
      <c r="DR262" s="91" t="str">
        <f t="shared" si="178"/>
        <v>--</v>
      </c>
      <c r="DS262" s="89">
        <f>IF(Table645[[#This Row],[Column122]]="--",0,Table645[[#This Row],[Column4]]*Table645[[#This Row],[Column122]])</f>
        <v>0</v>
      </c>
      <c r="DT262" t="str">
        <f>IF(Table645[[#This Row],[Column125]]=0,"--",Table645[[#This Row],[Column125]]*Table645[[#This Row],[Column126]]*Table645[[#This Row],[Column127]]/1000000000)</f>
        <v>--</v>
      </c>
      <c r="DU262" s="53"/>
      <c r="DV262" s="53"/>
      <c r="DW262" s="53"/>
      <c r="DX262" s="91" t="str">
        <f t="shared" si="179"/>
        <v>--</v>
      </c>
      <c r="DY262" s="89">
        <f>IF(Table645[[#This Row],[Column128]]="--",0,Table645[[#This Row],[Column4]]*Table645[[#This Row],[Column128]])</f>
        <v>0</v>
      </c>
      <c r="EA262" s="89">
        <f>IF(Table645[[#This Row],[Column128]]="--",0,Table645[[#This Row],[Column4]]*Table645[[#This Row],[Column128]])</f>
        <v>0</v>
      </c>
      <c r="EC262" s="89">
        <f>IF(Table645[[#This Row],[Column128]]="--",0,Table645[[#This Row],[Column4]]*Table645[[#This Row],[Column128]])</f>
        <v>0</v>
      </c>
      <c r="EE262" s="89">
        <f>IF(Table645[[#This Row],[Column128]]="--",0,Table645[[#This Row],[Column4]]*Table645[[#This Row],[Column128]])</f>
        <v>0</v>
      </c>
      <c r="EG262" s="89">
        <f>IF(Table645[[#This Row],[Column128]]="--",0,Table645[[#This Row],[Column4]]*Table645[[#This Row],[Column128]])</f>
        <v>0</v>
      </c>
      <c r="EI262" s="89">
        <f>IF(Table645[[#This Row],[Column128]]="--",0,Table645[[#This Row],[Column4]]*Table645[[#This Row],[Column128]])</f>
        <v>0</v>
      </c>
    </row>
    <row r="263" spans="1:139" x14ac:dyDescent="0.25">
      <c r="A263" s="140"/>
      <c r="B263" s="79"/>
      <c r="C263" s="140"/>
      <c r="D263" s="167"/>
      <c r="E263" s="52"/>
      <c r="F263" s="81"/>
      <c r="G263" s="81"/>
      <c r="H263" s="102" t="str">
        <f t="shared" si="170"/>
        <v>--</v>
      </c>
      <c r="I263" s="100">
        <f>IF(Table645[[#This Row],[Column8]]="--",0,Table645[[#This Row],[Column4]]*Table645[[#This Row],[Column8]])</f>
        <v>0</v>
      </c>
      <c r="J263" s="169"/>
      <c r="K263" s="85">
        <f>Table645[[#This Row],[Column4]]*Table645[[#This Row],[Column10]]</f>
        <v>0</v>
      </c>
      <c r="L263" s="170" t="str">
        <f t="shared" si="171"/>
        <v>--</v>
      </c>
      <c r="M263" s="214">
        <f>IF(Table645[[#This Row],[Column10]]=0,0,Table645[[#This Row],[Column4]]*Table645[[#This Row],[Column12]])</f>
        <v>0</v>
      </c>
      <c r="N263" s="87" t="str">
        <f t="shared" si="172"/>
        <v>--</v>
      </c>
      <c r="O263" s="138"/>
      <c r="AZ263" s="89">
        <f>IF(Table645[[#This Row],[Column14]]="--",0,Table645[[#This Row],[Column4]]*Table645[[#This Row],[Column14]])</f>
        <v>0</v>
      </c>
      <c r="BA263" s="90"/>
      <c r="BB263" s="91" t="str">
        <f>IF(BA263=0,"--",BA263*$BA$3*IF(Table645[[#This Row],[Column5]]&lt;4.1,1,2)/60/24)</f>
        <v>--</v>
      </c>
      <c r="BC263" s="92">
        <f>IF(Table645[[#This Row],[Column54]]="--",0,Table645[[#This Row],[Column4]]*Table645[[#This Row],[Column54]])</f>
        <v>0</v>
      </c>
      <c r="BD263" s="119"/>
      <c r="BE263" s="119"/>
      <c r="BF263" s="119"/>
      <c r="BG263" s="91" t="str">
        <f>IF(BD263+Table645[[#This Row],[Column58]]=0,"--",(BD263*$BF$3*Table645[[#This Row],[Column57]]+Table645[[#This Row],[Column58]]*$BF$4)/60/24)</f>
        <v>--</v>
      </c>
      <c r="BH263" s="92">
        <f>IF(Table645[[#This Row],[Column59]]="--",0,Table645[[#This Row],[Column4]]*Table645[[#This Row],[Column59]])</f>
        <v>0</v>
      </c>
      <c r="BI263" s="119"/>
      <c r="BJ263" s="91" t="str">
        <f t="shared" si="148"/>
        <v>--</v>
      </c>
      <c r="BK263" s="92">
        <f>IF(Table645[[#This Row],[Column62]]="--",0,Table645[[#This Row],[Column4]]*Table645[[#This Row],[Column62]])</f>
        <v>0</v>
      </c>
      <c r="BL263" s="93"/>
      <c r="BM263" s="91" t="str">
        <f t="shared" si="173"/>
        <v>--</v>
      </c>
      <c r="BN263" s="89">
        <f>IF(Table645[[#This Row],[Column65]]="--",0,Table645[[#This Row],[Column4]]*Table645[[#This Row],[Column65]])</f>
        <v>0</v>
      </c>
      <c r="BO263" s="163"/>
      <c r="BP263" s="164" t="str">
        <f t="shared" si="174"/>
        <v>--</v>
      </c>
      <c r="BQ263" s="160">
        <f>IF(Table645[[#This Row],[Column68]]="--",0,Table645[[#This Row],[Column4]]*Table645[[#This Row],[Column68]])</f>
        <v>0</v>
      </c>
      <c r="BR263" s="94"/>
      <c r="BS263" s="91" t="str">
        <f t="shared" si="175"/>
        <v>--</v>
      </c>
      <c r="BT263" s="92">
        <f>IF(Table645[[#This Row],[Column71]]="--",0,Table645[[#This Row],[Column4]]*Table645[[#This Row],[Column71]])</f>
        <v>0</v>
      </c>
      <c r="BU263" s="44"/>
      <c r="BV263" s="90"/>
      <c r="BW263" s="91" t="str">
        <f>IF(BV263=0,"--",(Table645[[#This Row],[Column73]]*$BV$4*(IF(J263&lt;0.5001,1,IF(J263&lt;2.0001,2,3)))+BV263/$BV$3)/60/24)</f>
        <v>--</v>
      </c>
      <c r="BX263" s="92">
        <f>IF(Table645[[#This Row],[Column75]]="--",0,Table645[[#This Row],[Column4]]*Table645[[#This Row],[Column75]])</f>
        <v>0</v>
      </c>
      <c r="BY263" s="95" t="s">
        <v>70</v>
      </c>
      <c r="BZ263" s="91" t="str">
        <f>IF(Table645[[#This Row],[Column74]]=0,"--",BW263*$BY$3)</f>
        <v>--</v>
      </c>
      <c r="CA263" s="89">
        <f>IF(Table645[[#This Row],[Column78]]="--",0,Table645[[#This Row],[Column4]]*Table645[[#This Row],[Column78]])</f>
        <v>0</v>
      </c>
      <c r="CB263" s="95" t="s">
        <v>70</v>
      </c>
      <c r="CC263" s="91" t="str">
        <f>IF(Table645[[#This Row],[Column10]]+Table645[[#This Row],[Column74]]=0,"--",J263*$CB$4*$CB$5/(24*60)+IF(Table645[[#This Row],[Column74]]=0,0,$CB$3*Table645[[#This Row],[Column75]]))</f>
        <v>--</v>
      </c>
      <c r="CD263" s="92">
        <f>IF(Table645[[#This Row],[Column81]]="--",0,Table645[[#This Row],[Column4]]*Table645[[#This Row],[Column81]])</f>
        <v>0</v>
      </c>
      <c r="CE263" s="215"/>
      <c r="CF263" s="91" t="str">
        <f t="shared" si="149"/>
        <v>--</v>
      </c>
      <c r="CG263" s="92">
        <f>IF(Table645[[#This Row],[Column84]]="--",0,Table645[[#This Row],[Column4]]*Table645[[#This Row],[Column84]])</f>
        <v>0</v>
      </c>
      <c r="CH263" s="226"/>
      <c r="CI263" s="216"/>
      <c r="CJ263" s="91" t="str">
        <f>IF(CI263=0,"--",(Table645[[#This Row],[Column86]]*$CI$4*(IF(W263&lt;0.5001,1,IF(W263&lt;2.0001,2,3)))+CI263/$CI$3)/60/24)</f>
        <v>--</v>
      </c>
      <c r="CK263" s="92">
        <f>IF(Table645[[#This Row],[Column88]]="--",0,Table645[[#This Row],[Column4]]*Table645[[#This Row],[Column88]])</f>
        <v>0</v>
      </c>
      <c r="CL263" s="217"/>
      <c r="CM263" s="91" t="str">
        <f>IF(Table645[[#This Row],[Column87]]=0,"--",CJ263*$CL$3)</f>
        <v>--</v>
      </c>
      <c r="CN263" s="92">
        <f>IF(Table645[[#This Row],[Column91]]="--",0,Table645[[#This Row],[Column4]]*Table645[[#This Row],[Column91]])</f>
        <v>0</v>
      </c>
      <c r="CO263" s="217"/>
      <c r="CP263" s="91" t="str">
        <f>IF(Table645[[#This Row],[Column10]]+Table645[[#This Row],[Column87]]=0, "--", IF($D263="", 1, $D263) * IF($J263="", 1, $J263) * $CO$3 * $CO$4 * IF(Table645[[#This Row],[Column95]]="", 1, Table645[[#This Row],[Column95]]) / (24 * 60))</f>
        <v>--</v>
      </c>
      <c r="CQ263" s="164"/>
      <c r="CR263" s="92">
        <f>IF(Table645[[#This Row],[Column94]]="--",0,Table645[[#This Row],[Column4]]*Table645[[#This Row],[Column94]])</f>
        <v>0</v>
      </c>
      <c r="CS263" s="218" t="str">
        <f>IF(Table645[[#This Row],[Column87]]="","",Table645[[#This Row],[Column87]])</f>
        <v/>
      </c>
      <c r="CT263" s="91" t="str">
        <f>IF(Table645[[#This Row],[Column97]]="","--",Table645[[#This Row],[Column97]]/$CS$3/60/24)</f>
        <v>--</v>
      </c>
      <c r="CU263" s="92">
        <f>IF(Table645[[#This Row],[Column98]]="--",0,Table645[[#This Row],[Column4]]*Table645[[#This Row],[Column98]])</f>
        <v>0</v>
      </c>
      <c r="CV263" s="93"/>
      <c r="CW263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63" s="91" t="str">
        <f>IF(OR(Table645[[#This Row],[Column74]]&gt;0,Table645[[#This Row],[Column87]]&gt;0),(Table645[[#This Row],[Column73]]+Table645[[#This Row],[Column86]]+1)*$CW$3/60/24,"--")</f>
        <v>--</v>
      </c>
      <c r="CY263" s="92">
        <f>IF(Table645[[#This Row],[Column102]]="--",0,Table645[[#This Row],[Column4]]*Table645[[#This Row],[Column102]])</f>
        <v>0</v>
      </c>
      <c r="CZ263" s="158" t="str">
        <f t="shared" si="176"/>
        <v>--</v>
      </c>
      <c r="DA263" s="153"/>
      <c r="DB263" s="160">
        <f>IF(Table645[[#This Row],[Column104]]="--",0,Table645[[#This Row],[Column4]]*Table645[[#This Row],[Column104]])</f>
        <v>0</v>
      </c>
      <c r="DC263" s="219"/>
      <c r="DD263" s="220" t="str">
        <f>IF(DC263=0,"--",1/$DC$3*1000/(60*60*24)*Table645[[#This Row],[Column107]])</f>
        <v>--</v>
      </c>
      <c r="DE263" s="160">
        <f>IF(Table645[[#This Row],[Column108]]="--",0,Table645[[#This Row],[Column4]]*Table645[[#This Row],[Column108]])</f>
        <v>0</v>
      </c>
      <c r="DF263" s="101" t="s">
        <v>70</v>
      </c>
      <c r="DG263" s="91" t="str">
        <f t="shared" si="177"/>
        <v>--</v>
      </c>
      <c r="DH263" s="89">
        <f>IF(Table645[[#This Row],[Column111]]="--",0,Table645[[#This Row],[Column4]]*Table645[[#This Row],[Column111]])</f>
        <v>0</v>
      </c>
      <c r="DI263" s="96"/>
      <c r="DJ263" s="96"/>
      <c r="DK263" s="96"/>
      <c r="DL263" s="96"/>
      <c r="DM263" s="96"/>
      <c r="DN263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63" s="89">
        <f>IF(Table645[[#This Row],[Column118]]="--",0,Table645[[#This Row],[Column4]]*Table645[[#This Row],[Column118]])</f>
        <v>0</v>
      </c>
      <c r="DP263" s="96"/>
      <c r="DQ263" s="96"/>
      <c r="DR263" s="91" t="str">
        <f t="shared" si="178"/>
        <v>--</v>
      </c>
      <c r="DS263" s="89">
        <f>IF(Table645[[#This Row],[Column122]]="--",0,Table645[[#This Row],[Column4]]*Table645[[#This Row],[Column122]])</f>
        <v>0</v>
      </c>
      <c r="DT263" t="str">
        <f>IF(Table645[[#This Row],[Column125]]=0,"--",Table645[[#This Row],[Column125]]*Table645[[#This Row],[Column126]]*Table645[[#This Row],[Column127]]/1000000000)</f>
        <v>--</v>
      </c>
      <c r="DU263" s="53"/>
      <c r="DV263" s="53"/>
      <c r="DW263" s="53"/>
      <c r="DX263" s="91" t="str">
        <f t="shared" si="179"/>
        <v>--</v>
      </c>
      <c r="DY263" s="89">
        <f>IF(Table645[[#This Row],[Column128]]="--",0,Table645[[#This Row],[Column4]]*Table645[[#This Row],[Column128]])</f>
        <v>0</v>
      </c>
      <c r="EA263" s="89">
        <f>IF(Table645[[#This Row],[Column128]]="--",0,Table645[[#This Row],[Column4]]*Table645[[#This Row],[Column128]])</f>
        <v>0</v>
      </c>
      <c r="EC263" s="89">
        <f>IF(Table645[[#This Row],[Column128]]="--",0,Table645[[#This Row],[Column4]]*Table645[[#This Row],[Column128]])</f>
        <v>0</v>
      </c>
      <c r="EE263" s="89">
        <f>IF(Table645[[#This Row],[Column128]]="--",0,Table645[[#This Row],[Column4]]*Table645[[#This Row],[Column128]])</f>
        <v>0</v>
      </c>
      <c r="EG263" s="89">
        <f>IF(Table645[[#This Row],[Column128]]="--",0,Table645[[#This Row],[Column4]]*Table645[[#This Row],[Column128]])</f>
        <v>0</v>
      </c>
      <c r="EI263" s="89">
        <f>IF(Table645[[#This Row],[Column128]]="--",0,Table645[[#This Row],[Column4]]*Table645[[#This Row],[Column128]])</f>
        <v>0</v>
      </c>
    </row>
    <row r="264" spans="1:139" x14ac:dyDescent="0.25">
      <c r="A264" s="140"/>
      <c r="B264" s="79"/>
      <c r="C264" s="140"/>
      <c r="D264" s="167"/>
      <c r="E264" s="52"/>
      <c r="F264" s="81"/>
      <c r="G264" s="81"/>
      <c r="H264" s="102" t="str">
        <f t="shared" si="170"/>
        <v>--</v>
      </c>
      <c r="I264" s="100">
        <f>IF(Table645[[#This Row],[Column8]]="--",0,Table645[[#This Row],[Column4]]*Table645[[#This Row],[Column8]])</f>
        <v>0</v>
      </c>
      <c r="J264" s="169"/>
      <c r="K264" s="85">
        <f>Table645[[#This Row],[Column4]]*Table645[[#This Row],[Column10]]</f>
        <v>0</v>
      </c>
      <c r="L264" s="170" t="str">
        <f t="shared" si="171"/>
        <v>--</v>
      </c>
      <c r="M264" s="214">
        <f>IF(Table645[[#This Row],[Column10]]=0,0,Table645[[#This Row],[Column4]]*Table645[[#This Row],[Column12]])</f>
        <v>0</v>
      </c>
      <c r="N264" s="87" t="str">
        <f t="shared" si="172"/>
        <v>--</v>
      </c>
      <c r="O264" s="138"/>
      <c r="AZ264" s="89">
        <f>IF(Table645[[#This Row],[Column14]]="--",0,Table645[[#This Row],[Column4]]*Table645[[#This Row],[Column14]])</f>
        <v>0</v>
      </c>
      <c r="BA264" s="90"/>
      <c r="BB264" s="91" t="str">
        <f>IF(BA264=0,"--",BA264*$BA$3*IF(Table645[[#This Row],[Column5]]&lt;4.1,1,2)/60/24)</f>
        <v>--</v>
      </c>
      <c r="BC264" s="92">
        <f>IF(Table645[[#This Row],[Column54]]="--",0,Table645[[#This Row],[Column4]]*Table645[[#This Row],[Column54]])</f>
        <v>0</v>
      </c>
      <c r="BD264" s="119"/>
      <c r="BE264" s="119"/>
      <c r="BF264" s="119"/>
      <c r="BG264" s="91" t="str">
        <f>IF(BD264+Table645[[#This Row],[Column58]]=0,"--",(BD264*$BF$3*Table645[[#This Row],[Column57]]+Table645[[#This Row],[Column58]]*$BF$4)/60/24)</f>
        <v>--</v>
      </c>
      <c r="BH264" s="92">
        <f>IF(Table645[[#This Row],[Column59]]="--",0,Table645[[#This Row],[Column4]]*Table645[[#This Row],[Column59]])</f>
        <v>0</v>
      </c>
      <c r="BI264" s="119"/>
      <c r="BJ264" s="91" t="str">
        <f t="shared" si="148"/>
        <v>--</v>
      </c>
      <c r="BK264" s="92">
        <f>IF(Table645[[#This Row],[Column62]]="--",0,Table645[[#This Row],[Column4]]*Table645[[#This Row],[Column62]])</f>
        <v>0</v>
      </c>
      <c r="BL264" s="93"/>
      <c r="BM264" s="91" t="str">
        <f t="shared" si="173"/>
        <v>--</v>
      </c>
      <c r="BN264" s="89">
        <f>IF(Table645[[#This Row],[Column65]]="--",0,Table645[[#This Row],[Column4]]*Table645[[#This Row],[Column65]])</f>
        <v>0</v>
      </c>
      <c r="BO264" s="163"/>
      <c r="BP264" s="164" t="str">
        <f t="shared" si="174"/>
        <v>--</v>
      </c>
      <c r="BQ264" s="160">
        <f>IF(Table645[[#This Row],[Column68]]="--",0,Table645[[#This Row],[Column4]]*Table645[[#This Row],[Column68]])</f>
        <v>0</v>
      </c>
      <c r="BR264" s="94"/>
      <c r="BS264" s="91" t="str">
        <f t="shared" si="175"/>
        <v>--</v>
      </c>
      <c r="BT264" s="92">
        <f>IF(Table645[[#This Row],[Column71]]="--",0,Table645[[#This Row],[Column4]]*Table645[[#This Row],[Column71]])</f>
        <v>0</v>
      </c>
      <c r="BU264" s="44"/>
      <c r="BV264" s="90"/>
      <c r="BW264" s="91" t="str">
        <f>IF(BV264=0,"--",(Table645[[#This Row],[Column73]]*$BV$4*(IF(J264&lt;0.5001,1,IF(J264&lt;2.0001,2,3)))+BV264/$BV$3)/60/24)</f>
        <v>--</v>
      </c>
      <c r="BX264" s="92">
        <f>IF(Table645[[#This Row],[Column75]]="--",0,Table645[[#This Row],[Column4]]*Table645[[#This Row],[Column75]])</f>
        <v>0</v>
      </c>
      <c r="BY264" s="95" t="s">
        <v>70</v>
      </c>
      <c r="BZ264" s="91" t="str">
        <f>IF(Table645[[#This Row],[Column74]]=0,"--",BW264*$BY$3)</f>
        <v>--</v>
      </c>
      <c r="CA264" s="89">
        <f>IF(Table645[[#This Row],[Column78]]="--",0,Table645[[#This Row],[Column4]]*Table645[[#This Row],[Column78]])</f>
        <v>0</v>
      </c>
      <c r="CB264" s="95" t="s">
        <v>70</v>
      </c>
      <c r="CC264" s="91" t="str">
        <f>IF(Table645[[#This Row],[Column10]]+Table645[[#This Row],[Column74]]=0,"--",J264*$CB$4*$CB$5/(24*60)+IF(Table645[[#This Row],[Column74]]=0,0,$CB$3*Table645[[#This Row],[Column75]]))</f>
        <v>--</v>
      </c>
      <c r="CD264" s="92">
        <f>IF(Table645[[#This Row],[Column81]]="--",0,Table645[[#This Row],[Column4]]*Table645[[#This Row],[Column81]])</f>
        <v>0</v>
      </c>
      <c r="CE264" s="215"/>
      <c r="CF264" s="91" t="str">
        <f t="shared" si="149"/>
        <v>--</v>
      </c>
      <c r="CG264" s="92">
        <f>IF(Table645[[#This Row],[Column84]]="--",0,Table645[[#This Row],[Column4]]*Table645[[#This Row],[Column84]])</f>
        <v>0</v>
      </c>
      <c r="CH264" s="226"/>
      <c r="CI264" s="216"/>
      <c r="CJ264" s="91" t="str">
        <f>IF(CI264=0,"--",(Table645[[#This Row],[Column86]]*$CI$4*(IF(W264&lt;0.5001,1,IF(W264&lt;2.0001,2,3)))+CI264/$CI$3)/60/24)</f>
        <v>--</v>
      </c>
      <c r="CK264" s="92">
        <f>IF(Table645[[#This Row],[Column88]]="--",0,Table645[[#This Row],[Column4]]*Table645[[#This Row],[Column88]])</f>
        <v>0</v>
      </c>
      <c r="CL264" s="217"/>
      <c r="CM264" s="91" t="str">
        <f>IF(Table645[[#This Row],[Column87]]=0,"--",CJ264*$CL$3)</f>
        <v>--</v>
      </c>
      <c r="CN264" s="92">
        <f>IF(Table645[[#This Row],[Column91]]="--",0,Table645[[#This Row],[Column4]]*Table645[[#This Row],[Column91]])</f>
        <v>0</v>
      </c>
      <c r="CO264" s="217"/>
      <c r="CP264" s="91" t="str">
        <f>IF(Table645[[#This Row],[Column10]]+Table645[[#This Row],[Column87]]=0, "--", IF($D264="", 1, $D264) * IF($J264="", 1, $J264) * $CO$3 * $CO$4 * IF(Table645[[#This Row],[Column95]]="", 1, Table645[[#This Row],[Column95]]) / (24 * 60))</f>
        <v>--</v>
      </c>
      <c r="CQ264" s="164"/>
      <c r="CR264" s="92">
        <f>IF(Table645[[#This Row],[Column94]]="--",0,Table645[[#This Row],[Column4]]*Table645[[#This Row],[Column94]])</f>
        <v>0</v>
      </c>
      <c r="CS264" s="218" t="str">
        <f>IF(Table645[[#This Row],[Column87]]="","",Table645[[#This Row],[Column87]])</f>
        <v/>
      </c>
      <c r="CT264" s="91" t="str">
        <f>IF(Table645[[#This Row],[Column97]]="","--",Table645[[#This Row],[Column97]]/$CS$3/60/24)</f>
        <v>--</v>
      </c>
      <c r="CU264" s="92">
        <f>IF(Table645[[#This Row],[Column98]]="--",0,Table645[[#This Row],[Column4]]*Table645[[#This Row],[Column98]])</f>
        <v>0</v>
      </c>
      <c r="CV264" s="93"/>
      <c r="CW264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64" s="91" t="str">
        <f>IF(OR(Table645[[#This Row],[Column74]]&gt;0,Table645[[#This Row],[Column87]]&gt;0),(Table645[[#This Row],[Column73]]+Table645[[#This Row],[Column86]]+1)*$CW$3/60/24,"--")</f>
        <v>--</v>
      </c>
      <c r="CY264" s="92">
        <f>IF(Table645[[#This Row],[Column102]]="--",0,Table645[[#This Row],[Column4]]*Table645[[#This Row],[Column102]])</f>
        <v>0</v>
      </c>
      <c r="CZ264" s="158" t="str">
        <f t="shared" si="176"/>
        <v>--</v>
      </c>
      <c r="DA264" s="153"/>
      <c r="DB264" s="160">
        <f>IF(Table645[[#This Row],[Column104]]="--",0,Table645[[#This Row],[Column4]]*Table645[[#This Row],[Column104]])</f>
        <v>0</v>
      </c>
      <c r="DC264" s="219"/>
      <c r="DD264" s="220" t="str">
        <f>IF(DC264=0,"--",1/$DC$3*1000/(60*60*24)*Table645[[#This Row],[Column107]])</f>
        <v>--</v>
      </c>
      <c r="DE264" s="160">
        <f>IF(Table645[[#This Row],[Column108]]="--",0,Table645[[#This Row],[Column4]]*Table645[[#This Row],[Column108]])</f>
        <v>0</v>
      </c>
      <c r="DF264" s="101" t="s">
        <v>70</v>
      </c>
      <c r="DG264" s="91" t="str">
        <f t="shared" si="177"/>
        <v>--</v>
      </c>
      <c r="DH264" s="89">
        <f>IF(Table645[[#This Row],[Column111]]="--",0,Table645[[#This Row],[Column4]]*Table645[[#This Row],[Column111]])</f>
        <v>0</v>
      </c>
      <c r="DI264" s="96"/>
      <c r="DJ264" s="96"/>
      <c r="DK264" s="96"/>
      <c r="DL264" s="96"/>
      <c r="DM264" s="96"/>
      <c r="DN264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64" s="89">
        <f>IF(Table645[[#This Row],[Column118]]="--",0,Table645[[#This Row],[Column4]]*Table645[[#This Row],[Column118]])</f>
        <v>0</v>
      </c>
      <c r="DP264" s="96"/>
      <c r="DQ264" s="96"/>
      <c r="DR264" s="91" t="str">
        <f t="shared" si="178"/>
        <v>--</v>
      </c>
      <c r="DS264" s="89">
        <f>IF(Table645[[#This Row],[Column122]]="--",0,Table645[[#This Row],[Column4]]*Table645[[#This Row],[Column122]])</f>
        <v>0</v>
      </c>
      <c r="DT264" t="str">
        <f>IF(Table645[[#This Row],[Column125]]=0,"--",Table645[[#This Row],[Column125]]*Table645[[#This Row],[Column126]]*Table645[[#This Row],[Column127]]/1000000000)</f>
        <v>--</v>
      </c>
      <c r="DU264" s="53"/>
      <c r="DV264" s="53"/>
      <c r="DW264" s="53"/>
      <c r="DX264" s="91" t="str">
        <f t="shared" si="179"/>
        <v>--</v>
      </c>
      <c r="DY264" s="89">
        <f>IF(Table645[[#This Row],[Column128]]="--",0,Table645[[#This Row],[Column4]]*Table645[[#This Row],[Column128]])</f>
        <v>0</v>
      </c>
      <c r="EA264" s="89">
        <f>IF(Table645[[#This Row],[Column128]]="--",0,Table645[[#This Row],[Column4]]*Table645[[#This Row],[Column128]])</f>
        <v>0</v>
      </c>
      <c r="EC264" s="89">
        <f>IF(Table645[[#This Row],[Column128]]="--",0,Table645[[#This Row],[Column4]]*Table645[[#This Row],[Column128]])</f>
        <v>0</v>
      </c>
      <c r="EE264" s="89">
        <f>IF(Table645[[#This Row],[Column128]]="--",0,Table645[[#This Row],[Column4]]*Table645[[#This Row],[Column128]])</f>
        <v>0</v>
      </c>
      <c r="EG264" s="89">
        <f>IF(Table645[[#This Row],[Column128]]="--",0,Table645[[#This Row],[Column4]]*Table645[[#This Row],[Column128]])</f>
        <v>0</v>
      </c>
      <c r="EI264" s="89">
        <f>IF(Table645[[#This Row],[Column128]]="--",0,Table645[[#This Row],[Column4]]*Table645[[#This Row],[Column128]])</f>
        <v>0</v>
      </c>
    </row>
    <row r="265" spans="1:139" x14ac:dyDescent="0.25">
      <c r="A265" s="140"/>
      <c r="B265" s="79"/>
      <c r="C265" s="140"/>
      <c r="D265" s="167"/>
      <c r="E265" s="52"/>
      <c r="F265" s="81"/>
      <c r="G265" s="81"/>
      <c r="H265" s="102" t="str">
        <f t="shared" si="170"/>
        <v>--</v>
      </c>
      <c r="I265" s="100">
        <f>IF(Table645[[#This Row],[Column8]]="--",0,Table645[[#This Row],[Column4]]*Table645[[#This Row],[Column8]])</f>
        <v>0</v>
      </c>
      <c r="J265" s="169"/>
      <c r="K265" s="85">
        <f>Table645[[#This Row],[Column4]]*Table645[[#This Row],[Column10]]</f>
        <v>0</v>
      </c>
      <c r="L265" s="170" t="str">
        <f t="shared" si="171"/>
        <v>--</v>
      </c>
      <c r="M265" s="214">
        <f>IF(Table645[[#This Row],[Column10]]=0,0,Table645[[#This Row],[Column4]]*Table645[[#This Row],[Column12]])</f>
        <v>0</v>
      </c>
      <c r="N265" s="87" t="str">
        <f t="shared" si="172"/>
        <v>--</v>
      </c>
      <c r="O265" s="138"/>
      <c r="AZ265" s="89">
        <f>IF(Table645[[#This Row],[Column14]]="--",0,Table645[[#This Row],[Column4]]*Table645[[#This Row],[Column14]])</f>
        <v>0</v>
      </c>
      <c r="BA265" s="90"/>
      <c r="BB265" s="91" t="str">
        <f>IF(BA265=0,"--",BA265*$BA$3*IF(Table645[[#This Row],[Column5]]&lt;4.1,1,2)/60/24)</f>
        <v>--</v>
      </c>
      <c r="BC265" s="92">
        <f>IF(Table645[[#This Row],[Column54]]="--",0,Table645[[#This Row],[Column4]]*Table645[[#This Row],[Column54]])</f>
        <v>0</v>
      </c>
      <c r="BD265" s="119"/>
      <c r="BE265" s="119"/>
      <c r="BF265" s="119"/>
      <c r="BG265" s="91" t="str">
        <f>IF(BD265+Table645[[#This Row],[Column58]]=0,"--",(BD265*$BF$3*Table645[[#This Row],[Column57]]+Table645[[#This Row],[Column58]]*$BF$4)/60/24)</f>
        <v>--</v>
      </c>
      <c r="BH265" s="92">
        <f>IF(Table645[[#This Row],[Column59]]="--",0,Table645[[#This Row],[Column4]]*Table645[[#This Row],[Column59]])</f>
        <v>0</v>
      </c>
      <c r="BI265" s="119"/>
      <c r="BJ265" s="91" t="str">
        <f t="shared" si="148"/>
        <v>--</v>
      </c>
      <c r="BK265" s="92">
        <f>IF(Table645[[#This Row],[Column62]]="--",0,Table645[[#This Row],[Column4]]*Table645[[#This Row],[Column62]])</f>
        <v>0</v>
      </c>
      <c r="BL265" s="93"/>
      <c r="BM265" s="91" t="str">
        <f t="shared" si="173"/>
        <v>--</v>
      </c>
      <c r="BN265" s="89">
        <f>IF(Table645[[#This Row],[Column65]]="--",0,Table645[[#This Row],[Column4]]*Table645[[#This Row],[Column65]])</f>
        <v>0</v>
      </c>
      <c r="BO265" s="163"/>
      <c r="BP265" s="164" t="str">
        <f t="shared" si="174"/>
        <v>--</v>
      </c>
      <c r="BQ265" s="160">
        <f>IF(Table645[[#This Row],[Column68]]="--",0,Table645[[#This Row],[Column4]]*Table645[[#This Row],[Column68]])</f>
        <v>0</v>
      </c>
      <c r="BR265" s="94"/>
      <c r="BS265" s="91" t="str">
        <f t="shared" si="175"/>
        <v>--</v>
      </c>
      <c r="BT265" s="92">
        <f>IF(Table645[[#This Row],[Column71]]="--",0,Table645[[#This Row],[Column4]]*Table645[[#This Row],[Column71]])</f>
        <v>0</v>
      </c>
      <c r="BU265" s="44"/>
      <c r="BV265" s="90"/>
      <c r="BW265" s="91" t="str">
        <f>IF(BV265=0,"--",(Table645[[#This Row],[Column73]]*$BV$4*(IF(J265&lt;0.5001,1,IF(J265&lt;2.0001,2,3)))+BV265/$BV$3)/60/24)</f>
        <v>--</v>
      </c>
      <c r="BX265" s="92">
        <f>IF(Table645[[#This Row],[Column75]]="--",0,Table645[[#This Row],[Column4]]*Table645[[#This Row],[Column75]])</f>
        <v>0</v>
      </c>
      <c r="BY265" s="95" t="s">
        <v>70</v>
      </c>
      <c r="BZ265" s="91" t="str">
        <f>IF(Table645[[#This Row],[Column74]]=0,"--",BW265*$BY$3)</f>
        <v>--</v>
      </c>
      <c r="CA265" s="89">
        <f>IF(Table645[[#This Row],[Column78]]="--",0,Table645[[#This Row],[Column4]]*Table645[[#This Row],[Column78]])</f>
        <v>0</v>
      </c>
      <c r="CB265" s="95" t="s">
        <v>70</v>
      </c>
      <c r="CC265" s="91" t="str">
        <f>IF(Table645[[#This Row],[Column10]]+Table645[[#This Row],[Column74]]=0,"--",J265*$CB$4*$CB$5/(24*60)+IF(Table645[[#This Row],[Column74]]=0,0,$CB$3*Table645[[#This Row],[Column75]]))</f>
        <v>--</v>
      </c>
      <c r="CD265" s="92">
        <f>IF(Table645[[#This Row],[Column81]]="--",0,Table645[[#This Row],[Column4]]*Table645[[#This Row],[Column81]])</f>
        <v>0</v>
      </c>
      <c r="CE265" s="215"/>
      <c r="CF265" s="91" t="str">
        <f t="shared" si="149"/>
        <v>--</v>
      </c>
      <c r="CG265" s="92">
        <f>IF(Table645[[#This Row],[Column84]]="--",0,Table645[[#This Row],[Column4]]*Table645[[#This Row],[Column84]])</f>
        <v>0</v>
      </c>
      <c r="CH265" s="226"/>
      <c r="CI265" s="216"/>
      <c r="CJ265" s="91" t="str">
        <f>IF(CI265=0,"--",(Table645[[#This Row],[Column86]]*$CI$4*(IF(W265&lt;0.5001,1,IF(W265&lt;2.0001,2,3)))+CI265/$CI$3)/60/24)</f>
        <v>--</v>
      </c>
      <c r="CK265" s="92">
        <f>IF(Table645[[#This Row],[Column88]]="--",0,Table645[[#This Row],[Column4]]*Table645[[#This Row],[Column88]])</f>
        <v>0</v>
      </c>
      <c r="CL265" s="217"/>
      <c r="CM265" s="91" t="str">
        <f>IF(Table645[[#This Row],[Column87]]=0,"--",CJ265*$CL$3)</f>
        <v>--</v>
      </c>
      <c r="CN265" s="92">
        <f>IF(Table645[[#This Row],[Column91]]="--",0,Table645[[#This Row],[Column4]]*Table645[[#This Row],[Column91]])</f>
        <v>0</v>
      </c>
      <c r="CO265" s="217"/>
      <c r="CP265" s="91" t="str">
        <f>IF(Table645[[#This Row],[Column10]]+Table645[[#This Row],[Column87]]=0, "--", IF($D265="", 1, $D265) * IF($J265="", 1, $J265) * $CO$3 * $CO$4 * IF(Table645[[#This Row],[Column95]]="", 1, Table645[[#This Row],[Column95]]) / (24 * 60))</f>
        <v>--</v>
      </c>
      <c r="CQ265" s="164"/>
      <c r="CR265" s="92">
        <f>IF(Table645[[#This Row],[Column94]]="--",0,Table645[[#This Row],[Column4]]*Table645[[#This Row],[Column94]])</f>
        <v>0</v>
      </c>
      <c r="CS265" s="218" t="str">
        <f>IF(Table645[[#This Row],[Column87]]="","",Table645[[#This Row],[Column87]])</f>
        <v/>
      </c>
      <c r="CT265" s="91" t="str">
        <f>IF(Table645[[#This Row],[Column97]]="","--",Table645[[#This Row],[Column97]]/$CS$3/60/24)</f>
        <v>--</v>
      </c>
      <c r="CU265" s="92">
        <f>IF(Table645[[#This Row],[Column98]]="--",0,Table645[[#This Row],[Column4]]*Table645[[#This Row],[Column98]])</f>
        <v>0</v>
      </c>
      <c r="CV265" s="93"/>
      <c r="CW265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65" s="91" t="str">
        <f>IF(OR(Table645[[#This Row],[Column74]]&gt;0,Table645[[#This Row],[Column87]]&gt;0),(Table645[[#This Row],[Column73]]+Table645[[#This Row],[Column86]]+1)*$CW$3/60/24,"--")</f>
        <v>--</v>
      </c>
      <c r="CY265" s="92">
        <f>IF(Table645[[#This Row],[Column102]]="--",0,Table645[[#This Row],[Column4]]*Table645[[#This Row],[Column102]])</f>
        <v>0</v>
      </c>
      <c r="CZ265" s="158" t="str">
        <f t="shared" si="176"/>
        <v>--</v>
      </c>
      <c r="DA265" s="153"/>
      <c r="DB265" s="160">
        <f>IF(Table645[[#This Row],[Column104]]="--",0,Table645[[#This Row],[Column4]]*Table645[[#This Row],[Column104]])</f>
        <v>0</v>
      </c>
      <c r="DC265" s="219"/>
      <c r="DD265" s="220" t="str">
        <f>IF(DC265=0,"--",1/$DC$3*1000/(60*60*24)*Table645[[#This Row],[Column107]])</f>
        <v>--</v>
      </c>
      <c r="DE265" s="160">
        <f>IF(Table645[[#This Row],[Column108]]="--",0,Table645[[#This Row],[Column4]]*Table645[[#This Row],[Column108]])</f>
        <v>0</v>
      </c>
      <c r="DF265" s="101" t="s">
        <v>70</v>
      </c>
      <c r="DG265" s="91" t="str">
        <f t="shared" si="177"/>
        <v>--</v>
      </c>
      <c r="DH265" s="89">
        <f>IF(Table645[[#This Row],[Column111]]="--",0,Table645[[#This Row],[Column4]]*Table645[[#This Row],[Column111]])</f>
        <v>0</v>
      </c>
      <c r="DI265" s="96"/>
      <c r="DJ265" s="96"/>
      <c r="DK265" s="96"/>
      <c r="DL265" s="96"/>
      <c r="DM265" s="96"/>
      <c r="DN265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65" s="89">
        <f>IF(Table645[[#This Row],[Column118]]="--",0,Table645[[#This Row],[Column4]]*Table645[[#This Row],[Column118]])</f>
        <v>0</v>
      </c>
      <c r="DP265" s="96"/>
      <c r="DQ265" s="96"/>
      <c r="DR265" s="91" t="str">
        <f t="shared" si="178"/>
        <v>--</v>
      </c>
      <c r="DS265" s="89">
        <f>IF(Table645[[#This Row],[Column122]]="--",0,Table645[[#This Row],[Column4]]*Table645[[#This Row],[Column122]])</f>
        <v>0</v>
      </c>
      <c r="DT265" t="str">
        <f>IF(Table645[[#This Row],[Column125]]=0,"--",Table645[[#This Row],[Column125]]*Table645[[#This Row],[Column126]]*Table645[[#This Row],[Column127]]/1000000000)</f>
        <v>--</v>
      </c>
      <c r="DU265" s="53"/>
      <c r="DV265" s="53"/>
      <c r="DW265" s="53"/>
      <c r="DX265" s="91" t="str">
        <f t="shared" si="179"/>
        <v>--</v>
      </c>
      <c r="DY265" s="89">
        <f>IF(Table645[[#This Row],[Column128]]="--",0,Table645[[#This Row],[Column4]]*Table645[[#This Row],[Column128]])</f>
        <v>0</v>
      </c>
      <c r="EA265" s="89">
        <f>IF(Table645[[#This Row],[Column128]]="--",0,Table645[[#This Row],[Column4]]*Table645[[#This Row],[Column128]])</f>
        <v>0</v>
      </c>
      <c r="EC265" s="89">
        <f>IF(Table645[[#This Row],[Column128]]="--",0,Table645[[#This Row],[Column4]]*Table645[[#This Row],[Column128]])</f>
        <v>0</v>
      </c>
      <c r="EE265" s="89">
        <f>IF(Table645[[#This Row],[Column128]]="--",0,Table645[[#This Row],[Column4]]*Table645[[#This Row],[Column128]])</f>
        <v>0</v>
      </c>
      <c r="EG265" s="89">
        <f>IF(Table645[[#This Row],[Column128]]="--",0,Table645[[#This Row],[Column4]]*Table645[[#This Row],[Column128]])</f>
        <v>0</v>
      </c>
      <c r="EI265" s="89">
        <f>IF(Table645[[#This Row],[Column128]]="--",0,Table645[[#This Row],[Column4]]*Table645[[#This Row],[Column128]])</f>
        <v>0</v>
      </c>
    </row>
    <row r="266" spans="1:139" x14ac:dyDescent="0.25">
      <c r="A266" s="140"/>
      <c r="B266" s="79"/>
      <c r="C266" s="140"/>
      <c r="D266" s="167"/>
      <c r="E266" s="52"/>
      <c r="F266" s="81"/>
      <c r="G266" s="81"/>
      <c r="H266" s="102" t="str">
        <f t="shared" si="170"/>
        <v>--</v>
      </c>
      <c r="I266" s="100">
        <f>IF(Table645[[#This Row],[Column8]]="--",0,Table645[[#This Row],[Column4]]*Table645[[#This Row],[Column8]])</f>
        <v>0</v>
      </c>
      <c r="J266" s="169"/>
      <c r="K266" s="85">
        <f>Table645[[#This Row],[Column4]]*Table645[[#This Row],[Column10]]</f>
        <v>0</v>
      </c>
      <c r="L266" s="170" t="str">
        <f t="shared" si="171"/>
        <v>--</v>
      </c>
      <c r="M266" s="214">
        <f>IF(Table645[[#This Row],[Column10]]=0,0,Table645[[#This Row],[Column4]]*Table645[[#This Row],[Column12]])</f>
        <v>0</v>
      </c>
      <c r="N266" s="87" t="str">
        <f t="shared" si="172"/>
        <v>--</v>
      </c>
      <c r="O266" s="138"/>
      <c r="AZ266" s="89">
        <f>IF(Table645[[#This Row],[Column14]]="--",0,Table645[[#This Row],[Column4]]*Table645[[#This Row],[Column14]])</f>
        <v>0</v>
      </c>
      <c r="BA266" s="90"/>
      <c r="BB266" s="91" t="str">
        <f>IF(BA266=0,"--",BA266*$BA$3*IF(Table645[[#This Row],[Column5]]&lt;4.1,1,2)/60/24)</f>
        <v>--</v>
      </c>
      <c r="BC266" s="92">
        <f>IF(Table645[[#This Row],[Column54]]="--",0,Table645[[#This Row],[Column4]]*Table645[[#This Row],[Column54]])</f>
        <v>0</v>
      </c>
      <c r="BD266" s="119"/>
      <c r="BE266" s="119"/>
      <c r="BF266" s="119"/>
      <c r="BG266" s="91" t="str">
        <f>IF(BD266+Table645[[#This Row],[Column58]]=0,"--",(BD266*$BF$3*Table645[[#This Row],[Column57]]+Table645[[#This Row],[Column58]]*$BF$4)/60/24)</f>
        <v>--</v>
      </c>
      <c r="BH266" s="92">
        <f>IF(Table645[[#This Row],[Column59]]="--",0,Table645[[#This Row],[Column4]]*Table645[[#This Row],[Column59]])</f>
        <v>0</v>
      </c>
      <c r="BI266" s="119"/>
      <c r="BJ266" s="91" t="str">
        <f t="shared" si="148"/>
        <v>--</v>
      </c>
      <c r="BK266" s="92">
        <f>IF(Table645[[#This Row],[Column62]]="--",0,Table645[[#This Row],[Column4]]*Table645[[#This Row],[Column62]])</f>
        <v>0</v>
      </c>
      <c r="BL266" s="93"/>
      <c r="BM266" s="91" t="str">
        <f t="shared" si="173"/>
        <v>--</v>
      </c>
      <c r="BN266" s="89">
        <f>IF(Table645[[#This Row],[Column65]]="--",0,Table645[[#This Row],[Column4]]*Table645[[#This Row],[Column65]])</f>
        <v>0</v>
      </c>
      <c r="BO266" s="163"/>
      <c r="BP266" s="164" t="str">
        <f t="shared" si="174"/>
        <v>--</v>
      </c>
      <c r="BQ266" s="160">
        <f>IF(Table645[[#This Row],[Column68]]="--",0,Table645[[#This Row],[Column4]]*Table645[[#This Row],[Column68]])</f>
        <v>0</v>
      </c>
      <c r="BR266" s="94"/>
      <c r="BS266" s="91" t="str">
        <f t="shared" si="175"/>
        <v>--</v>
      </c>
      <c r="BT266" s="92">
        <f>IF(Table645[[#This Row],[Column71]]="--",0,Table645[[#This Row],[Column4]]*Table645[[#This Row],[Column71]])</f>
        <v>0</v>
      </c>
      <c r="BU266" s="44"/>
      <c r="BV266" s="90"/>
      <c r="BW266" s="91" t="str">
        <f>IF(BV266=0,"--",(Table645[[#This Row],[Column73]]*$BV$4*(IF(J266&lt;0.5001,1,IF(J266&lt;2.0001,2,3)))+BV266/$BV$3)/60/24)</f>
        <v>--</v>
      </c>
      <c r="BX266" s="92">
        <f>IF(Table645[[#This Row],[Column75]]="--",0,Table645[[#This Row],[Column4]]*Table645[[#This Row],[Column75]])</f>
        <v>0</v>
      </c>
      <c r="BY266" s="95" t="s">
        <v>70</v>
      </c>
      <c r="BZ266" s="91" t="str">
        <f>IF(Table645[[#This Row],[Column74]]=0,"--",BW266*$BY$3)</f>
        <v>--</v>
      </c>
      <c r="CA266" s="89">
        <f>IF(Table645[[#This Row],[Column78]]="--",0,Table645[[#This Row],[Column4]]*Table645[[#This Row],[Column78]])</f>
        <v>0</v>
      </c>
      <c r="CB266" s="95" t="s">
        <v>70</v>
      </c>
      <c r="CC266" s="91" t="str">
        <f>IF(Table645[[#This Row],[Column10]]+Table645[[#This Row],[Column74]]=0,"--",J266*$CB$4*$CB$5/(24*60)+IF(Table645[[#This Row],[Column74]]=0,0,$CB$3*Table645[[#This Row],[Column75]]))</f>
        <v>--</v>
      </c>
      <c r="CD266" s="92">
        <f>IF(Table645[[#This Row],[Column81]]="--",0,Table645[[#This Row],[Column4]]*Table645[[#This Row],[Column81]])</f>
        <v>0</v>
      </c>
      <c r="CE266" s="215"/>
      <c r="CF266" s="91" t="str">
        <f t="shared" si="149"/>
        <v>--</v>
      </c>
      <c r="CG266" s="92">
        <f>IF(Table645[[#This Row],[Column84]]="--",0,Table645[[#This Row],[Column4]]*Table645[[#This Row],[Column84]])</f>
        <v>0</v>
      </c>
      <c r="CH266" s="226"/>
      <c r="CI266" s="216"/>
      <c r="CJ266" s="91" t="str">
        <f>IF(CI266=0,"--",(Table645[[#This Row],[Column86]]*$CI$4*(IF(W266&lt;0.5001,1,IF(W266&lt;2.0001,2,3)))+CI266/$CI$3)/60/24)</f>
        <v>--</v>
      </c>
      <c r="CK266" s="92">
        <f>IF(Table645[[#This Row],[Column88]]="--",0,Table645[[#This Row],[Column4]]*Table645[[#This Row],[Column88]])</f>
        <v>0</v>
      </c>
      <c r="CL266" s="217"/>
      <c r="CM266" s="91" t="str">
        <f>IF(Table645[[#This Row],[Column87]]=0,"--",CJ266*$CL$3)</f>
        <v>--</v>
      </c>
      <c r="CN266" s="92">
        <f>IF(Table645[[#This Row],[Column91]]="--",0,Table645[[#This Row],[Column4]]*Table645[[#This Row],[Column91]])</f>
        <v>0</v>
      </c>
      <c r="CO266" s="217"/>
      <c r="CP266" s="91" t="str">
        <f>IF(Table645[[#This Row],[Column10]]+Table645[[#This Row],[Column87]]=0, "--", IF($D266="", 1, $D266) * IF($J266="", 1, $J266) * $CO$3 * $CO$4 * IF(Table645[[#This Row],[Column95]]="", 1, Table645[[#This Row],[Column95]]) / (24 * 60))</f>
        <v>--</v>
      </c>
      <c r="CQ266" s="164"/>
      <c r="CR266" s="92">
        <f>IF(Table645[[#This Row],[Column94]]="--",0,Table645[[#This Row],[Column4]]*Table645[[#This Row],[Column94]])</f>
        <v>0</v>
      </c>
      <c r="CS266" s="218" t="str">
        <f>IF(Table645[[#This Row],[Column87]]="","",Table645[[#This Row],[Column87]])</f>
        <v/>
      </c>
      <c r="CT266" s="91" t="str">
        <f>IF(Table645[[#This Row],[Column97]]="","--",Table645[[#This Row],[Column97]]/$CS$3/60/24)</f>
        <v>--</v>
      </c>
      <c r="CU266" s="92">
        <f>IF(Table645[[#This Row],[Column98]]="--",0,Table645[[#This Row],[Column4]]*Table645[[#This Row],[Column98]])</f>
        <v>0</v>
      </c>
      <c r="CV266" s="93"/>
      <c r="CW266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66" s="91" t="str">
        <f>IF(OR(Table645[[#This Row],[Column74]]&gt;0,Table645[[#This Row],[Column87]]&gt;0),(Table645[[#This Row],[Column73]]+Table645[[#This Row],[Column86]]+1)*$CW$3/60/24,"--")</f>
        <v>--</v>
      </c>
      <c r="CY266" s="92">
        <f>IF(Table645[[#This Row],[Column102]]="--",0,Table645[[#This Row],[Column4]]*Table645[[#This Row],[Column102]])</f>
        <v>0</v>
      </c>
      <c r="CZ266" s="158" t="str">
        <f t="shared" si="176"/>
        <v>--</v>
      </c>
      <c r="DA266" s="153"/>
      <c r="DB266" s="160">
        <f>IF(Table645[[#This Row],[Column104]]="--",0,Table645[[#This Row],[Column4]]*Table645[[#This Row],[Column104]])</f>
        <v>0</v>
      </c>
      <c r="DC266" s="219"/>
      <c r="DD266" s="220" t="str">
        <f>IF(DC266=0,"--",1/$DC$3*1000/(60*60*24)*Table645[[#This Row],[Column107]])</f>
        <v>--</v>
      </c>
      <c r="DE266" s="160">
        <f>IF(Table645[[#This Row],[Column108]]="--",0,Table645[[#This Row],[Column4]]*Table645[[#This Row],[Column108]])</f>
        <v>0</v>
      </c>
      <c r="DF266" s="101" t="s">
        <v>70</v>
      </c>
      <c r="DG266" s="91" t="str">
        <f t="shared" si="177"/>
        <v>--</v>
      </c>
      <c r="DH266" s="89">
        <f>IF(Table645[[#This Row],[Column111]]="--",0,Table645[[#This Row],[Column4]]*Table645[[#This Row],[Column111]])</f>
        <v>0</v>
      </c>
      <c r="DI266" s="96"/>
      <c r="DJ266" s="96"/>
      <c r="DK266" s="96"/>
      <c r="DL266" s="96"/>
      <c r="DM266" s="96"/>
      <c r="DN266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66" s="89">
        <f>IF(Table645[[#This Row],[Column118]]="--",0,Table645[[#This Row],[Column4]]*Table645[[#This Row],[Column118]])</f>
        <v>0</v>
      </c>
      <c r="DP266" s="96"/>
      <c r="DQ266" s="96"/>
      <c r="DR266" s="91" t="str">
        <f t="shared" si="178"/>
        <v>--</v>
      </c>
      <c r="DS266" s="89">
        <f>IF(Table645[[#This Row],[Column122]]="--",0,Table645[[#This Row],[Column4]]*Table645[[#This Row],[Column122]])</f>
        <v>0</v>
      </c>
      <c r="DT266" t="str">
        <f>IF(Table645[[#This Row],[Column125]]=0,"--",Table645[[#This Row],[Column125]]*Table645[[#This Row],[Column126]]*Table645[[#This Row],[Column127]]/1000000000)</f>
        <v>--</v>
      </c>
      <c r="DU266" s="53"/>
      <c r="DV266" s="53"/>
      <c r="DW266" s="53"/>
      <c r="DX266" s="91" t="str">
        <f t="shared" si="179"/>
        <v>--</v>
      </c>
      <c r="DY266" s="89">
        <f>IF(Table645[[#This Row],[Column128]]="--",0,Table645[[#This Row],[Column4]]*Table645[[#This Row],[Column128]])</f>
        <v>0</v>
      </c>
      <c r="EA266" s="89">
        <f>IF(Table645[[#This Row],[Column128]]="--",0,Table645[[#This Row],[Column4]]*Table645[[#This Row],[Column128]])</f>
        <v>0</v>
      </c>
      <c r="EC266" s="89">
        <f>IF(Table645[[#This Row],[Column128]]="--",0,Table645[[#This Row],[Column4]]*Table645[[#This Row],[Column128]])</f>
        <v>0</v>
      </c>
      <c r="EE266" s="89">
        <f>IF(Table645[[#This Row],[Column128]]="--",0,Table645[[#This Row],[Column4]]*Table645[[#This Row],[Column128]])</f>
        <v>0</v>
      </c>
      <c r="EG266" s="89">
        <f>IF(Table645[[#This Row],[Column128]]="--",0,Table645[[#This Row],[Column4]]*Table645[[#This Row],[Column128]])</f>
        <v>0</v>
      </c>
      <c r="EI266" s="89">
        <f>IF(Table645[[#This Row],[Column128]]="--",0,Table645[[#This Row],[Column4]]*Table645[[#This Row],[Column128]])</f>
        <v>0</v>
      </c>
    </row>
    <row r="267" spans="1:139" x14ac:dyDescent="0.25">
      <c r="A267" s="140"/>
      <c r="B267" s="79"/>
      <c r="C267" s="140"/>
      <c r="D267" s="167"/>
      <c r="E267" s="52"/>
      <c r="F267" s="81"/>
      <c r="G267" s="81"/>
      <c r="H267" s="102" t="str">
        <f t="shared" si="170"/>
        <v>--</v>
      </c>
      <c r="I267" s="100">
        <f>IF(Table645[[#This Row],[Column8]]="--",0,Table645[[#This Row],[Column4]]*Table645[[#This Row],[Column8]])</f>
        <v>0</v>
      </c>
      <c r="J267" s="169"/>
      <c r="K267" s="85">
        <f>Table645[[#This Row],[Column4]]*Table645[[#This Row],[Column10]]</f>
        <v>0</v>
      </c>
      <c r="L267" s="170" t="str">
        <f t="shared" si="171"/>
        <v>--</v>
      </c>
      <c r="M267" s="214">
        <f>IF(Table645[[#This Row],[Column10]]=0,0,Table645[[#This Row],[Column4]]*Table645[[#This Row],[Column12]])</f>
        <v>0</v>
      </c>
      <c r="N267" s="87" t="str">
        <f t="shared" si="172"/>
        <v>--</v>
      </c>
      <c r="O267" s="138"/>
      <c r="AZ267" s="89">
        <f>IF(Table645[[#This Row],[Column14]]="--",0,Table645[[#This Row],[Column4]]*Table645[[#This Row],[Column14]])</f>
        <v>0</v>
      </c>
      <c r="BA267" s="90"/>
      <c r="BB267" s="91" t="str">
        <f>IF(BA267=0,"--",BA267*$BA$3*IF(Table645[[#This Row],[Column5]]&lt;4.1,1,2)/60/24)</f>
        <v>--</v>
      </c>
      <c r="BC267" s="92">
        <f>IF(Table645[[#This Row],[Column54]]="--",0,Table645[[#This Row],[Column4]]*Table645[[#This Row],[Column54]])</f>
        <v>0</v>
      </c>
      <c r="BD267" s="119"/>
      <c r="BE267" s="119"/>
      <c r="BF267" s="119"/>
      <c r="BG267" s="91" t="str">
        <f>IF(BD267+Table645[[#This Row],[Column58]]=0,"--",(BD267*$BF$3*Table645[[#This Row],[Column57]]+Table645[[#This Row],[Column58]]*$BF$4)/60/24)</f>
        <v>--</v>
      </c>
      <c r="BH267" s="92">
        <f>IF(Table645[[#This Row],[Column59]]="--",0,Table645[[#This Row],[Column4]]*Table645[[#This Row],[Column59]])</f>
        <v>0</v>
      </c>
      <c r="BI267" s="119"/>
      <c r="BJ267" s="91" t="str">
        <f t="shared" si="148"/>
        <v>--</v>
      </c>
      <c r="BK267" s="92">
        <f>IF(Table645[[#This Row],[Column62]]="--",0,Table645[[#This Row],[Column4]]*Table645[[#This Row],[Column62]])</f>
        <v>0</v>
      </c>
      <c r="BL267" s="93"/>
      <c r="BM267" s="91" t="str">
        <f t="shared" si="173"/>
        <v>--</v>
      </c>
      <c r="BN267" s="89">
        <f>IF(Table645[[#This Row],[Column65]]="--",0,Table645[[#This Row],[Column4]]*Table645[[#This Row],[Column65]])</f>
        <v>0</v>
      </c>
      <c r="BO267" s="163"/>
      <c r="BP267" s="164" t="str">
        <f t="shared" si="174"/>
        <v>--</v>
      </c>
      <c r="BQ267" s="160">
        <f>IF(Table645[[#This Row],[Column68]]="--",0,Table645[[#This Row],[Column4]]*Table645[[#This Row],[Column68]])</f>
        <v>0</v>
      </c>
      <c r="BR267" s="94"/>
      <c r="BS267" s="91" t="str">
        <f t="shared" si="175"/>
        <v>--</v>
      </c>
      <c r="BT267" s="92">
        <f>IF(Table645[[#This Row],[Column71]]="--",0,Table645[[#This Row],[Column4]]*Table645[[#This Row],[Column71]])</f>
        <v>0</v>
      </c>
      <c r="BU267" s="44"/>
      <c r="BV267" s="90"/>
      <c r="BW267" s="91" t="str">
        <f>IF(BV267=0,"--",(Table645[[#This Row],[Column73]]*$BV$4*(IF(J267&lt;0.5001,1,IF(J267&lt;2.0001,2,3)))+BV267/$BV$3)/60/24)</f>
        <v>--</v>
      </c>
      <c r="BX267" s="92">
        <f>IF(Table645[[#This Row],[Column75]]="--",0,Table645[[#This Row],[Column4]]*Table645[[#This Row],[Column75]])</f>
        <v>0</v>
      </c>
      <c r="BY267" s="95" t="s">
        <v>70</v>
      </c>
      <c r="BZ267" s="91" t="str">
        <f>IF(Table645[[#This Row],[Column74]]=0,"--",BW267*$BY$3)</f>
        <v>--</v>
      </c>
      <c r="CA267" s="89">
        <f>IF(Table645[[#This Row],[Column78]]="--",0,Table645[[#This Row],[Column4]]*Table645[[#This Row],[Column78]])</f>
        <v>0</v>
      </c>
      <c r="CB267" s="95" t="s">
        <v>70</v>
      </c>
      <c r="CC267" s="91" t="str">
        <f>IF(Table645[[#This Row],[Column10]]+Table645[[#This Row],[Column74]]=0,"--",J267*$CB$4*$CB$5/(24*60)+IF(Table645[[#This Row],[Column74]]=0,0,$CB$3*Table645[[#This Row],[Column75]]))</f>
        <v>--</v>
      </c>
      <c r="CD267" s="92">
        <f>IF(Table645[[#This Row],[Column81]]="--",0,Table645[[#This Row],[Column4]]*Table645[[#This Row],[Column81]])</f>
        <v>0</v>
      </c>
      <c r="CE267" s="215"/>
      <c r="CF267" s="91" t="str">
        <f t="shared" si="149"/>
        <v>--</v>
      </c>
      <c r="CG267" s="92">
        <f>IF(Table645[[#This Row],[Column84]]="--",0,Table645[[#This Row],[Column4]]*Table645[[#This Row],[Column84]])</f>
        <v>0</v>
      </c>
      <c r="CH267" s="226"/>
      <c r="CI267" s="216"/>
      <c r="CJ267" s="91" t="str">
        <f>IF(CI267=0,"--",(Table645[[#This Row],[Column86]]*$CI$4*(IF(W267&lt;0.5001,1,IF(W267&lt;2.0001,2,3)))+CI267/$CI$3)/60/24)</f>
        <v>--</v>
      </c>
      <c r="CK267" s="92">
        <f>IF(Table645[[#This Row],[Column88]]="--",0,Table645[[#This Row],[Column4]]*Table645[[#This Row],[Column88]])</f>
        <v>0</v>
      </c>
      <c r="CL267" s="217"/>
      <c r="CM267" s="91" t="str">
        <f>IF(Table645[[#This Row],[Column87]]=0,"--",CJ267*$CL$3)</f>
        <v>--</v>
      </c>
      <c r="CN267" s="92">
        <f>IF(Table645[[#This Row],[Column91]]="--",0,Table645[[#This Row],[Column4]]*Table645[[#This Row],[Column91]])</f>
        <v>0</v>
      </c>
      <c r="CO267" s="217"/>
      <c r="CP267" s="91" t="str">
        <f>IF(Table645[[#This Row],[Column10]]+Table645[[#This Row],[Column87]]=0, "--", IF($D267="", 1, $D267) * IF($J267="", 1, $J267) * $CO$3 * $CO$4 * IF(Table645[[#This Row],[Column95]]="", 1, Table645[[#This Row],[Column95]]) / (24 * 60))</f>
        <v>--</v>
      </c>
      <c r="CQ267" s="164"/>
      <c r="CR267" s="92">
        <f>IF(Table645[[#This Row],[Column94]]="--",0,Table645[[#This Row],[Column4]]*Table645[[#This Row],[Column94]])</f>
        <v>0</v>
      </c>
      <c r="CS267" s="218" t="str">
        <f>IF(Table645[[#This Row],[Column87]]="","",Table645[[#This Row],[Column87]])</f>
        <v/>
      </c>
      <c r="CT267" s="91" t="str">
        <f>IF(Table645[[#This Row],[Column97]]="","--",Table645[[#This Row],[Column97]]/$CS$3/60/24)</f>
        <v>--</v>
      </c>
      <c r="CU267" s="92">
        <f>IF(Table645[[#This Row],[Column98]]="--",0,Table645[[#This Row],[Column4]]*Table645[[#This Row],[Column98]])</f>
        <v>0</v>
      </c>
      <c r="CV267" s="93"/>
      <c r="CW267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67" s="91" t="str">
        <f>IF(OR(Table645[[#This Row],[Column74]]&gt;0,Table645[[#This Row],[Column87]]&gt;0),(Table645[[#This Row],[Column73]]+Table645[[#This Row],[Column86]]+1)*$CW$3/60/24,"--")</f>
        <v>--</v>
      </c>
      <c r="CY267" s="92">
        <f>IF(Table645[[#This Row],[Column102]]="--",0,Table645[[#This Row],[Column4]]*Table645[[#This Row],[Column102]])</f>
        <v>0</v>
      </c>
      <c r="CZ267" s="158" t="str">
        <f t="shared" si="176"/>
        <v>--</v>
      </c>
      <c r="DA267" s="153"/>
      <c r="DB267" s="160">
        <f>IF(Table645[[#This Row],[Column104]]="--",0,Table645[[#This Row],[Column4]]*Table645[[#This Row],[Column104]])</f>
        <v>0</v>
      </c>
      <c r="DC267" s="219"/>
      <c r="DD267" s="220" t="str">
        <f>IF(DC267=0,"--",1/$DC$3*1000/(60*60*24)*Table645[[#This Row],[Column107]])</f>
        <v>--</v>
      </c>
      <c r="DE267" s="160">
        <f>IF(Table645[[#This Row],[Column108]]="--",0,Table645[[#This Row],[Column4]]*Table645[[#This Row],[Column108]])</f>
        <v>0</v>
      </c>
      <c r="DF267" s="101" t="s">
        <v>70</v>
      </c>
      <c r="DG267" s="91" t="str">
        <f t="shared" si="177"/>
        <v>--</v>
      </c>
      <c r="DH267" s="89">
        <f>IF(Table645[[#This Row],[Column111]]="--",0,Table645[[#This Row],[Column4]]*Table645[[#This Row],[Column111]])</f>
        <v>0</v>
      </c>
      <c r="DI267" s="96"/>
      <c r="DJ267" s="96"/>
      <c r="DK267" s="96"/>
      <c r="DL267" s="96"/>
      <c r="DM267" s="96"/>
      <c r="DN267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67" s="89">
        <f>IF(Table645[[#This Row],[Column118]]="--",0,Table645[[#This Row],[Column4]]*Table645[[#This Row],[Column118]])</f>
        <v>0</v>
      </c>
      <c r="DP267" s="96"/>
      <c r="DQ267" s="96"/>
      <c r="DR267" s="91" t="str">
        <f t="shared" si="178"/>
        <v>--</v>
      </c>
      <c r="DS267" s="89">
        <f>IF(Table645[[#This Row],[Column122]]="--",0,Table645[[#This Row],[Column4]]*Table645[[#This Row],[Column122]])</f>
        <v>0</v>
      </c>
      <c r="DT267" t="str">
        <f>IF(Table645[[#This Row],[Column125]]=0,"--",Table645[[#This Row],[Column125]]*Table645[[#This Row],[Column126]]*Table645[[#This Row],[Column127]]/1000000000)</f>
        <v>--</v>
      </c>
      <c r="DU267" s="53"/>
      <c r="DV267" s="53"/>
      <c r="DW267" s="53"/>
      <c r="DX267" s="91" t="str">
        <f t="shared" si="179"/>
        <v>--</v>
      </c>
      <c r="DY267" s="89">
        <f>IF(Table645[[#This Row],[Column128]]="--",0,Table645[[#This Row],[Column4]]*Table645[[#This Row],[Column128]])</f>
        <v>0</v>
      </c>
      <c r="EA267" s="89">
        <f>IF(Table645[[#This Row],[Column128]]="--",0,Table645[[#This Row],[Column4]]*Table645[[#This Row],[Column128]])</f>
        <v>0</v>
      </c>
      <c r="EC267" s="89">
        <f>IF(Table645[[#This Row],[Column128]]="--",0,Table645[[#This Row],[Column4]]*Table645[[#This Row],[Column128]])</f>
        <v>0</v>
      </c>
      <c r="EE267" s="89">
        <f>IF(Table645[[#This Row],[Column128]]="--",0,Table645[[#This Row],[Column4]]*Table645[[#This Row],[Column128]])</f>
        <v>0</v>
      </c>
      <c r="EG267" s="89">
        <f>IF(Table645[[#This Row],[Column128]]="--",0,Table645[[#This Row],[Column4]]*Table645[[#This Row],[Column128]])</f>
        <v>0</v>
      </c>
      <c r="EI267" s="89">
        <f>IF(Table645[[#This Row],[Column128]]="--",0,Table645[[#This Row],[Column4]]*Table645[[#This Row],[Column128]])</f>
        <v>0</v>
      </c>
    </row>
    <row r="268" spans="1:139" x14ac:dyDescent="0.25">
      <c r="A268" s="140"/>
      <c r="B268" s="79"/>
      <c r="C268" s="140"/>
      <c r="D268" s="167"/>
      <c r="E268" s="52"/>
      <c r="F268" s="81"/>
      <c r="G268" s="81"/>
      <c r="H268" s="102" t="str">
        <f t="shared" si="170"/>
        <v>--</v>
      </c>
      <c r="I268" s="100">
        <f>IF(Table645[[#This Row],[Column8]]="--",0,Table645[[#This Row],[Column4]]*Table645[[#This Row],[Column8]])</f>
        <v>0</v>
      </c>
      <c r="J268" s="169"/>
      <c r="K268" s="85">
        <f>Table645[[#This Row],[Column4]]*Table645[[#This Row],[Column10]]</f>
        <v>0</v>
      </c>
      <c r="L268" s="170" t="str">
        <f t="shared" si="171"/>
        <v>--</v>
      </c>
      <c r="M268" s="214">
        <f>IF(Table645[[#This Row],[Column10]]=0,0,Table645[[#This Row],[Column4]]*Table645[[#This Row],[Column12]])</f>
        <v>0</v>
      </c>
      <c r="N268" s="87" t="str">
        <f t="shared" si="172"/>
        <v>--</v>
      </c>
      <c r="O268" s="138"/>
      <c r="AZ268" s="89">
        <f>IF(Table645[[#This Row],[Column14]]="--",0,Table645[[#This Row],[Column4]]*Table645[[#This Row],[Column14]])</f>
        <v>0</v>
      </c>
      <c r="BA268" s="90"/>
      <c r="BB268" s="91" t="str">
        <f>IF(BA268=0,"--",BA268*$BA$3*IF(Table645[[#This Row],[Column5]]&lt;4.1,1,2)/60/24)</f>
        <v>--</v>
      </c>
      <c r="BC268" s="92">
        <f>IF(Table645[[#This Row],[Column54]]="--",0,Table645[[#This Row],[Column4]]*Table645[[#This Row],[Column54]])</f>
        <v>0</v>
      </c>
      <c r="BD268" s="119"/>
      <c r="BE268" s="119"/>
      <c r="BF268" s="119"/>
      <c r="BG268" s="91" t="str">
        <f>IF(BD268+Table645[[#This Row],[Column58]]=0,"--",(BD268*$BF$3*Table645[[#This Row],[Column57]]+Table645[[#This Row],[Column58]]*$BF$4)/60/24)</f>
        <v>--</v>
      </c>
      <c r="BH268" s="92">
        <f>IF(Table645[[#This Row],[Column59]]="--",0,Table645[[#This Row],[Column4]]*Table645[[#This Row],[Column59]])</f>
        <v>0</v>
      </c>
      <c r="BI268" s="119"/>
      <c r="BJ268" s="91" t="str">
        <f t="shared" si="148"/>
        <v>--</v>
      </c>
      <c r="BK268" s="92">
        <f>IF(Table645[[#This Row],[Column62]]="--",0,Table645[[#This Row],[Column4]]*Table645[[#This Row],[Column62]])</f>
        <v>0</v>
      </c>
      <c r="BL268" s="93"/>
      <c r="BM268" s="91" t="str">
        <f t="shared" si="173"/>
        <v>--</v>
      </c>
      <c r="BN268" s="89">
        <f>IF(Table645[[#This Row],[Column65]]="--",0,Table645[[#This Row],[Column4]]*Table645[[#This Row],[Column65]])</f>
        <v>0</v>
      </c>
      <c r="BO268" s="163"/>
      <c r="BP268" s="164" t="str">
        <f t="shared" si="174"/>
        <v>--</v>
      </c>
      <c r="BQ268" s="160">
        <f>IF(Table645[[#This Row],[Column68]]="--",0,Table645[[#This Row],[Column4]]*Table645[[#This Row],[Column68]])</f>
        <v>0</v>
      </c>
      <c r="BR268" s="94"/>
      <c r="BS268" s="91" t="str">
        <f t="shared" si="175"/>
        <v>--</v>
      </c>
      <c r="BT268" s="92">
        <f>IF(Table645[[#This Row],[Column71]]="--",0,Table645[[#This Row],[Column4]]*Table645[[#This Row],[Column71]])</f>
        <v>0</v>
      </c>
      <c r="BU268" s="44"/>
      <c r="BV268" s="90"/>
      <c r="BW268" s="91" t="str">
        <f>IF(BV268=0,"--",(Table645[[#This Row],[Column73]]*$BV$4*(IF(J268&lt;0.5001,1,IF(J268&lt;2.0001,2,3)))+BV268/$BV$3)/60/24)</f>
        <v>--</v>
      </c>
      <c r="BX268" s="92">
        <f>IF(Table645[[#This Row],[Column75]]="--",0,Table645[[#This Row],[Column4]]*Table645[[#This Row],[Column75]])</f>
        <v>0</v>
      </c>
      <c r="BY268" s="95" t="s">
        <v>70</v>
      </c>
      <c r="BZ268" s="91" t="str">
        <f>IF(Table645[[#This Row],[Column74]]=0,"--",BW268*$BY$3)</f>
        <v>--</v>
      </c>
      <c r="CA268" s="89">
        <f>IF(Table645[[#This Row],[Column78]]="--",0,Table645[[#This Row],[Column4]]*Table645[[#This Row],[Column78]])</f>
        <v>0</v>
      </c>
      <c r="CB268" s="95" t="s">
        <v>70</v>
      </c>
      <c r="CC268" s="91" t="str">
        <f>IF(Table645[[#This Row],[Column10]]+Table645[[#This Row],[Column74]]=0,"--",J268*$CB$4*$CB$5/(24*60)+IF(Table645[[#This Row],[Column74]]=0,0,$CB$3*Table645[[#This Row],[Column75]]))</f>
        <v>--</v>
      </c>
      <c r="CD268" s="92">
        <f>IF(Table645[[#This Row],[Column81]]="--",0,Table645[[#This Row],[Column4]]*Table645[[#This Row],[Column81]])</f>
        <v>0</v>
      </c>
      <c r="CE268" s="215"/>
      <c r="CF268" s="91" t="str">
        <f t="shared" si="149"/>
        <v>--</v>
      </c>
      <c r="CG268" s="92">
        <f>IF(Table645[[#This Row],[Column84]]="--",0,Table645[[#This Row],[Column4]]*Table645[[#This Row],[Column84]])</f>
        <v>0</v>
      </c>
      <c r="CH268" s="226"/>
      <c r="CI268" s="216"/>
      <c r="CJ268" s="91" t="str">
        <f>IF(CI268=0,"--",(Table645[[#This Row],[Column86]]*$CI$4*(IF(W268&lt;0.5001,1,IF(W268&lt;2.0001,2,3)))+CI268/$CI$3)/60/24)</f>
        <v>--</v>
      </c>
      <c r="CK268" s="92">
        <f>IF(Table645[[#This Row],[Column88]]="--",0,Table645[[#This Row],[Column4]]*Table645[[#This Row],[Column88]])</f>
        <v>0</v>
      </c>
      <c r="CL268" s="217"/>
      <c r="CM268" s="91" t="str">
        <f>IF(Table645[[#This Row],[Column87]]=0,"--",CJ268*$CL$3)</f>
        <v>--</v>
      </c>
      <c r="CN268" s="92">
        <f>IF(Table645[[#This Row],[Column91]]="--",0,Table645[[#This Row],[Column4]]*Table645[[#This Row],[Column91]])</f>
        <v>0</v>
      </c>
      <c r="CO268" s="217"/>
      <c r="CP268" s="91" t="str">
        <f>IF(Table645[[#This Row],[Column10]]+Table645[[#This Row],[Column87]]=0, "--", IF($D268="", 1, $D268) * IF($J268="", 1, $J268) * $CO$3 * $CO$4 * IF(Table645[[#This Row],[Column95]]="", 1, Table645[[#This Row],[Column95]]) / (24 * 60))</f>
        <v>--</v>
      </c>
      <c r="CQ268" s="164"/>
      <c r="CR268" s="92">
        <f>IF(Table645[[#This Row],[Column94]]="--",0,Table645[[#This Row],[Column4]]*Table645[[#This Row],[Column94]])</f>
        <v>0</v>
      </c>
      <c r="CS268" s="218" t="str">
        <f>IF(Table645[[#This Row],[Column87]]="","",Table645[[#This Row],[Column87]])</f>
        <v/>
      </c>
      <c r="CT268" s="91" t="str">
        <f>IF(Table645[[#This Row],[Column97]]="","--",Table645[[#This Row],[Column97]]/$CS$3/60/24)</f>
        <v>--</v>
      </c>
      <c r="CU268" s="92">
        <f>IF(Table645[[#This Row],[Column98]]="--",0,Table645[[#This Row],[Column4]]*Table645[[#This Row],[Column98]])</f>
        <v>0</v>
      </c>
      <c r="CV268" s="93"/>
      <c r="CW268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68" s="91" t="str">
        <f>IF(OR(Table645[[#This Row],[Column74]]&gt;0,Table645[[#This Row],[Column87]]&gt;0),(Table645[[#This Row],[Column73]]+Table645[[#This Row],[Column86]]+1)*$CW$3/60/24,"--")</f>
        <v>--</v>
      </c>
      <c r="CY268" s="92">
        <f>IF(Table645[[#This Row],[Column102]]="--",0,Table645[[#This Row],[Column4]]*Table645[[#This Row],[Column102]])</f>
        <v>0</v>
      </c>
      <c r="CZ268" s="158" t="str">
        <f t="shared" si="176"/>
        <v>--</v>
      </c>
      <c r="DA268" s="153"/>
      <c r="DB268" s="160">
        <f>IF(Table645[[#This Row],[Column104]]="--",0,Table645[[#This Row],[Column4]]*Table645[[#This Row],[Column104]])</f>
        <v>0</v>
      </c>
      <c r="DC268" s="219"/>
      <c r="DD268" s="220" t="str">
        <f>IF(DC268=0,"--",1/$DC$3*1000/(60*60*24)*Table645[[#This Row],[Column107]])</f>
        <v>--</v>
      </c>
      <c r="DE268" s="160">
        <f>IF(Table645[[#This Row],[Column108]]="--",0,Table645[[#This Row],[Column4]]*Table645[[#This Row],[Column108]])</f>
        <v>0</v>
      </c>
      <c r="DF268" s="101" t="s">
        <v>70</v>
      </c>
      <c r="DG268" s="91" t="str">
        <f t="shared" si="177"/>
        <v>--</v>
      </c>
      <c r="DH268" s="89">
        <f>IF(Table645[[#This Row],[Column111]]="--",0,Table645[[#This Row],[Column4]]*Table645[[#This Row],[Column111]])</f>
        <v>0</v>
      </c>
      <c r="DI268" s="96"/>
      <c r="DJ268" s="96"/>
      <c r="DK268" s="96"/>
      <c r="DL268" s="96"/>
      <c r="DM268" s="96"/>
      <c r="DN268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68" s="89">
        <f>IF(Table645[[#This Row],[Column118]]="--",0,Table645[[#This Row],[Column4]]*Table645[[#This Row],[Column118]])</f>
        <v>0</v>
      </c>
      <c r="DP268" s="96"/>
      <c r="DQ268" s="96"/>
      <c r="DR268" s="91" t="str">
        <f t="shared" si="178"/>
        <v>--</v>
      </c>
      <c r="DS268" s="89">
        <f>IF(Table645[[#This Row],[Column122]]="--",0,Table645[[#This Row],[Column4]]*Table645[[#This Row],[Column122]])</f>
        <v>0</v>
      </c>
      <c r="DT268" t="str">
        <f>IF(Table645[[#This Row],[Column125]]=0,"--",Table645[[#This Row],[Column125]]*Table645[[#This Row],[Column126]]*Table645[[#This Row],[Column127]]/1000000000)</f>
        <v>--</v>
      </c>
      <c r="DU268" s="53"/>
      <c r="DV268" s="53"/>
      <c r="DW268" s="53"/>
      <c r="DX268" s="91" t="str">
        <f t="shared" si="179"/>
        <v>--</v>
      </c>
      <c r="DY268" s="89">
        <f>IF(Table645[[#This Row],[Column128]]="--",0,Table645[[#This Row],[Column4]]*Table645[[#This Row],[Column128]])</f>
        <v>0</v>
      </c>
      <c r="EA268" s="89">
        <f>IF(Table645[[#This Row],[Column128]]="--",0,Table645[[#This Row],[Column4]]*Table645[[#This Row],[Column128]])</f>
        <v>0</v>
      </c>
      <c r="EC268" s="89">
        <f>IF(Table645[[#This Row],[Column128]]="--",0,Table645[[#This Row],[Column4]]*Table645[[#This Row],[Column128]])</f>
        <v>0</v>
      </c>
      <c r="EE268" s="89">
        <f>IF(Table645[[#This Row],[Column128]]="--",0,Table645[[#This Row],[Column4]]*Table645[[#This Row],[Column128]])</f>
        <v>0</v>
      </c>
      <c r="EG268" s="89">
        <f>IF(Table645[[#This Row],[Column128]]="--",0,Table645[[#This Row],[Column4]]*Table645[[#This Row],[Column128]])</f>
        <v>0</v>
      </c>
      <c r="EI268" s="89">
        <f>IF(Table645[[#This Row],[Column128]]="--",0,Table645[[#This Row],[Column4]]*Table645[[#This Row],[Column128]])</f>
        <v>0</v>
      </c>
    </row>
    <row r="269" spans="1:139" x14ac:dyDescent="0.25">
      <c r="A269" s="140"/>
      <c r="B269" s="79"/>
      <c r="C269" s="140"/>
      <c r="D269" s="167"/>
      <c r="E269" s="52"/>
      <c r="F269" s="81"/>
      <c r="G269" s="81"/>
      <c r="H269" s="102" t="str">
        <f t="shared" si="170"/>
        <v>--</v>
      </c>
      <c r="I269" s="100">
        <f>IF(Table645[[#This Row],[Column8]]="--",0,Table645[[#This Row],[Column4]]*Table645[[#This Row],[Column8]])</f>
        <v>0</v>
      </c>
      <c r="J269" s="169"/>
      <c r="K269" s="85">
        <f>Table645[[#This Row],[Column4]]*Table645[[#This Row],[Column10]]</f>
        <v>0</v>
      </c>
      <c r="L269" s="170" t="str">
        <f t="shared" si="171"/>
        <v>--</v>
      </c>
      <c r="M269" s="214">
        <f>IF(Table645[[#This Row],[Column10]]=0,0,Table645[[#This Row],[Column4]]*Table645[[#This Row],[Column12]])</f>
        <v>0</v>
      </c>
      <c r="N269" s="87" t="str">
        <f t="shared" si="172"/>
        <v>--</v>
      </c>
      <c r="O269" s="138"/>
      <c r="AZ269" s="89">
        <f>IF(Table645[[#This Row],[Column14]]="--",0,Table645[[#This Row],[Column4]]*Table645[[#This Row],[Column14]])</f>
        <v>0</v>
      </c>
      <c r="BA269" s="90"/>
      <c r="BB269" s="91" t="str">
        <f>IF(BA269=0,"--",BA269*$BA$3*IF(Table645[[#This Row],[Column5]]&lt;4.1,1,2)/60/24)</f>
        <v>--</v>
      </c>
      <c r="BC269" s="92">
        <f>IF(Table645[[#This Row],[Column54]]="--",0,Table645[[#This Row],[Column4]]*Table645[[#This Row],[Column54]])</f>
        <v>0</v>
      </c>
      <c r="BD269" s="119"/>
      <c r="BE269" s="119"/>
      <c r="BF269" s="119"/>
      <c r="BG269" s="91" t="str">
        <f>IF(BD269+Table645[[#This Row],[Column58]]=0,"--",(BD269*$BF$3*Table645[[#This Row],[Column57]]+Table645[[#This Row],[Column58]]*$BF$4)/60/24)</f>
        <v>--</v>
      </c>
      <c r="BH269" s="92">
        <f>IF(Table645[[#This Row],[Column59]]="--",0,Table645[[#This Row],[Column4]]*Table645[[#This Row],[Column59]])</f>
        <v>0</v>
      </c>
      <c r="BI269" s="119"/>
      <c r="BJ269" s="91" t="str">
        <f t="shared" si="148"/>
        <v>--</v>
      </c>
      <c r="BK269" s="92">
        <f>IF(Table645[[#This Row],[Column62]]="--",0,Table645[[#This Row],[Column4]]*Table645[[#This Row],[Column62]])</f>
        <v>0</v>
      </c>
      <c r="BL269" s="93"/>
      <c r="BM269" s="91" t="str">
        <f t="shared" si="173"/>
        <v>--</v>
      </c>
      <c r="BN269" s="89">
        <f>IF(Table645[[#This Row],[Column65]]="--",0,Table645[[#This Row],[Column4]]*Table645[[#This Row],[Column65]])</f>
        <v>0</v>
      </c>
      <c r="BO269" s="163"/>
      <c r="BP269" s="164" t="str">
        <f t="shared" si="174"/>
        <v>--</v>
      </c>
      <c r="BQ269" s="160">
        <f>IF(Table645[[#This Row],[Column68]]="--",0,Table645[[#This Row],[Column4]]*Table645[[#This Row],[Column68]])</f>
        <v>0</v>
      </c>
      <c r="BR269" s="94"/>
      <c r="BS269" s="91" t="str">
        <f t="shared" si="175"/>
        <v>--</v>
      </c>
      <c r="BT269" s="92">
        <f>IF(Table645[[#This Row],[Column71]]="--",0,Table645[[#This Row],[Column4]]*Table645[[#This Row],[Column71]])</f>
        <v>0</v>
      </c>
      <c r="BU269" s="44"/>
      <c r="BV269" s="90"/>
      <c r="BW269" s="91" t="str">
        <f>IF(BV269=0,"--",(Table645[[#This Row],[Column73]]*$BV$4*(IF(J269&lt;0.5001,1,IF(J269&lt;2.0001,2,3)))+BV269/$BV$3)/60/24)</f>
        <v>--</v>
      </c>
      <c r="BX269" s="92">
        <f>IF(Table645[[#This Row],[Column75]]="--",0,Table645[[#This Row],[Column4]]*Table645[[#This Row],[Column75]])</f>
        <v>0</v>
      </c>
      <c r="BY269" s="95" t="s">
        <v>70</v>
      </c>
      <c r="BZ269" s="91" t="str">
        <f>IF(Table645[[#This Row],[Column74]]=0,"--",BW269*$BY$3)</f>
        <v>--</v>
      </c>
      <c r="CA269" s="89">
        <f>IF(Table645[[#This Row],[Column78]]="--",0,Table645[[#This Row],[Column4]]*Table645[[#This Row],[Column78]])</f>
        <v>0</v>
      </c>
      <c r="CB269" s="95" t="s">
        <v>70</v>
      </c>
      <c r="CC269" s="91" t="str">
        <f>IF(Table645[[#This Row],[Column10]]+Table645[[#This Row],[Column74]]=0,"--",J269*$CB$4*$CB$5/(24*60)+IF(Table645[[#This Row],[Column74]]=0,0,$CB$3*Table645[[#This Row],[Column75]]))</f>
        <v>--</v>
      </c>
      <c r="CD269" s="92">
        <f>IF(Table645[[#This Row],[Column81]]="--",0,Table645[[#This Row],[Column4]]*Table645[[#This Row],[Column81]])</f>
        <v>0</v>
      </c>
      <c r="CE269" s="215"/>
      <c r="CF269" s="91" t="str">
        <f t="shared" si="149"/>
        <v>--</v>
      </c>
      <c r="CG269" s="92">
        <f>IF(Table645[[#This Row],[Column84]]="--",0,Table645[[#This Row],[Column4]]*Table645[[#This Row],[Column84]])</f>
        <v>0</v>
      </c>
      <c r="CH269" s="226"/>
      <c r="CI269" s="216"/>
      <c r="CJ269" s="91" t="str">
        <f>IF(CI269=0,"--",(Table645[[#This Row],[Column86]]*$CI$4*(IF(W269&lt;0.5001,1,IF(W269&lt;2.0001,2,3)))+CI269/$CI$3)/60/24)</f>
        <v>--</v>
      </c>
      <c r="CK269" s="92">
        <f>IF(Table645[[#This Row],[Column88]]="--",0,Table645[[#This Row],[Column4]]*Table645[[#This Row],[Column88]])</f>
        <v>0</v>
      </c>
      <c r="CL269" s="217"/>
      <c r="CM269" s="91" t="str">
        <f>IF(Table645[[#This Row],[Column87]]=0,"--",CJ269*$CL$3)</f>
        <v>--</v>
      </c>
      <c r="CN269" s="92">
        <f>IF(Table645[[#This Row],[Column91]]="--",0,Table645[[#This Row],[Column4]]*Table645[[#This Row],[Column91]])</f>
        <v>0</v>
      </c>
      <c r="CO269" s="217"/>
      <c r="CP269" s="91" t="str">
        <f>IF(Table645[[#This Row],[Column10]]+Table645[[#This Row],[Column87]]=0, "--", IF($D269="", 1, $D269) * IF($J269="", 1, $J269) * $CO$3 * $CO$4 * IF(Table645[[#This Row],[Column95]]="", 1, Table645[[#This Row],[Column95]]) / (24 * 60))</f>
        <v>--</v>
      </c>
      <c r="CQ269" s="164"/>
      <c r="CR269" s="92">
        <f>IF(Table645[[#This Row],[Column94]]="--",0,Table645[[#This Row],[Column4]]*Table645[[#This Row],[Column94]])</f>
        <v>0</v>
      </c>
      <c r="CS269" s="218" t="str">
        <f>IF(Table645[[#This Row],[Column87]]="","",Table645[[#This Row],[Column87]])</f>
        <v/>
      </c>
      <c r="CT269" s="91" t="str">
        <f>IF(Table645[[#This Row],[Column97]]="","--",Table645[[#This Row],[Column97]]/$CS$3/60/24)</f>
        <v>--</v>
      </c>
      <c r="CU269" s="92">
        <f>IF(Table645[[#This Row],[Column98]]="--",0,Table645[[#This Row],[Column4]]*Table645[[#This Row],[Column98]])</f>
        <v>0</v>
      </c>
      <c r="CV269" s="93"/>
      <c r="CW269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69" s="91" t="str">
        <f>IF(OR(Table645[[#This Row],[Column74]]&gt;0,Table645[[#This Row],[Column87]]&gt;0),(Table645[[#This Row],[Column73]]+Table645[[#This Row],[Column86]]+1)*$CW$3/60/24,"--")</f>
        <v>--</v>
      </c>
      <c r="CY269" s="92">
        <f>IF(Table645[[#This Row],[Column102]]="--",0,Table645[[#This Row],[Column4]]*Table645[[#This Row],[Column102]])</f>
        <v>0</v>
      </c>
      <c r="CZ269" s="158" t="str">
        <f t="shared" si="176"/>
        <v>--</v>
      </c>
      <c r="DA269" s="153"/>
      <c r="DB269" s="160">
        <f>IF(Table645[[#This Row],[Column104]]="--",0,Table645[[#This Row],[Column4]]*Table645[[#This Row],[Column104]])</f>
        <v>0</v>
      </c>
      <c r="DC269" s="219"/>
      <c r="DD269" s="220" t="str">
        <f>IF(DC269=0,"--",1/$DC$3*1000/(60*60*24)*Table645[[#This Row],[Column107]])</f>
        <v>--</v>
      </c>
      <c r="DE269" s="160">
        <f>IF(Table645[[#This Row],[Column108]]="--",0,Table645[[#This Row],[Column4]]*Table645[[#This Row],[Column108]])</f>
        <v>0</v>
      </c>
      <c r="DF269" s="101" t="s">
        <v>70</v>
      </c>
      <c r="DG269" s="91" t="str">
        <f t="shared" si="177"/>
        <v>--</v>
      </c>
      <c r="DH269" s="89">
        <f>IF(Table645[[#This Row],[Column111]]="--",0,Table645[[#This Row],[Column4]]*Table645[[#This Row],[Column111]])</f>
        <v>0</v>
      </c>
      <c r="DI269" s="96"/>
      <c r="DJ269" s="96"/>
      <c r="DK269" s="96"/>
      <c r="DL269" s="96"/>
      <c r="DM269" s="96"/>
      <c r="DN269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69" s="89">
        <f>IF(Table645[[#This Row],[Column118]]="--",0,Table645[[#This Row],[Column4]]*Table645[[#This Row],[Column118]])</f>
        <v>0</v>
      </c>
      <c r="DP269" s="96"/>
      <c r="DQ269" s="96"/>
      <c r="DR269" s="91" t="str">
        <f t="shared" si="178"/>
        <v>--</v>
      </c>
      <c r="DS269" s="89">
        <f>IF(Table645[[#This Row],[Column122]]="--",0,Table645[[#This Row],[Column4]]*Table645[[#This Row],[Column122]])</f>
        <v>0</v>
      </c>
      <c r="DT269" t="str">
        <f>IF(Table645[[#This Row],[Column125]]=0,"--",Table645[[#This Row],[Column125]]*Table645[[#This Row],[Column126]]*Table645[[#This Row],[Column127]]/1000000000)</f>
        <v>--</v>
      </c>
      <c r="DU269" s="53"/>
      <c r="DV269" s="53"/>
      <c r="DW269" s="53"/>
      <c r="DX269" s="91" t="str">
        <f t="shared" si="179"/>
        <v>--</v>
      </c>
      <c r="DY269" s="89">
        <f>IF(Table645[[#This Row],[Column128]]="--",0,Table645[[#This Row],[Column4]]*Table645[[#This Row],[Column128]])</f>
        <v>0</v>
      </c>
      <c r="EA269" s="89">
        <f>IF(Table645[[#This Row],[Column128]]="--",0,Table645[[#This Row],[Column4]]*Table645[[#This Row],[Column128]])</f>
        <v>0</v>
      </c>
      <c r="EC269" s="89">
        <f>IF(Table645[[#This Row],[Column128]]="--",0,Table645[[#This Row],[Column4]]*Table645[[#This Row],[Column128]])</f>
        <v>0</v>
      </c>
      <c r="EE269" s="89">
        <f>IF(Table645[[#This Row],[Column128]]="--",0,Table645[[#This Row],[Column4]]*Table645[[#This Row],[Column128]])</f>
        <v>0</v>
      </c>
      <c r="EG269" s="89">
        <f>IF(Table645[[#This Row],[Column128]]="--",0,Table645[[#This Row],[Column4]]*Table645[[#This Row],[Column128]])</f>
        <v>0</v>
      </c>
      <c r="EI269" s="89">
        <f>IF(Table645[[#This Row],[Column128]]="--",0,Table645[[#This Row],[Column4]]*Table645[[#This Row],[Column128]])</f>
        <v>0</v>
      </c>
    </row>
    <row r="270" spans="1:139" x14ac:dyDescent="0.25">
      <c r="A270" s="140"/>
      <c r="B270" s="79"/>
      <c r="C270" s="140"/>
      <c r="D270" s="167"/>
      <c r="E270" s="52"/>
      <c r="F270" s="81"/>
      <c r="G270" s="81"/>
      <c r="H270" s="102" t="str">
        <f t="shared" si="170"/>
        <v>--</v>
      </c>
      <c r="I270" s="100">
        <f>IF(Table645[[#This Row],[Column8]]="--",0,Table645[[#This Row],[Column4]]*Table645[[#This Row],[Column8]])</f>
        <v>0</v>
      </c>
      <c r="J270" s="169"/>
      <c r="K270" s="85">
        <f>Table645[[#This Row],[Column4]]*Table645[[#This Row],[Column10]]</f>
        <v>0</v>
      </c>
      <c r="L270" s="170" t="str">
        <f t="shared" si="171"/>
        <v>--</v>
      </c>
      <c r="M270" s="214">
        <f>IF(Table645[[#This Row],[Column10]]=0,0,Table645[[#This Row],[Column4]]*Table645[[#This Row],[Column12]])</f>
        <v>0</v>
      </c>
      <c r="N270" s="87" t="str">
        <f t="shared" si="172"/>
        <v>--</v>
      </c>
      <c r="O270" s="138"/>
      <c r="AZ270" s="89">
        <f>IF(Table645[[#This Row],[Column14]]="--",0,Table645[[#This Row],[Column4]]*Table645[[#This Row],[Column14]])</f>
        <v>0</v>
      </c>
      <c r="BA270" s="90"/>
      <c r="BB270" s="91" t="str">
        <f>IF(BA270=0,"--",BA270*$BA$3*IF(Table645[[#This Row],[Column5]]&lt;4.1,1,2)/60/24)</f>
        <v>--</v>
      </c>
      <c r="BC270" s="92">
        <f>IF(Table645[[#This Row],[Column54]]="--",0,Table645[[#This Row],[Column4]]*Table645[[#This Row],[Column54]])</f>
        <v>0</v>
      </c>
      <c r="BD270" s="119"/>
      <c r="BE270" s="119"/>
      <c r="BF270" s="119"/>
      <c r="BG270" s="91" t="str">
        <f>IF(BD270+Table645[[#This Row],[Column58]]=0,"--",(BD270*$BF$3*Table645[[#This Row],[Column57]]+Table645[[#This Row],[Column58]]*$BF$4)/60/24)</f>
        <v>--</v>
      </c>
      <c r="BH270" s="92">
        <f>IF(Table645[[#This Row],[Column59]]="--",0,Table645[[#This Row],[Column4]]*Table645[[#This Row],[Column59]])</f>
        <v>0</v>
      </c>
      <c r="BI270" s="119"/>
      <c r="BJ270" s="91" t="str">
        <f t="shared" si="148"/>
        <v>--</v>
      </c>
      <c r="BK270" s="92">
        <f>IF(Table645[[#This Row],[Column62]]="--",0,Table645[[#This Row],[Column4]]*Table645[[#This Row],[Column62]])</f>
        <v>0</v>
      </c>
      <c r="BL270" s="93"/>
      <c r="BM270" s="91" t="str">
        <f t="shared" si="173"/>
        <v>--</v>
      </c>
      <c r="BN270" s="89">
        <f>IF(Table645[[#This Row],[Column65]]="--",0,Table645[[#This Row],[Column4]]*Table645[[#This Row],[Column65]])</f>
        <v>0</v>
      </c>
      <c r="BO270" s="163"/>
      <c r="BP270" s="164" t="str">
        <f t="shared" si="174"/>
        <v>--</v>
      </c>
      <c r="BQ270" s="160">
        <f>IF(Table645[[#This Row],[Column68]]="--",0,Table645[[#This Row],[Column4]]*Table645[[#This Row],[Column68]])</f>
        <v>0</v>
      </c>
      <c r="BR270" s="94"/>
      <c r="BS270" s="91" t="str">
        <f t="shared" si="175"/>
        <v>--</v>
      </c>
      <c r="BT270" s="92">
        <f>IF(Table645[[#This Row],[Column71]]="--",0,Table645[[#This Row],[Column4]]*Table645[[#This Row],[Column71]])</f>
        <v>0</v>
      </c>
      <c r="BU270" s="44"/>
      <c r="BV270" s="90"/>
      <c r="BW270" s="91" t="str">
        <f>IF(BV270=0,"--",(Table645[[#This Row],[Column73]]*$BV$4*(IF(J270&lt;0.5001,1,IF(J270&lt;2.0001,2,3)))+BV270/$BV$3)/60/24)</f>
        <v>--</v>
      </c>
      <c r="BX270" s="92">
        <f>IF(Table645[[#This Row],[Column75]]="--",0,Table645[[#This Row],[Column4]]*Table645[[#This Row],[Column75]])</f>
        <v>0</v>
      </c>
      <c r="BY270" s="95" t="s">
        <v>70</v>
      </c>
      <c r="BZ270" s="91" t="str">
        <f>IF(Table645[[#This Row],[Column74]]=0,"--",BW270*$BY$3)</f>
        <v>--</v>
      </c>
      <c r="CA270" s="89">
        <f>IF(Table645[[#This Row],[Column78]]="--",0,Table645[[#This Row],[Column4]]*Table645[[#This Row],[Column78]])</f>
        <v>0</v>
      </c>
      <c r="CB270" s="95" t="s">
        <v>70</v>
      </c>
      <c r="CC270" s="91" t="str">
        <f>IF(Table645[[#This Row],[Column10]]+Table645[[#This Row],[Column74]]=0,"--",J270*$CB$4*$CB$5/(24*60)+IF(Table645[[#This Row],[Column74]]=0,0,$CB$3*Table645[[#This Row],[Column75]]))</f>
        <v>--</v>
      </c>
      <c r="CD270" s="92">
        <f>IF(Table645[[#This Row],[Column81]]="--",0,Table645[[#This Row],[Column4]]*Table645[[#This Row],[Column81]])</f>
        <v>0</v>
      </c>
      <c r="CE270" s="215"/>
      <c r="CF270" s="91" t="str">
        <f t="shared" si="149"/>
        <v>--</v>
      </c>
      <c r="CG270" s="92">
        <f>IF(Table645[[#This Row],[Column84]]="--",0,Table645[[#This Row],[Column4]]*Table645[[#This Row],[Column84]])</f>
        <v>0</v>
      </c>
      <c r="CH270" s="226"/>
      <c r="CI270" s="216"/>
      <c r="CJ270" s="91" t="str">
        <f>IF(CI270=0,"--",(Table645[[#This Row],[Column86]]*$CI$4*(IF(W270&lt;0.5001,1,IF(W270&lt;2.0001,2,3)))+CI270/$CI$3)/60/24)</f>
        <v>--</v>
      </c>
      <c r="CK270" s="92">
        <f>IF(Table645[[#This Row],[Column88]]="--",0,Table645[[#This Row],[Column4]]*Table645[[#This Row],[Column88]])</f>
        <v>0</v>
      </c>
      <c r="CL270" s="217"/>
      <c r="CM270" s="91" t="str">
        <f>IF(Table645[[#This Row],[Column87]]=0,"--",CJ270*$CL$3)</f>
        <v>--</v>
      </c>
      <c r="CN270" s="92">
        <f>IF(Table645[[#This Row],[Column91]]="--",0,Table645[[#This Row],[Column4]]*Table645[[#This Row],[Column91]])</f>
        <v>0</v>
      </c>
      <c r="CO270" s="217"/>
      <c r="CP270" s="91" t="str">
        <f>IF(Table645[[#This Row],[Column10]]+Table645[[#This Row],[Column87]]=0, "--", IF($D270="", 1, $D270) * IF($J270="", 1, $J270) * $CO$3 * $CO$4 * IF(Table645[[#This Row],[Column95]]="", 1, Table645[[#This Row],[Column95]]) / (24 * 60))</f>
        <v>--</v>
      </c>
      <c r="CQ270" s="164"/>
      <c r="CR270" s="92">
        <f>IF(Table645[[#This Row],[Column94]]="--",0,Table645[[#This Row],[Column4]]*Table645[[#This Row],[Column94]])</f>
        <v>0</v>
      </c>
      <c r="CS270" s="218" t="str">
        <f>IF(Table645[[#This Row],[Column87]]="","",Table645[[#This Row],[Column87]])</f>
        <v/>
      </c>
      <c r="CT270" s="91" t="str">
        <f>IF(Table645[[#This Row],[Column97]]="","--",Table645[[#This Row],[Column97]]/$CS$3/60/24)</f>
        <v>--</v>
      </c>
      <c r="CU270" s="92">
        <f>IF(Table645[[#This Row],[Column98]]="--",0,Table645[[#This Row],[Column4]]*Table645[[#This Row],[Column98]])</f>
        <v>0</v>
      </c>
      <c r="CV270" s="93"/>
      <c r="CW270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70" s="91" t="str">
        <f>IF(OR(Table645[[#This Row],[Column74]]&gt;0,Table645[[#This Row],[Column87]]&gt;0),(Table645[[#This Row],[Column73]]+Table645[[#This Row],[Column86]]+1)*$CW$3/60/24,"--")</f>
        <v>--</v>
      </c>
      <c r="CY270" s="92">
        <f>IF(Table645[[#This Row],[Column102]]="--",0,Table645[[#This Row],[Column4]]*Table645[[#This Row],[Column102]])</f>
        <v>0</v>
      </c>
      <c r="CZ270" s="158" t="str">
        <f t="shared" si="176"/>
        <v>--</v>
      </c>
      <c r="DA270" s="153"/>
      <c r="DB270" s="160">
        <f>IF(Table645[[#This Row],[Column104]]="--",0,Table645[[#This Row],[Column4]]*Table645[[#This Row],[Column104]])</f>
        <v>0</v>
      </c>
      <c r="DC270" s="219"/>
      <c r="DD270" s="220" t="str">
        <f>IF(DC270=0,"--",1/$DC$3*1000/(60*60*24)*Table645[[#This Row],[Column107]])</f>
        <v>--</v>
      </c>
      <c r="DE270" s="160">
        <f>IF(Table645[[#This Row],[Column108]]="--",0,Table645[[#This Row],[Column4]]*Table645[[#This Row],[Column108]])</f>
        <v>0</v>
      </c>
      <c r="DF270" s="101" t="s">
        <v>70</v>
      </c>
      <c r="DG270" s="91" t="str">
        <f t="shared" si="177"/>
        <v>--</v>
      </c>
      <c r="DH270" s="89">
        <f>IF(Table645[[#This Row],[Column111]]="--",0,Table645[[#This Row],[Column4]]*Table645[[#This Row],[Column111]])</f>
        <v>0</v>
      </c>
      <c r="DI270" s="96"/>
      <c r="DJ270" s="96"/>
      <c r="DK270" s="96"/>
      <c r="DL270" s="96"/>
      <c r="DM270" s="96"/>
      <c r="DN270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70" s="89">
        <f>IF(Table645[[#This Row],[Column118]]="--",0,Table645[[#This Row],[Column4]]*Table645[[#This Row],[Column118]])</f>
        <v>0</v>
      </c>
      <c r="DP270" s="96"/>
      <c r="DQ270" s="96"/>
      <c r="DR270" s="91" t="str">
        <f t="shared" si="178"/>
        <v>--</v>
      </c>
      <c r="DS270" s="89">
        <f>IF(Table645[[#This Row],[Column122]]="--",0,Table645[[#This Row],[Column4]]*Table645[[#This Row],[Column122]])</f>
        <v>0</v>
      </c>
      <c r="DT270" t="str">
        <f>IF(Table645[[#This Row],[Column125]]=0,"--",Table645[[#This Row],[Column125]]*Table645[[#This Row],[Column126]]*Table645[[#This Row],[Column127]]/1000000000)</f>
        <v>--</v>
      </c>
      <c r="DU270" s="53"/>
      <c r="DV270" s="53"/>
      <c r="DW270" s="53"/>
      <c r="DX270" s="91" t="str">
        <f t="shared" si="179"/>
        <v>--</v>
      </c>
      <c r="DY270" s="89">
        <f>IF(Table645[[#This Row],[Column128]]="--",0,Table645[[#This Row],[Column4]]*Table645[[#This Row],[Column128]])</f>
        <v>0</v>
      </c>
      <c r="EA270" s="89">
        <f>IF(Table645[[#This Row],[Column128]]="--",0,Table645[[#This Row],[Column4]]*Table645[[#This Row],[Column128]])</f>
        <v>0</v>
      </c>
      <c r="EC270" s="89">
        <f>IF(Table645[[#This Row],[Column128]]="--",0,Table645[[#This Row],[Column4]]*Table645[[#This Row],[Column128]])</f>
        <v>0</v>
      </c>
      <c r="EE270" s="89">
        <f>IF(Table645[[#This Row],[Column128]]="--",0,Table645[[#This Row],[Column4]]*Table645[[#This Row],[Column128]])</f>
        <v>0</v>
      </c>
      <c r="EG270" s="89">
        <f>IF(Table645[[#This Row],[Column128]]="--",0,Table645[[#This Row],[Column4]]*Table645[[#This Row],[Column128]])</f>
        <v>0</v>
      </c>
      <c r="EI270" s="89">
        <f>IF(Table645[[#This Row],[Column128]]="--",0,Table645[[#This Row],[Column4]]*Table645[[#This Row],[Column128]])</f>
        <v>0</v>
      </c>
    </row>
    <row r="271" spans="1:139" x14ac:dyDescent="0.25">
      <c r="A271" s="140"/>
      <c r="B271" s="79"/>
      <c r="C271" s="140"/>
      <c r="D271" s="167"/>
      <c r="E271" s="52"/>
      <c r="F271" s="81"/>
      <c r="G271" s="81"/>
      <c r="H271" s="102" t="str">
        <f t="shared" si="170"/>
        <v>--</v>
      </c>
      <c r="I271" s="100">
        <f>IF(Table645[[#This Row],[Column8]]="--",0,Table645[[#This Row],[Column4]]*Table645[[#This Row],[Column8]])</f>
        <v>0</v>
      </c>
      <c r="J271" s="169"/>
      <c r="K271" s="85">
        <f>Table645[[#This Row],[Column4]]*Table645[[#This Row],[Column10]]</f>
        <v>0</v>
      </c>
      <c r="L271" s="170" t="str">
        <f t="shared" si="171"/>
        <v>--</v>
      </c>
      <c r="M271" s="214">
        <f>IF(Table645[[#This Row],[Column10]]=0,0,Table645[[#This Row],[Column4]]*Table645[[#This Row],[Column12]])</f>
        <v>0</v>
      </c>
      <c r="N271" s="87" t="str">
        <f t="shared" si="172"/>
        <v>--</v>
      </c>
      <c r="O271" s="138"/>
      <c r="AZ271" s="89">
        <f>IF(Table645[[#This Row],[Column14]]="--",0,Table645[[#This Row],[Column4]]*Table645[[#This Row],[Column14]])</f>
        <v>0</v>
      </c>
      <c r="BA271" s="90"/>
      <c r="BB271" s="91" t="str">
        <f>IF(BA271=0,"--",BA271*$BA$3*IF(Table645[[#This Row],[Column5]]&lt;4.1,1,2)/60/24)</f>
        <v>--</v>
      </c>
      <c r="BC271" s="92">
        <f>IF(Table645[[#This Row],[Column54]]="--",0,Table645[[#This Row],[Column4]]*Table645[[#This Row],[Column54]])</f>
        <v>0</v>
      </c>
      <c r="BD271" s="119"/>
      <c r="BE271" s="119"/>
      <c r="BF271" s="119"/>
      <c r="BG271" s="91" t="str">
        <f>IF(BD271+Table645[[#This Row],[Column58]]=0,"--",(BD271*$BF$3*Table645[[#This Row],[Column57]]+Table645[[#This Row],[Column58]]*$BF$4)/60/24)</f>
        <v>--</v>
      </c>
      <c r="BH271" s="92">
        <f>IF(Table645[[#This Row],[Column59]]="--",0,Table645[[#This Row],[Column4]]*Table645[[#This Row],[Column59]])</f>
        <v>0</v>
      </c>
      <c r="BI271" s="119"/>
      <c r="BJ271" s="91" t="str">
        <f t="shared" si="148"/>
        <v>--</v>
      </c>
      <c r="BK271" s="92">
        <f>IF(Table645[[#This Row],[Column62]]="--",0,Table645[[#This Row],[Column4]]*Table645[[#This Row],[Column62]])</f>
        <v>0</v>
      </c>
      <c r="BL271" s="93"/>
      <c r="BM271" s="91" t="str">
        <f t="shared" si="173"/>
        <v>--</v>
      </c>
      <c r="BN271" s="89">
        <f>IF(Table645[[#This Row],[Column65]]="--",0,Table645[[#This Row],[Column4]]*Table645[[#This Row],[Column65]])</f>
        <v>0</v>
      </c>
      <c r="BO271" s="163"/>
      <c r="BP271" s="164" t="str">
        <f t="shared" si="174"/>
        <v>--</v>
      </c>
      <c r="BQ271" s="160">
        <f>IF(Table645[[#This Row],[Column68]]="--",0,Table645[[#This Row],[Column4]]*Table645[[#This Row],[Column68]])</f>
        <v>0</v>
      </c>
      <c r="BR271" s="94"/>
      <c r="BS271" s="91" t="str">
        <f t="shared" si="175"/>
        <v>--</v>
      </c>
      <c r="BT271" s="92">
        <f>IF(Table645[[#This Row],[Column71]]="--",0,Table645[[#This Row],[Column4]]*Table645[[#This Row],[Column71]])</f>
        <v>0</v>
      </c>
      <c r="BU271" s="44"/>
      <c r="BV271" s="90"/>
      <c r="BW271" s="91" t="str">
        <f>IF(BV271=0,"--",(Table645[[#This Row],[Column73]]*$BV$4*(IF(J271&lt;0.5001,1,IF(J271&lt;2.0001,2,3)))+BV271/$BV$3)/60/24)</f>
        <v>--</v>
      </c>
      <c r="BX271" s="92">
        <f>IF(Table645[[#This Row],[Column75]]="--",0,Table645[[#This Row],[Column4]]*Table645[[#This Row],[Column75]])</f>
        <v>0</v>
      </c>
      <c r="BY271" s="95" t="s">
        <v>70</v>
      </c>
      <c r="BZ271" s="91" t="str">
        <f>IF(Table645[[#This Row],[Column74]]=0,"--",BW271*$BY$3)</f>
        <v>--</v>
      </c>
      <c r="CA271" s="89">
        <f>IF(Table645[[#This Row],[Column78]]="--",0,Table645[[#This Row],[Column4]]*Table645[[#This Row],[Column78]])</f>
        <v>0</v>
      </c>
      <c r="CB271" s="95" t="s">
        <v>70</v>
      </c>
      <c r="CC271" s="91" t="str">
        <f>IF(Table645[[#This Row],[Column10]]+Table645[[#This Row],[Column74]]=0,"--",J271*$CB$4*$CB$5/(24*60)+IF(Table645[[#This Row],[Column74]]=0,0,$CB$3*Table645[[#This Row],[Column75]]))</f>
        <v>--</v>
      </c>
      <c r="CD271" s="92">
        <f>IF(Table645[[#This Row],[Column81]]="--",0,Table645[[#This Row],[Column4]]*Table645[[#This Row],[Column81]])</f>
        <v>0</v>
      </c>
      <c r="CE271" s="215"/>
      <c r="CF271" s="91" t="str">
        <f t="shared" si="149"/>
        <v>--</v>
      </c>
      <c r="CG271" s="92">
        <f>IF(Table645[[#This Row],[Column84]]="--",0,Table645[[#This Row],[Column4]]*Table645[[#This Row],[Column84]])</f>
        <v>0</v>
      </c>
      <c r="CH271" s="226"/>
      <c r="CI271" s="216"/>
      <c r="CJ271" s="91" t="str">
        <f>IF(CI271=0,"--",(Table645[[#This Row],[Column86]]*$CI$4*(IF(W271&lt;0.5001,1,IF(W271&lt;2.0001,2,3)))+CI271/$CI$3)/60/24)</f>
        <v>--</v>
      </c>
      <c r="CK271" s="92">
        <f>IF(Table645[[#This Row],[Column88]]="--",0,Table645[[#This Row],[Column4]]*Table645[[#This Row],[Column88]])</f>
        <v>0</v>
      </c>
      <c r="CL271" s="217"/>
      <c r="CM271" s="91" t="str">
        <f>IF(Table645[[#This Row],[Column87]]=0,"--",CJ271*$CL$3)</f>
        <v>--</v>
      </c>
      <c r="CN271" s="92">
        <f>IF(Table645[[#This Row],[Column91]]="--",0,Table645[[#This Row],[Column4]]*Table645[[#This Row],[Column91]])</f>
        <v>0</v>
      </c>
      <c r="CO271" s="217"/>
      <c r="CP271" s="91" t="str">
        <f>IF(Table645[[#This Row],[Column10]]+Table645[[#This Row],[Column87]]=0, "--", IF($D271="", 1, $D271) * IF($J271="", 1, $J271) * $CO$3 * $CO$4 * IF(Table645[[#This Row],[Column95]]="", 1, Table645[[#This Row],[Column95]]) / (24 * 60))</f>
        <v>--</v>
      </c>
      <c r="CQ271" s="164"/>
      <c r="CR271" s="92">
        <f>IF(Table645[[#This Row],[Column94]]="--",0,Table645[[#This Row],[Column4]]*Table645[[#This Row],[Column94]])</f>
        <v>0</v>
      </c>
      <c r="CS271" s="218" t="str">
        <f>IF(Table645[[#This Row],[Column87]]="","",Table645[[#This Row],[Column87]])</f>
        <v/>
      </c>
      <c r="CT271" s="91" t="str">
        <f>IF(Table645[[#This Row],[Column97]]="","--",Table645[[#This Row],[Column97]]/$CS$3/60/24)</f>
        <v>--</v>
      </c>
      <c r="CU271" s="92">
        <f>IF(Table645[[#This Row],[Column98]]="--",0,Table645[[#This Row],[Column4]]*Table645[[#This Row],[Column98]])</f>
        <v>0</v>
      </c>
      <c r="CV271" s="93"/>
      <c r="CW271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71" s="91" t="str">
        <f>IF(OR(Table645[[#This Row],[Column74]]&gt;0,Table645[[#This Row],[Column87]]&gt;0),(Table645[[#This Row],[Column73]]+Table645[[#This Row],[Column86]]+1)*$CW$3/60/24,"--")</f>
        <v>--</v>
      </c>
      <c r="CY271" s="92">
        <f>IF(Table645[[#This Row],[Column102]]="--",0,Table645[[#This Row],[Column4]]*Table645[[#This Row],[Column102]])</f>
        <v>0</v>
      </c>
      <c r="CZ271" s="158" t="str">
        <f t="shared" si="176"/>
        <v>--</v>
      </c>
      <c r="DA271" s="153"/>
      <c r="DB271" s="160">
        <f>IF(Table645[[#This Row],[Column104]]="--",0,Table645[[#This Row],[Column4]]*Table645[[#This Row],[Column104]])</f>
        <v>0</v>
      </c>
      <c r="DC271" s="219"/>
      <c r="DD271" s="220" t="str">
        <f>IF(DC271=0,"--",1/$DC$3*1000/(60*60*24)*Table645[[#This Row],[Column107]])</f>
        <v>--</v>
      </c>
      <c r="DE271" s="160">
        <f>IF(Table645[[#This Row],[Column108]]="--",0,Table645[[#This Row],[Column4]]*Table645[[#This Row],[Column108]])</f>
        <v>0</v>
      </c>
      <c r="DF271" s="101" t="s">
        <v>70</v>
      </c>
      <c r="DG271" s="91" t="str">
        <f t="shared" si="177"/>
        <v>--</v>
      </c>
      <c r="DH271" s="89">
        <f>IF(Table645[[#This Row],[Column111]]="--",0,Table645[[#This Row],[Column4]]*Table645[[#This Row],[Column111]])</f>
        <v>0</v>
      </c>
      <c r="DI271" s="96"/>
      <c r="DJ271" s="96"/>
      <c r="DK271" s="96"/>
      <c r="DL271" s="96"/>
      <c r="DM271" s="96"/>
      <c r="DN271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71" s="89">
        <f>IF(Table645[[#This Row],[Column118]]="--",0,Table645[[#This Row],[Column4]]*Table645[[#This Row],[Column118]])</f>
        <v>0</v>
      </c>
      <c r="DP271" s="96"/>
      <c r="DQ271" s="96"/>
      <c r="DR271" s="91" t="str">
        <f t="shared" si="178"/>
        <v>--</v>
      </c>
      <c r="DS271" s="89">
        <f>IF(Table645[[#This Row],[Column122]]="--",0,Table645[[#This Row],[Column4]]*Table645[[#This Row],[Column122]])</f>
        <v>0</v>
      </c>
      <c r="DT271" t="str">
        <f>IF(Table645[[#This Row],[Column125]]=0,"--",Table645[[#This Row],[Column125]]*Table645[[#This Row],[Column126]]*Table645[[#This Row],[Column127]]/1000000000)</f>
        <v>--</v>
      </c>
      <c r="DU271" s="53"/>
      <c r="DV271" s="53"/>
      <c r="DW271" s="53"/>
      <c r="DX271" s="91" t="str">
        <f t="shared" si="179"/>
        <v>--</v>
      </c>
      <c r="DY271" s="89">
        <f>IF(Table645[[#This Row],[Column128]]="--",0,Table645[[#This Row],[Column4]]*Table645[[#This Row],[Column128]])</f>
        <v>0</v>
      </c>
      <c r="EA271" s="89">
        <f>IF(Table645[[#This Row],[Column128]]="--",0,Table645[[#This Row],[Column4]]*Table645[[#This Row],[Column128]])</f>
        <v>0</v>
      </c>
      <c r="EC271" s="89">
        <f>IF(Table645[[#This Row],[Column128]]="--",0,Table645[[#This Row],[Column4]]*Table645[[#This Row],[Column128]])</f>
        <v>0</v>
      </c>
      <c r="EE271" s="89">
        <f>IF(Table645[[#This Row],[Column128]]="--",0,Table645[[#This Row],[Column4]]*Table645[[#This Row],[Column128]])</f>
        <v>0</v>
      </c>
      <c r="EG271" s="89">
        <f>IF(Table645[[#This Row],[Column128]]="--",0,Table645[[#This Row],[Column4]]*Table645[[#This Row],[Column128]])</f>
        <v>0</v>
      </c>
      <c r="EI271" s="89">
        <f>IF(Table645[[#This Row],[Column128]]="--",0,Table645[[#This Row],[Column4]]*Table645[[#This Row],[Column128]])</f>
        <v>0</v>
      </c>
    </row>
    <row r="272" spans="1:139" x14ac:dyDescent="0.25">
      <c r="A272" s="140"/>
      <c r="B272" s="79"/>
      <c r="C272" s="140"/>
      <c r="D272" s="167"/>
      <c r="E272" s="52"/>
      <c r="F272" s="81"/>
      <c r="G272" s="81"/>
      <c r="H272" s="102" t="str">
        <f t="shared" si="160"/>
        <v>--</v>
      </c>
      <c r="I272" s="100">
        <f>IF(Table645[[#This Row],[Column8]]="--",0,Table645[[#This Row],[Column4]]*Table645[[#This Row],[Column8]])</f>
        <v>0</v>
      </c>
      <c r="J272" s="169"/>
      <c r="K272" s="85">
        <f>Table645[[#This Row],[Column4]]*Table645[[#This Row],[Column10]]</f>
        <v>0</v>
      </c>
      <c r="L272" s="170" t="str">
        <f t="shared" si="161"/>
        <v>--</v>
      </c>
      <c r="M272" s="214">
        <f>IF(Table645[[#This Row],[Column10]]=0,0,Table645[[#This Row],[Column4]]*Table645[[#This Row],[Column12]])</f>
        <v>0</v>
      </c>
      <c r="N272" s="87" t="str">
        <f t="shared" si="162"/>
        <v>--</v>
      </c>
      <c r="O272" s="138"/>
      <c r="AZ272" s="89">
        <f>IF(Table645[[#This Row],[Column14]]="--",0,Table645[[#This Row],[Column4]]*Table645[[#This Row],[Column14]])</f>
        <v>0</v>
      </c>
      <c r="BA272" s="90"/>
      <c r="BB272" s="91" t="str">
        <f>IF(BA272=0,"--",BA272*$BA$3*IF(Table645[[#This Row],[Column5]]&lt;4.1,1,2)/60/24)</f>
        <v>--</v>
      </c>
      <c r="BC272" s="92">
        <f>IF(Table645[[#This Row],[Column54]]="--",0,Table645[[#This Row],[Column4]]*Table645[[#This Row],[Column54]])</f>
        <v>0</v>
      </c>
      <c r="BD272" s="119"/>
      <c r="BE272" s="119"/>
      <c r="BF272" s="119"/>
      <c r="BG272" s="91" t="str">
        <f>IF(BD272+Table645[[#This Row],[Column58]]=0,"--",(BD272*$BF$3*Table645[[#This Row],[Column57]]+Table645[[#This Row],[Column58]]*$BF$4)/60/24)</f>
        <v>--</v>
      </c>
      <c r="BH272" s="92">
        <f>IF(Table645[[#This Row],[Column59]]="--",0,Table645[[#This Row],[Column4]]*Table645[[#This Row],[Column59]])</f>
        <v>0</v>
      </c>
      <c r="BI272" s="119"/>
      <c r="BJ272" s="91" t="str">
        <f t="shared" si="148"/>
        <v>--</v>
      </c>
      <c r="BK272" s="92">
        <f>IF(Table645[[#This Row],[Column62]]="--",0,Table645[[#This Row],[Column4]]*Table645[[#This Row],[Column62]])</f>
        <v>0</v>
      </c>
      <c r="BL272" s="93"/>
      <c r="BM272" s="91" t="str">
        <f t="shared" si="163"/>
        <v>--</v>
      </c>
      <c r="BN272" s="89">
        <f>IF(Table645[[#This Row],[Column65]]="--",0,Table645[[#This Row],[Column4]]*Table645[[#This Row],[Column65]])</f>
        <v>0</v>
      </c>
      <c r="BO272" s="163"/>
      <c r="BP272" s="164" t="str">
        <f t="shared" si="164"/>
        <v>--</v>
      </c>
      <c r="BQ272" s="160">
        <f>IF(Table645[[#This Row],[Column68]]="--",0,Table645[[#This Row],[Column4]]*Table645[[#This Row],[Column68]])</f>
        <v>0</v>
      </c>
      <c r="BR272" s="94"/>
      <c r="BS272" s="91" t="str">
        <f t="shared" si="165"/>
        <v>--</v>
      </c>
      <c r="BT272" s="92">
        <f>IF(Table645[[#This Row],[Column71]]="--",0,Table645[[#This Row],[Column4]]*Table645[[#This Row],[Column71]])</f>
        <v>0</v>
      </c>
      <c r="BU272" s="44"/>
      <c r="BV272" s="90"/>
      <c r="BW272" s="91" t="str">
        <f>IF(BV272=0,"--",(Table645[[#This Row],[Column73]]*$BV$4*(IF(J272&lt;0.5001,1,IF(J272&lt;2.0001,2,3)))+BV272/$BV$3)/60/24)</f>
        <v>--</v>
      </c>
      <c r="BX272" s="92">
        <f>IF(Table645[[#This Row],[Column75]]="--",0,Table645[[#This Row],[Column4]]*Table645[[#This Row],[Column75]])</f>
        <v>0</v>
      </c>
      <c r="BY272" s="95" t="s">
        <v>70</v>
      </c>
      <c r="BZ272" s="91" t="str">
        <f>IF(Table645[[#This Row],[Column74]]=0,"--",BW272*$BY$3)</f>
        <v>--</v>
      </c>
      <c r="CA272" s="89">
        <f>IF(Table645[[#This Row],[Column78]]="--",0,Table645[[#This Row],[Column4]]*Table645[[#This Row],[Column78]])</f>
        <v>0</v>
      </c>
      <c r="CB272" s="95" t="s">
        <v>70</v>
      </c>
      <c r="CC272" s="91" t="str">
        <f>IF(Table645[[#This Row],[Column10]]+Table645[[#This Row],[Column74]]=0,"--",J272*$CB$4*$CB$5/(24*60)+IF(Table645[[#This Row],[Column74]]=0,0,$CB$3*Table645[[#This Row],[Column75]]))</f>
        <v>--</v>
      </c>
      <c r="CD272" s="92">
        <f>IF(Table645[[#This Row],[Column81]]="--",0,Table645[[#This Row],[Column4]]*Table645[[#This Row],[Column81]])</f>
        <v>0</v>
      </c>
      <c r="CE272" s="215"/>
      <c r="CF272" s="91" t="str">
        <f t="shared" si="149"/>
        <v>--</v>
      </c>
      <c r="CG272" s="92">
        <f>IF(Table645[[#This Row],[Column84]]="--",0,Table645[[#This Row],[Column4]]*Table645[[#This Row],[Column84]])</f>
        <v>0</v>
      </c>
      <c r="CH272" s="226"/>
      <c r="CI272" s="216"/>
      <c r="CJ272" s="91" t="str">
        <f>IF(CI272=0,"--",(Table645[[#This Row],[Column86]]*$CI$4*(IF(W272&lt;0.5001,1,IF(W272&lt;2.0001,2,3)))+CI272/$CI$3)/60/24)</f>
        <v>--</v>
      </c>
      <c r="CK272" s="92">
        <f>IF(Table645[[#This Row],[Column88]]="--",0,Table645[[#This Row],[Column4]]*Table645[[#This Row],[Column88]])</f>
        <v>0</v>
      </c>
      <c r="CL272" s="217"/>
      <c r="CM272" s="91" t="str">
        <f>IF(Table645[[#This Row],[Column87]]=0,"--",CJ272*$CL$3)</f>
        <v>--</v>
      </c>
      <c r="CN272" s="92">
        <f>IF(Table645[[#This Row],[Column91]]="--",0,Table645[[#This Row],[Column4]]*Table645[[#This Row],[Column91]])</f>
        <v>0</v>
      </c>
      <c r="CO272" s="217"/>
      <c r="CP272" s="91" t="str">
        <f>IF(Table645[[#This Row],[Column10]]+Table645[[#This Row],[Column87]]=0, "--", IF($D272="", 1, $D272) * IF($J272="", 1, $J272) * $CO$3 * $CO$4 * IF(Table645[[#This Row],[Column95]]="", 1, Table645[[#This Row],[Column95]]) / (24 * 60))</f>
        <v>--</v>
      </c>
      <c r="CQ272" s="164"/>
      <c r="CR272" s="92">
        <f>IF(Table645[[#This Row],[Column94]]="--",0,Table645[[#This Row],[Column4]]*Table645[[#This Row],[Column94]])</f>
        <v>0</v>
      </c>
      <c r="CS272" s="218" t="str">
        <f>IF(Table645[[#This Row],[Column87]]="","",Table645[[#This Row],[Column87]])</f>
        <v/>
      </c>
      <c r="CT272" s="91" t="str">
        <f>IF(Table645[[#This Row],[Column97]]="","--",Table645[[#This Row],[Column97]]/$CS$3/60/24)</f>
        <v>--</v>
      </c>
      <c r="CU272" s="92">
        <f>IF(Table645[[#This Row],[Column98]]="--",0,Table645[[#This Row],[Column4]]*Table645[[#This Row],[Column98]])</f>
        <v>0</v>
      </c>
      <c r="CV272" s="93"/>
      <c r="CW272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72" s="91" t="str">
        <f>IF(OR(Table645[[#This Row],[Column74]]&gt;0,Table645[[#This Row],[Column87]]&gt;0),(Table645[[#This Row],[Column73]]+Table645[[#This Row],[Column86]]+1)*$CW$3/60/24,"--")</f>
        <v>--</v>
      </c>
      <c r="CY272" s="92">
        <f>IF(Table645[[#This Row],[Column102]]="--",0,Table645[[#This Row],[Column4]]*Table645[[#This Row],[Column102]])</f>
        <v>0</v>
      </c>
      <c r="CZ272" s="158" t="str">
        <f t="shared" si="166"/>
        <v>--</v>
      </c>
      <c r="DA272" s="153"/>
      <c r="DB272" s="160">
        <f>IF(Table645[[#This Row],[Column104]]="--",0,Table645[[#This Row],[Column4]]*Table645[[#This Row],[Column104]])</f>
        <v>0</v>
      </c>
      <c r="DC272" s="219"/>
      <c r="DD272" s="220" t="str">
        <f>IF(DC272=0,"--",1/$DC$3*1000/(60*60*24)*Table645[[#This Row],[Column107]])</f>
        <v>--</v>
      </c>
      <c r="DE272" s="160">
        <f>IF(Table645[[#This Row],[Column108]]="--",0,Table645[[#This Row],[Column4]]*Table645[[#This Row],[Column108]])</f>
        <v>0</v>
      </c>
      <c r="DF272" s="101" t="s">
        <v>70</v>
      </c>
      <c r="DG272" s="91" t="str">
        <f t="shared" si="167"/>
        <v>--</v>
      </c>
      <c r="DH272" s="89">
        <f>IF(Table645[[#This Row],[Column111]]="--",0,Table645[[#This Row],[Column4]]*Table645[[#This Row],[Column111]])</f>
        <v>0</v>
      </c>
      <c r="DI272" s="96"/>
      <c r="DJ272" s="96"/>
      <c r="DK272" s="96"/>
      <c r="DL272" s="96"/>
      <c r="DM272" s="96"/>
      <c r="DN272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72" s="89">
        <f>IF(Table645[[#This Row],[Column118]]="--",0,Table645[[#This Row],[Column4]]*Table645[[#This Row],[Column118]])</f>
        <v>0</v>
      </c>
      <c r="DP272" s="96"/>
      <c r="DQ272" s="96"/>
      <c r="DR272" s="91" t="str">
        <f t="shared" si="168"/>
        <v>--</v>
      </c>
      <c r="DS272" s="89">
        <f>IF(Table645[[#This Row],[Column122]]="--",0,Table645[[#This Row],[Column4]]*Table645[[#This Row],[Column122]])</f>
        <v>0</v>
      </c>
      <c r="DT272" t="str">
        <f>IF(Table645[[#This Row],[Column125]]=0,"--",Table645[[#This Row],[Column125]]*Table645[[#This Row],[Column126]]*Table645[[#This Row],[Column127]]/1000000000)</f>
        <v>--</v>
      </c>
      <c r="DU272" s="53"/>
      <c r="DV272" s="53"/>
      <c r="DW272" s="53"/>
      <c r="DX272" s="91" t="str">
        <f t="shared" si="169"/>
        <v>--</v>
      </c>
      <c r="DY272" s="89">
        <f>IF(Table645[[#This Row],[Column128]]="--",0,Table645[[#This Row],[Column4]]*Table645[[#This Row],[Column128]])</f>
        <v>0</v>
      </c>
      <c r="EA272" s="89">
        <f>IF(Table645[[#This Row],[Column128]]="--",0,Table645[[#This Row],[Column4]]*Table645[[#This Row],[Column128]])</f>
        <v>0</v>
      </c>
      <c r="EC272" s="89">
        <f>IF(Table645[[#This Row],[Column128]]="--",0,Table645[[#This Row],[Column4]]*Table645[[#This Row],[Column128]])</f>
        <v>0</v>
      </c>
      <c r="EE272" s="89">
        <f>IF(Table645[[#This Row],[Column128]]="--",0,Table645[[#This Row],[Column4]]*Table645[[#This Row],[Column128]])</f>
        <v>0</v>
      </c>
      <c r="EG272" s="89">
        <f>IF(Table645[[#This Row],[Column128]]="--",0,Table645[[#This Row],[Column4]]*Table645[[#This Row],[Column128]])</f>
        <v>0</v>
      </c>
      <c r="EI272" s="89">
        <f>IF(Table645[[#This Row],[Column128]]="--",0,Table645[[#This Row],[Column4]]*Table645[[#This Row],[Column128]])</f>
        <v>0</v>
      </c>
    </row>
    <row r="273" spans="1:139" x14ac:dyDescent="0.25">
      <c r="A273" s="140"/>
      <c r="B273" s="79"/>
      <c r="C273" s="140"/>
      <c r="D273" s="167"/>
      <c r="E273" s="52"/>
      <c r="F273" s="81"/>
      <c r="G273" s="81"/>
      <c r="H273" s="102" t="str">
        <f t="shared" si="150"/>
        <v>--</v>
      </c>
      <c r="I273" s="100">
        <f>IF(Table645[[#This Row],[Column8]]="--",0,Table645[[#This Row],[Column4]]*Table645[[#This Row],[Column8]])</f>
        <v>0</v>
      </c>
      <c r="J273" s="169"/>
      <c r="K273" s="85">
        <f>Table645[[#This Row],[Column4]]*Table645[[#This Row],[Column10]]</f>
        <v>0</v>
      </c>
      <c r="L273" s="170" t="str">
        <f t="shared" si="151"/>
        <v>--</v>
      </c>
      <c r="M273" s="214">
        <f>IF(Table645[[#This Row],[Column10]]=0,0,Table645[[#This Row],[Column4]]*Table645[[#This Row],[Column12]])</f>
        <v>0</v>
      </c>
      <c r="N273" s="87" t="str">
        <f t="shared" si="152"/>
        <v>--</v>
      </c>
      <c r="O273" s="138"/>
      <c r="AZ273" s="89">
        <f>IF(Table645[[#This Row],[Column14]]="--",0,Table645[[#This Row],[Column4]]*Table645[[#This Row],[Column14]])</f>
        <v>0</v>
      </c>
      <c r="BA273" s="90"/>
      <c r="BB273" s="91" t="str">
        <f>IF(BA273=0,"--",BA273*$BA$3*IF(Table645[[#This Row],[Column5]]&lt;4.1,1,2)/60/24)</f>
        <v>--</v>
      </c>
      <c r="BC273" s="92">
        <f>IF(Table645[[#This Row],[Column54]]="--",0,Table645[[#This Row],[Column4]]*Table645[[#This Row],[Column54]])</f>
        <v>0</v>
      </c>
      <c r="BD273" s="119"/>
      <c r="BE273" s="119"/>
      <c r="BF273" s="119"/>
      <c r="BG273" s="91" t="str">
        <f>IF(BD273+Table645[[#This Row],[Column58]]=0,"--",(BD273*$BF$3*Table645[[#This Row],[Column57]]+Table645[[#This Row],[Column58]]*$BF$4)/60/24)</f>
        <v>--</v>
      </c>
      <c r="BH273" s="92">
        <f>IF(Table645[[#This Row],[Column59]]="--",0,Table645[[#This Row],[Column4]]*Table645[[#This Row],[Column59]])</f>
        <v>0</v>
      </c>
      <c r="BI273" s="119"/>
      <c r="BJ273" s="91" t="str">
        <f t="shared" si="148"/>
        <v>--</v>
      </c>
      <c r="BK273" s="92">
        <f>IF(Table645[[#This Row],[Column62]]="--",0,Table645[[#This Row],[Column4]]*Table645[[#This Row],[Column62]])</f>
        <v>0</v>
      </c>
      <c r="BL273" s="93"/>
      <c r="BM273" s="91" t="str">
        <f t="shared" si="153"/>
        <v>--</v>
      </c>
      <c r="BN273" s="89">
        <f>IF(Table645[[#This Row],[Column65]]="--",0,Table645[[#This Row],[Column4]]*Table645[[#This Row],[Column65]])</f>
        <v>0</v>
      </c>
      <c r="BO273" s="163"/>
      <c r="BP273" s="164" t="str">
        <f t="shared" si="154"/>
        <v>--</v>
      </c>
      <c r="BQ273" s="160">
        <f>IF(Table645[[#This Row],[Column68]]="--",0,Table645[[#This Row],[Column4]]*Table645[[#This Row],[Column68]])</f>
        <v>0</v>
      </c>
      <c r="BR273" s="94"/>
      <c r="BS273" s="91" t="str">
        <f t="shared" si="155"/>
        <v>--</v>
      </c>
      <c r="BT273" s="92">
        <f>IF(Table645[[#This Row],[Column71]]="--",0,Table645[[#This Row],[Column4]]*Table645[[#This Row],[Column71]])</f>
        <v>0</v>
      </c>
      <c r="BU273" s="44"/>
      <c r="BV273" s="90"/>
      <c r="BW273" s="91" t="str">
        <f>IF(BV273=0,"--",(Table645[[#This Row],[Column73]]*$BV$4*(IF(J273&lt;0.5001,1,IF(J273&lt;2.0001,2,3)))+BV273/$BV$3)/60/24)</f>
        <v>--</v>
      </c>
      <c r="BX273" s="92">
        <f>IF(Table645[[#This Row],[Column75]]="--",0,Table645[[#This Row],[Column4]]*Table645[[#This Row],[Column75]])</f>
        <v>0</v>
      </c>
      <c r="BY273" s="95" t="s">
        <v>70</v>
      </c>
      <c r="BZ273" s="91" t="str">
        <f>IF(Table645[[#This Row],[Column74]]=0,"--",BW273*$BY$3)</f>
        <v>--</v>
      </c>
      <c r="CA273" s="89">
        <f>IF(Table645[[#This Row],[Column78]]="--",0,Table645[[#This Row],[Column4]]*Table645[[#This Row],[Column78]])</f>
        <v>0</v>
      </c>
      <c r="CB273" s="95" t="s">
        <v>70</v>
      </c>
      <c r="CC273" s="91" t="str">
        <f>IF(Table645[[#This Row],[Column10]]+Table645[[#This Row],[Column74]]=0,"--",J273*$CB$4*$CB$5/(24*60)+IF(Table645[[#This Row],[Column74]]=0,0,$CB$3*Table645[[#This Row],[Column75]]))</f>
        <v>--</v>
      </c>
      <c r="CD273" s="92">
        <f>IF(Table645[[#This Row],[Column81]]="--",0,Table645[[#This Row],[Column4]]*Table645[[#This Row],[Column81]])</f>
        <v>0</v>
      </c>
      <c r="CE273" s="215"/>
      <c r="CF273" s="91" t="str">
        <f t="shared" si="149"/>
        <v>--</v>
      </c>
      <c r="CG273" s="92">
        <f>IF(Table645[[#This Row],[Column84]]="--",0,Table645[[#This Row],[Column4]]*Table645[[#This Row],[Column84]])</f>
        <v>0</v>
      </c>
      <c r="CH273" s="226"/>
      <c r="CI273" s="216"/>
      <c r="CJ273" s="91" t="str">
        <f>IF(CI273=0,"--",(Table645[[#This Row],[Column86]]*$CI$4*(IF(W273&lt;0.5001,1,IF(W273&lt;2.0001,2,3)))+CI273/$CI$3)/60/24)</f>
        <v>--</v>
      </c>
      <c r="CK273" s="92">
        <f>IF(Table645[[#This Row],[Column88]]="--",0,Table645[[#This Row],[Column4]]*Table645[[#This Row],[Column88]])</f>
        <v>0</v>
      </c>
      <c r="CL273" s="217"/>
      <c r="CM273" s="91" t="str">
        <f>IF(Table645[[#This Row],[Column87]]=0,"--",CJ273*$CL$3)</f>
        <v>--</v>
      </c>
      <c r="CN273" s="92">
        <f>IF(Table645[[#This Row],[Column91]]="--",0,Table645[[#This Row],[Column4]]*Table645[[#This Row],[Column91]])</f>
        <v>0</v>
      </c>
      <c r="CO273" s="217"/>
      <c r="CP273" s="91" t="str">
        <f>IF(Table645[[#This Row],[Column10]]+Table645[[#This Row],[Column87]]=0, "--", IF($D273="", 1, $D273) * IF($J273="", 1, $J273) * $CO$3 * $CO$4 * IF(Table645[[#This Row],[Column95]]="", 1, Table645[[#This Row],[Column95]]) / (24 * 60))</f>
        <v>--</v>
      </c>
      <c r="CQ273" s="164"/>
      <c r="CR273" s="92">
        <f>IF(Table645[[#This Row],[Column94]]="--",0,Table645[[#This Row],[Column4]]*Table645[[#This Row],[Column94]])</f>
        <v>0</v>
      </c>
      <c r="CS273" s="218" t="str">
        <f>IF(Table645[[#This Row],[Column87]]="","",Table645[[#This Row],[Column87]])</f>
        <v/>
      </c>
      <c r="CT273" s="91" t="str">
        <f>IF(Table645[[#This Row],[Column97]]="","--",Table645[[#This Row],[Column97]]/$CS$3/60/24)</f>
        <v>--</v>
      </c>
      <c r="CU273" s="92">
        <f>IF(Table645[[#This Row],[Column98]]="--",0,Table645[[#This Row],[Column4]]*Table645[[#This Row],[Column98]])</f>
        <v>0</v>
      </c>
      <c r="CV273" s="93"/>
      <c r="CW273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73" s="91" t="str">
        <f>IF(OR(Table645[[#This Row],[Column74]]&gt;0,Table645[[#This Row],[Column87]]&gt;0),(Table645[[#This Row],[Column73]]+Table645[[#This Row],[Column86]]+1)*$CW$3/60/24,"--")</f>
        <v>--</v>
      </c>
      <c r="CY273" s="92">
        <f>IF(Table645[[#This Row],[Column102]]="--",0,Table645[[#This Row],[Column4]]*Table645[[#This Row],[Column102]])</f>
        <v>0</v>
      </c>
      <c r="CZ273" s="158" t="str">
        <f t="shared" si="156"/>
        <v>--</v>
      </c>
      <c r="DA273" s="153"/>
      <c r="DB273" s="160">
        <f>IF(Table645[[#This Row],[Column104]]="--",0,Table645[[#This Row],[Column4]]*Table645[[#This Row],[Column104]])</f>
        <v>0</v>
      </c>
      <c r="DC273" s="219"/>
      <c r="DD273" s="220" t="str">
        <f>IF(DC273=0,"--",1/$DC$3*1000/(60*60*24)*Table645[[#This Row],[Column107]])</f>
        <v>--</v>
      </c>
      <c r="DE273" s="160">
        <f>IF(Table645[[#This Row],[Column108]]="--",0,Table645[[#This Row],[Column4]]*Table645[[#This Row],[Column108]])</f>
        <v>0</v>
      </c>
      <c r="DF273" s="101" t="s">
        <v>70</v>
      </c>
      <c r="DG273" s="91" t="str">
        <f t="shared" si="157"/>
        <v>--</v>
      </c>
      <c r="DH273" s="89">
        <f>IF(Table645[[#This Row],[Column111]]="--",0,Table645[[#This Row],[Column4]]*Table645[[#This Row],[Column111]])</f>
        <v>0</v>
      </c>
      <c r="DI273" s="96"/>
      <c r="DJ273" s="96"/>
      <c r="DK273" s="96"/>
      <c r="DL273" s="96"/>
      <c r="DM273" s="96"/>
      <c r="DN273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73" s="89">
        <f>IF(Table645[[#This Row],[Column118]]="--",0,Table645[[#This Row],[Column4]]*Table645[[#This Row],[Column118]])</f>
        <v>0</v>
      </c>
      <c r="DP273" s="96"/>
      <c r="DQ273" s="96"/>
      <c r="DR273" s="91" t="str">
        <f t="shared" si="158"/>
        <v>--</v>
      </c>
      <c r="DS273" s="89">
        <f>IF(Table645[[#This Row],[Column122]]="--",0,Table645[[#This Row],[Column4]]*Table645[[#This Row],[Column122]])</f>
        <v>0</v>
      </c>
      <c r="DT273" t="str">
        <f>IF(Table645[[#This Row],[Column125]]=0,"--",Table645[[#This Row],[Column125]]*Table645[[#This Row],[Column126]]*Table645[[#This Row],[Column127]]/1000000000)</f>
        <v>--</v>
      </c>
      <c r="DU273" s="53"/>
      <c r="DV273" s="53"/>
      <c r="DW273" s="53"/>
      <c r="DX273" s="91" t="str">
        <f t="shared" si="159"/>
        <v>--</v>
      </c>
      <c r="DY273" s="89">
        <f>IF(Table645[[#This Row],[Column128]]="--",0,Table645[[#This Row],[Column4]]*Table645[[#This Row],[Column128]])</f>
        <v>0</v>
      </c>
      <c r="EA273" s="89">
        <f>IF(Table645[[#This Row],[Column128]]="--",0,Table645[[#This Row],[Column4]]*Table645[[#This Row],[Column128]])</f>
        <v>0</v>
      </c>
      <c r="EC273" s="89">
        <f>IF(Table645[[#This Row],[Column128]]="--",0,Table645[[#This Row],[Column4]]*Table645[[#This Row],[Column128]])</f>
        <v>0</v>
      </c>
      <c r="EE273" s="89">
        <f>IF(Table645[[#This Row],[Column128]]="--",0,Table645[[#This Row],[Column4]]*Table645[[#This Row],[Column128]])</f>
        <v>0</v>
      </c>
      <c r="EG273" s="89">
        <f>IF(Table645[[#This Row],[Column128]]="--",0,Table645[[#This Row],[Column4]]*Table645[[#This Row],[Column128]])</f>
        <v>0</v>
      </c>
      <c r="EI273" s="89">
        <f>IF(Table645[[#This Row],[Column128]]="--",0,Table645[[#This Row],[Column4]]*Table645[[#This Row],[Column128]])</f>
        <v>0</v>
      </c>
    </row>
    <row r="274" spans="1:139" x14ac:dyDescent="0.25">
      <c r="A274" s="140"/>
      <c r="B274" s="79"/>
      <c r="C274" s="140"/>
      <c r="D274" s="167"/>
      <c r="E274" s="52"/>
      <c r="F274" s="81"/>
      <c r="G274" s="81"/>
      <c r="H274" s="102" t="str">
        <f t="shared" ref="H274:H290" si="180">IF(E274&gt;0,E274*F274*G274/1000000*8*(1+$H$4),"--")</f>
        <v>--</v>
      </c>
      <c r="I274" s="100">
        <f>IF(Table645[[#This Row],[Column8]]="--",0,Table645[[#This Row],[Column4]]*Table645[[#This Row],[Column8]])</f>
        <v>0</v>
      </c>
      <c r="J274" s="169"/>
      <c r="K274" s="85">
        <f>Table645[[#This Row],[Column4]]*Table645[[#This Row],[Column10]]</f>
        <v>0</v>
      </c>
      <c r="L274" s="170" t="str">
        <f t="shared" ref="L274:L290" si="181">IF(J274=0,"--",J274/$J$3)</f>
        <v>--</v>
      </c>
      <c r="M274" s="214">
        <f>IF(Table645[[#This Row],[Column10]]=0,0,Table645[[#This Row],[Column4]]*Table645[[#This Row],[Column12]])</f>
        <v>0</v>
      </c>
      <c r="N274" s="87" t="str">
        <f t="shared" ref="N274:N290" si="182">IF(SUM(Q274:AX274)=0,"--",(Q274/$Q$4+T274/$T$4+W274/$W$4+Z274/$Z$4+AC274/$AC$4+AF274/$AF$4+AI274/$AI$4+AL274/$AL$4+AO274/$AO$4+AR274/$AR$4+AU274/$AU$4+AX274/$AX$4)/60/24)</f>
        <v>--</v>
      </c>
      <c r="O274" s="138"/>
      <c r="AZ274" s="89">
        <f>IF(Table645[[#This Row],[Column14]]="--",0,Table645[[#This Row],[Column4]]*Table645[[#This Row],[Column14]])</f>
        <v>0</v>
      </c>
      <c r="BA274" s="90"/>
      <c r="BB274" s="91" t="str">
        <f>IF(BA274=0,"--",BA274*$BA$3*IF(Table645[[#This Row],[Column5]]&lt;4.1,1,2)/60/24)</f>
        <v>--</v>
      </c>
      <c r="BC274" s="92">
        <f>IF(Table645[[#This Row],[Column54]]="--",0,Table645[[#This Row],[Column4]]*Table645[[#This Row],[Column54]])</f>
        <v>0</v>
      </c>
      <c r="BD274" s="119"/>
      <c r="BE274" s="119"/>
      <c r="BF274" s="119"/>
      <c r="BG274" s="91" t="str">
        <f>IF(BD274+Table645[[#This Row],[Column58]]=0,"--",(BD274*$BF$3*Table645[[#This Row],[Column57]]+Table645[[#This Row],[Column58]]*$BF$4)/60/24)</f>
        <v>--</v>
      </c>
      <c r="BH274" s="92">
        <f>IF(Table645[[#This Row],[Column59]]="--",0,Table645[[#This Row],[Column4]]*Table645[[#This Row],[Column59]])</f>
        <v>0</v>
      </c>
      <c r="BI274" s="119"/>
      <c r="BJ274" s="91" t="str">
        <f t="shared" si="148"/>
        <v>--</v>
      </c>
      <c r="BK274" s="92">
        <f>IF(Table645[[#This Row],[Column62]]="--",0,Table645[[#This Row],[Column4]]*Table645[[#This Row],[Column62]])</f>
        <v>0</v>
      </c>
      <c r="BL274" s="93"/>
      <c r="BM274" s="91" t="str">
        <f t="shared" ref="BM274:BM290" si="183">IF(BL274=0,"--",BL274*$BL$3/60/60/24)</f>
        <v>--</v>
      </c>
      <c r="BN274" s="89">
        <f>IF(Table645[[#This Row],[Column65]]="--",0,Table645[[#This Row],[Column4]]*Table645[[#This Row],[Column65]])</f>
        <v>0</v>
      </c>
      <c r="BO274" s="163"/>
      <c r="BP274" s="164" t="str">
        <f t="shared" ref="BP274:BP290" si="184">IF(BO274=0,"--",BO274*$BO$3/60/60/24)</f>
        <v>--</v>
      </c>
      <c r="BQ274" s="160">
        <f>IF(Table645[[#This Row],[Column68]]="--",0,Table645[[#This Row],[Column4]]*Table645[[#This Row],[Column68]])</f>
        <v>0</v>
      </c>
      <c r="BR274" s="94"/>
      <c r="BS274" s="91" t="str">
        <f t="shared" ref="BS274:BS290" si="185">IF(BR274=0,"--",BR274*$BR$3/60/60/24)</f>
        <v>--</v>
      </c>
      <c r="BT274" s="92">
        <f>IF(Table645[[#This Row],[Column71]]="--",0,Table645[[#This Row],[Column4]]*Table645[[#This Row],[Column71]])</f>
        <v>0</v>
      </c>
      <c r="BU274" s="44"/>
      <c r="BV274" s="90"/>
      <c r="BW274" s="91" t="str">
        <f>IF(BV274=0,"--",(Table645[[#This Row],[Column73]]*$BV$4*(IF(J274&lt;0.5001,1,IF(J274&lt;2.0001,2,3)))+BV274/$BV$3)/60/24)</f>
        <v>--</v>
      </c>
      <c r="BX274" s="92">
        <f>IF(Table645[[#This Row],[Column75]]="--",0,Table645[[#This Row],[Column4]]*Table645[[#This Row],[Column75]])</f>
        <v>0</v>
      </c>
      <c r="BY274" s="95" t="s">
        <v>70</v>
      </c>
      <c r="BZ274" s="91" t="str">
        <f>IF(Table645[[#This Row],[Column74]]=0,"--",BW274*$BY$3)</f>
        <v>--</v>
      </c>
      <c r="CA274" s="89">
        <f>IF(Table645[[#This Row],[Column78]]="--",0,Table645[[#This Row],[Column4]]*Table645[[#This Row],[Column78]])</f>
        <v>0</v>
      </c>
      <c r="CB274" s="95" t="s">
        <v>70</v>
      </c>
      <c r="CC274" s="91" t="str">
        <f>IF(Table645[[#This Row],[Column10]]+Table645[[#This Row],[Column74]]=0,"--",J274*$CB$4*$CB$5/(24*60)+IF(Table645[[#This Row],[Column74]]=0,0,$CB$3*Table645[[#This Row],[Column75]]))</f>
        <v>--</v>
      </c>
      <c r="CD274" s="92">
        <f>IF(Table645[[#This Row],[Column81]]="--",0,Table645[[#This Row],[Column4]]*Table645[[#This Row],[Column81]])</f>
        <v>0</v>
      </c>
      <c r="CE274" s="215"/>
      <c r="CF274" s="91" t="str">
        <f t="shared" si="149"/>
        <v>--</v>
      </c>
      <c r="CG274" s="92">
        <f>IF(Table645[[#This Row],[Column84]]="--",0,Table645[[#This Row],[Column4]]*Table645[[#This Row],[Column84]])</f>
        <v>0</v>
      </c>
      <c r="CH274" s="226"/>
      <c r="CI274" s="216"/>
      <c r="CJ274" s="91" t="str">
        <f>IF(CI274=0,"--",(Table645[[#This Row],[Column86]]*$CI$4*(IF(W274&lt;0.5001,1,IF(W274&lt;2.0001,2,3)))+CI274/$CI$3)/60/24)</f>
        <v>--</v>
      </c>
      <c r="CK274" s="92">
        <f>IF(Table645[[#This Row],[Column88]]="--",0,Table645[[#This Row],[Column4]]*Table645[[#This Row],[Column88]])</f>
        <v>0</v>
      </c>
      <c r="CL274" s="217"/>
      <c r="CM274" s="91" t="str">
        <f>IF(Table645[[#This Row],[Column87]]=0,"--",CJ274*$CL$3)</f>
        <v>--</v>
      </c>
      <c r="CN274" s="92">
        <f>IF(Table645[[#This Row],[Column91]]="--",0,Table645[[#This Row],[Column4]]*Table645[[#This Row],[Column91]])</f>
        <v>0</v>
      </c>
      <c r="CO274" s="217"/>
      <c r="CP274" s="91" t="str">
        <f>IF(Table645[[#This Row],[Column10]]+Table645[[#This Row],[Column87]]=0, "--", IF($D274="", 1, $D274) * IF($J274="", 1, $J274) * $CO$3 * $CO$4 * IF(Table645[[#This Row],[Column95]]="", 1, Table645[[#This Row],[Column95]]) / (24 * 60))</f>
        <v>--</v>
      </c>
      <c r="CQ274" s="164"/>
      <c r="CR274" s="92">
        <f>IF(Table645[[#This Row],[Column94]]="--",0,Table645[[#This Row],[Column4]]*Table645[[#This Row],[Column94]])</f>
        <v>0</v>
      </c>
      <c r="CS274" s="218" t="str">
        <f>IF(Table645[[#This Row],[Column87]]="","",Table645[[#This Row],[Column87]])</f>
        <v/>
      </c>
      <c r="CT274" s="91" t="str">
        <f>IF(Table645[[#This Row],[Column97]]="","--",Table645[[#This Row],[Column97]]/$CS$3/60/24)</f>
        <v>--</v>
      </c>
      <c r="CU274" s="92">
        <f>IF(Table645[[#This Row],[Column98]]="--",0,Table645[[#This Row],[Column4]]*Table645[[#This Row],[Column98]])</f>
        <v>0</v>
      </c>
      <c r="CV274" s="93"/>
      <c r="CW274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74" s="91" t="str">
        <f>IF(OR(Table645[[#This Row],[Column74]]&gt;0,Table645[[#This Row],[Column87]]&gt;0),(Table645[[#This Row],[Column73]]+Table645[[#This Row],[Column86]]+1)*$CW$3/60/24,"--")</f>
        <v>--</v>
      </c>
      <c r="CY274" s="92">
        <f>IF(Table645[[#This Row],[Column102]]="--",0,Table645[[#This Row],[Column4]]*Table645[[#This Row],[Column102]])</f>
        <v>0</v>
      </c>
      <c r="CZ274" s="158" t="str">
        <f t="shared" ref="CZ274:CZ290" si="186">IF(J274=0,"--",J274/$CZ$3/(24)*DA274)</f>
        <v>--</v>
      </c>
      <c r="DA274" s="153"/>
      <c r="DB274" s="160">
        <f>IF(Table645[[#This Row],[Column104]]="--",0,Table645[[#This Row],[Column4]]*Table645[[#This Row],[Column104]])</f>
        <v>0</v>
      </c>
      <c r="DC274" s="219"/>
      <c r="DD274" s="220" t="str">
        <f>IF(DC274=0,"--",1/$DC$3*1000/(60*60*24)*Table645[[#This Row],[Column107]])</f>
        <v>--</v>
      </c>
      <c r="DE274" s="160">
        <f>IF(Table645[[#This Row],[Column108]]="--",0,Table645[[#This Row],[Column4]]*Table645[[#This Row],[Column108]])</f>
        <v>0</v>
      </c>
      <c r="DF274" s="101" t="s">
        <v>70</v>
      </c>
      <c r="DG274" s="91" t="str">
        <f t="shared" ref="DG274:DG290" si="187">IF(DA274=0,"--",(J274*$DF$3)/60/24)</f>
        <v>--</v>
      </c>
      <c r="DH274" s="89">
        <f>IF(Table645[[#This Row],[Column111]]="--",0,Table645[[#This Row],[Column4]]*Table645[[#This Row],[Column111]])</f>
        <v>0</v>
      </c>
      <c r="DI274" s="96"/>
      <c r="DJ274" s="96"/>
      <c r="DK274" s="96"/>
      <c r="DL274" s="96"/>
      <c r="DM274" s="96"/>
      <c r="DN274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74" s="89">
        <f>IF(Table645[[#This Row],[Column118]]="--",0,Table645[[#This Row],[Column4]]*Table645[[#This Row],[Column118]])</f>
        <v>0</v>
      </c>
      <c r="DP274" s="96"/>
      <c r="DQ274" s="96"/>
      <c r="DR274" s="91" t="str">
        <f t="shared" ref="DR274:DR290" si="188">IF(DP274+DQ274&gt;0,(DP274*$DQ$3+DQ274*$DQ$4)/60/24,IF(DN274="--","--",(DP274*$DQ$3+DQ274*$DQ$4)/60/24))</f>
        <v>--</v>
      </c>
      <c r="DS274" s="89">
        <f>IF(Table645[[#This Row],[Column122]]="--",0,Table645[[#This Row],[Column4]]*Table645[[#This Row],[Column122]])</f>
        <v>0</v>
      </c>
      <c r="DT274" t="str">
        <f>IF(Table645[[#This Row],[Column125]]=0,"--",Table645[[#This Row],[Column125]]*Table645[[#This Row],[Column126]]*Table645[[#This Row],[Column127]]/1000000000)</f>
        <v>--</v>
      </c>
      <c r="DU274" s="53"/>
      <c r="DV274" s="53"/>
      <c r="DW274" s="53"/>
      <c r="DX274" s="91" t="str">
        <f t="shared" ref="DX274:DX290" si="189">IF(DT274="--","--",(1+DT274*$DT$3)/60/24)</f>
        <v>--</v>
      </c>
      <c r="DY274" s="89">
        <f>IF(Table645[[#This Row],[Column128]]="--",0,Table645[[#This Row],[Column4]]*Table645[[#This Row],[Column128]])</f>
        <v>0</v>
      </c>
      <c r="EA274" s="89">
        <f>IF(Table645[[#This Row],[Column128]]="--",0,Table645[[#This Row],[Column4]]*Table645[[#This Row],[Column128]])</f>
        <v>0</v>
      </c>
      <c r="EC274" s="89">
        <f>IF(Table645[[#This Row],[Column128]]="--",0,Table645[[#This Row],[Column4]]*Table645[[#This Row],[Column128]])</f>
        <v>0</v>
      </c>
      <c r="EE274" s="89">
        <f>IF(Table645[[#This Row],[Column128]]="--",0,Table645[[#This Row],[Column4]]*Table645[[#This Row],[Column128]])</f>
        <v>0</v>
      </c>
      <c r="EG274" s="89">
        <f>IF(Table645[[#This Row],[Column128]]="--",0,Table645[[#This Row],[Column4]]*Table645[[#This Row],[Column128]])</f>
        <v>0</v>
      </c>
      <c r="EI274" s="89">
        <f>IF(Table645[[#This Row],[Column128]]="--",0,Table645[[#This Row],[Column4]]*Table645[[#This Row],[Column128]])</f>
        <v>0</v>
      </c>
    </row>
    <row r="275" spans="1:139" x14ac:dyDescent="0.25">
      <c r="A275" s="140"/>
      <c r="B275" s="79"/>
      <c r="C275" s="140"/>
      <c r="D275" s="167"/>
      <c r="E275" s="52"/>
      <c r="F275" s="81"/>
      <c r="G275" s="81"/>
      <c r="H275" s="102" t="str">
        <f t="shared" si="180"/>
        <v>--</v>
      </c>
      <c r="I275" s="100">
        <f>IF(Table645[[#This Row],[Column8]]="--",0,Table645[[#This Row],[Column4]]*Table645[[#This Row],[Column8]])</f>
        <v>0</v>
      </c>
      <c r="J275" s="169"/>
      <c r="K275" s="85">
        <f>Table645[[#This Row],[Column4]]*Table645[[#This Row],[Column10]]</f>
        <v>0</v>
      </c>
      <c r="L275" s="170" t="str">
        <f t="shared" si="181"/>
        <v>--</v>
      </c>
      <c r="M275" s="214">
        <f>IF(Table645[[#This Row],[Column10]]=0,0,Table645[[#This Row],[Column4]]*Table645[[#This Row],[Column12]])</f>
        <v>0</v>
      </c>
      <c r="N275" s="87" t="str">
        <f t="shared" si="182"/>
        <v>--</v>
      </c>
      <c r="O275" s="138"/>
      <c r="AZ275" s="89">
        <f>IF(Table645[[#This Row],[Column14]]="--",0,Table645[[#This Row],[Column4]]*Table645[[#This Row],[Column14]])</f>
        <v>0</v>
      </c>
      <c r="BA275" s="90"/>
      <c r="BB275" s="91" t="str">
        <f>IF(BA275=0,"--",BA275*$BA$3*IF(Table645[[#This Row],[Column5]]&lt;4.1,1,2)/60/24)</f>
        <v>--</v>
      </c>
      <c r="BC275" s="92">
        <f>IF(Table645[[#This Row],[Column54]]="--",0,Table645[[#This Row],[Column4]]*Table645[[#This Row],[Column54]])</f>
        <v>0</v>
      </c>
      <c r="BD275" s="119"/>
      <c r="BE275" s="119"/>
      <c r="BF275" s="119"/>
      <c r="BG275" s="91" t="str">
        <f>IF(BD275+Table645[[#This Row],[Column58]]=0,"--",(BD275*$BF$3*Table645[[#This Row],[Column57]]+Table645[[#This Row],[Column58]]*$BF$4)/60/24)</f>
        <v>--</v>
      </c>
      <c r="BH275" s="92">
        <f>IF(Table645[[#This Row],[Column59]]="--",0,Table645[[#This Row],[Column4]]*Table645[[#This Row],[Column59]])</f>
        <v>0</v>
      </c>
      <c r="BI275" s="119"/>
      <c r="BJ275" s="91" t="str">
        <f t="shared" si="148"/>
        <v>--</v>
      </c>
      <c r="BK275" s="92">
        <f>IF(Table645[[#This Row],[Column62]]="--",0,Table645[[#This Row],[Column4]]*Table645[[#This Row],[Column62]])</f>
        <v>0</v>
      </c>
      <c r="BL275" s="93"/>
      <c r="BM275" s="91" t="str">
        <f t="shared" si="183"/>
        <v>--</v>
      </c>
      <c r="BN275" s="89">
        <f>IF(Table645[[#This Row],[Column65]]="--",0,Table645[[#This Row],[Column4]]*Table645[[#This Row],[Column65]])</f>
        <v>0</v>
      </c>
      <c r="BO275" s="163"/>
      <c r="BP275" s="164" t="str">
        <f t="shared" si="184"/>
        <v>--</v>
      </c>
      <c r="BQ275" s="160">
        <f>IF(Table645[[#This Row],[Column68]]="--",0,Table645[[#This Row],[Column4]]*Table645[[#This Row],[Column68]])</f>
        <v>0</v>
      </c>
      <c r="BR275" s="94"/>
      <c r="BS275" s="91" t="str">
        <f t="shared" si="185"/>
        <v>--</v>
      </c>
      <c r="BT275" s="92">
        <f>IF(Table645[[#This Row],[Column71]]="--",0,Table645[[#This Row],[Column4]]*Table645[[#This Row],[Column71]])</f>
        <v>0</v>
      </c>
      <c r="BU275" s="44"/>
      <c r="BV275" s="90"/>
      <c r="BW275" s="91" t="str">
        <f>IF(BV275=0,"--",(Table645[[#This Row],[Column73]]*$BV$4*(IF(J275&lt;0.5001,1,IF(J275&lt;2.0001,2,3)))+BV275/$BV$3)/60/24)</f>
        <v>--</v>
      </c>
      <c r="BX275" s="92">
        <f>IF(Table645[[#This Row],[Column75]]="--",0,Table645[[#This Row],[Column4]]*Table645[[#This Row],[Column75]])</f>
        <v>0</v>
      </c>
      <c r="BY275" s="95" t="s">
        <v>70</v>
      </c>
      <c r="BZ275" s="91" t="str">
        <f>IF(Table645[[#This Row],[Column74]]=0,"--",BW275*$BY$3)</f>
        <v>--</v>
      </c>
      <c r="CA275" s="89">
        <f>IF(Table645[[#This Row],[Column78]]="--",0,Table645[[#This Row],[Column4]]*Table645[[#This Row],[Column78]])</f>
        <v>0</v>
      </c>
      <c r="CB275" s="95" t="s">
        <v>70</v>
      </c>
      <c r="CC275" s="91" t="str">
        <f>IF(Table645[[#This Row],[Column10]]+Table645[[#This Row],[Column74]]=0,"--",J275*$CB$4*$CB$5/(24*60)+IF(Table645[[#This Row],[Column74]]=0,0,$CB$3*Table645[[#This Row],[Column75]]))</f>
        <v>--</v>
      </c>
      <c r="CD275" s="92">
        <f>IF(Table645[[#This Row],[Column81]]="--",0,Table645[[#This Row],[Column4]]*Table645[[#This Row],[Column81]])</f>
        <v>0</v>
      </c>
      <c r="CE275" s="215"/>
      <c r="CF275" s="91" t="str">
        <f t="shared" si="149"/>
        <v>--</v>
      </c>
      <c r="CG275" s="92">
        <f>IF(Table645[[#This Row],[Column84]]="--",0,Table645[[#This Row],[Column4]]*Table645[[#This Row],[Column84]])</f>
        <v>0</v>
      </c>
      <c r="CH275" s="226"/>
      <c r="CI275" s="216"/>
      <c r="CJ275" s="91" t="str">
        <f>IF(CI275=0,"--",(Table645[[#This Row],[Column86]]*$CI$4*(IF(W275&lt;0.5001,1,IF(W275&lt;2.0001,2,3)))+CI275/$CI$3)/60/24)</f>
        <v>--</v>
      </c>
      <c r="CK275" s="92">
        <f>IF(Table645[[#This Row],[Column88]]="--",0,Table645[[#This Row],[Column4]]*Table645[[#This Row],[Column88]])</f>
        <v>0</v>
      </c>
      <c r="CL275" s="217"/>
      <c r="CM275" s="91" t="str">
        <f>IF(Table645[[#This Row],[Column87]]=0,"--",CJ275*$CL$3)</f>
        <v>--</v>
      </c>
      <c r="CN275" s="92">
        <f>IF(Table645[[#This Row],[Column91]]="--",0,Table645[[#This Row],[Column4]]*Table645[[#This Row],[Column91]])</f>
        <v>0</v>
      </c>
      <c r="CO275" s="217"/>
      <c r="CP275" s="91" t="str">
        <f>IF(Table645[[#This Row],[Column10]]+Table645[[#This Row],[Column87]]=0, "--", IF($D275="", 1, $D275) * IF($J275="", 1, $J275) * $CO$3 * $CO$4 * IF(Table645[[#This Row],[Column95]]="", 1, Table645[[#This Row],[Column95]]) / (24 * 60))</f>
        <v>--</v>
      </c>
      <c r="CQ275" s="164"/>
      <c r="CR275" s="92">
        <f>IF(Table645[[#This Row],[Column94]]="--",0,Table645[[#This Row],[Column4]]*Table645[[#This Row],[Column94]])</f>
        <v>0</v>
      </c>
      <c r="CS275" s="218" t="str">
        <f>IF(Table645[[#This Row],[Column87]]="","",Table645[[#This Row],[Column87]])</f>
        <v/>
      </c>
      <c r="CT275" s="91" t="str">
        <f>IF(Table645[[#This Row],[Column97]]="","--",Table645[[#This Row],[Column97]]/$CS$3/60/24)</f>
        <v>--</v>
      </c>
      <c r="CU275" s="92">
        <f>IF(Table645[[#This Row],[Column98]]="--",0,Table645[[#This Row],[Column4]]*Table645[[#This Row],[Column98]])</f>
        <v>0</v>
      </c>
      <c r="CV275" s="93"/>
      <c r="CW275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75" s="91" t="str">
        <f>IF(OR(Table645[[#This Row],[Column74]]&gt;0,Table645[[#This Row],[Column87]]&gt;0),(Table645[[#This Row],[Column73]]+Table645[[#This Row],[Column86]]+1)*$CW$3/60/24,"--")</f>
        <v>--</v>
      </c>
      <c r="CY275" s="92">
        <f>IF(Table645[[#This Row],[Column102]]="--",0,Table645[[#This Row],[Column4]]*Table645[[#This Row],[Column102]])</f>
        <v>0</v>
      </c>
      <c r="CZ275" s="158" t="str">
        <f t="shared" si="186"/>
        <v>--</v>
      </c>
      <c r="DA275" s="153"/>
      <c r="DB275" s="160">
        <f>IF(Table645[[#This Row],[Column104]]="--",0,Table645[[#This Row],[Column4]]*Table645[[#This Row],[Column104]])</f>
        <v>0</v>
      </c>
      <c r="DC275" s="219"/>
      <c r="DD275" s="220" t="str">
        <f>IF(DC275=0,"--",1/$DC$3*1000/(60*60*24)*Table645[[#This Row],[Column107]])</f>
        <v>--</v>
      </c>
      <c r="DE275" s="160">
        <f>IF(Table645[[#This Row],[Column108]]="--",0,Table645[[#This Row],[Column4]]*Table645[[#This Row],[Column108]])</f>
        <v>0</v>
      </c>
      <c r="DF275" s="101" t="s">
        <v>70</v>
      </c>
      <c r="DG275" s="91" t="str">
        <f t="shared" si="187"/>
        <v>--</v>
      </c>
      <c r="DH275" s="89">
        <f>IF(Table645[[#This Row],[Column111]]="--",0,Table645[[#This Row],[Column4]]*Table645[[#This Row],[Column111]])</f>
        <v>0</v>
      </c>
      <c r="DI275" s="96"/>
      <c r="DJ275" s="96"/>
      <c r="DK275" s="96"/>
      <c r="DL275" s="96"/>
      <c r="DM275" s="96"/>
      <c r="DN275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75" s="89">
        <f>IF(Table645[[#This Row],[Column118]]="--",0,Table645[[#This Row],[Column4]]*Table645[[#This Row],[Column118]])</f>
        <v>0</v>
      </c>
      <c r="DP275" s="96"/>
      <c r="DQ275" s="96"/>
      <c r="DR275" s="91" t="str">
        <f t="shared" si="188"/>
        <v>--</v>
      </c>
      <c r="DS275" s="89">
        <f>IF(Table645[[#This Row],[Column122]]="--",0,Table645[[#This Row],[Column4]]*Table645[[#This Row],[Column122]])</f>
        <v>0</v>
      </c>
      <c r="DT275" t="str">
        <f>IF(Table645[[#This Row],[Column125]]=0,"--",Table645[[#This Row],[Column125]]*Table645[[#This Row],[Column126]]*Table645[[#This Row],[Column127]]/1000000000)</f>
        <v>--</v>
      </c>
      <c r="DU275" s="53"/>
      <c r="DV275" s="53"/>
      <c r="DW275" s="53"/>
      <c r="DX275" s="91" t="str">
        <f t="shared" si="189"/>
        <v>--</v>
      </c>
      <c r="DY275" s="89">
        <f>IF(Table645[[#This Row],[Column128]]="--",0,Table645[[#This Row],[Column4]]*Table645[[#This Row],[Column128]])</f>
        <v>0</v>
      </c>
      <c r="EA275" s="89">
        <f>IF(Table645[[#This Row],[Column128]]="--",0,Table645[[#This Row],[Column4]]*Table645[[#This Row],[Column128]])</f>
        <v>0</v>
      </c>
      <c r="EC275" s="89">
        <f>IF(Table645[[#This Row],[Column128]]="--",0,Table645[[#This Row],[Column4]]*Table645[[#This Row],[Column128]])</f>
        <v>0</v>
      </c>
      <c r="EE275" s="89">
        <f>IF(Table645[[#This Row],[Column128]]="--",0,Table645[[#This Row],[Column4]]*Table645[[#This Row],[Column128]])</f>
        <v>0</v>
      </c>
      <c r="EG275" s="89">
        <f>IF(Table645[[#This Row],[Column128]]="--",0,Table645[[#This Row],[Column4]]*Table645[[#This Row],[Column128]])</f>
        <v>0</v>
      </c>
      <c r="EI275" s="89">
        <f>IF(Table645[[#This Row],[Column128]]="--",0,Table645[[#This Row],[Column4]]*Table645[[#This Row],[Column128]])</f>
        <v>0</v>
      </c>
    </row>
    <row r="276" spans="1:139" x14ac:dyDescent="0.25">
      <c r="A276" s="140"/>
      <c r="B276" s="79"/>
      <c r="C276" s="140"/>
      <c r="D276" s="167"/>
      <c r="E276" s="52"/>
      <c r="F276" s="81"/>
      <c r="G276" s="81"/>
      <c r="H276" s="102" t="str">
        <f t="shared" si="180"/>
        <v>--</v>
      </c>
      <c r="I276" s="100">
        <f>IF(Table645[[#This Row],[Column8]]="--",0,Table645[[#This Row],[Column4]]*Table645[[#This Row],[Column8]])</f>
        <v>0</v>
      </c>
      <c r="J276" s="169"/>
      <c r="K276" s="85">
        <f>Table645[[#This Row],[Column4]]*Table645[[#This Row],[Column10]]</f>
        <v>0</v>
      </c>
      <c r="L276" s="170" t="str">
        <f t="shared" si="181"/>
        <v>--</v>
      </c>
      <c r="M276" s="214">
        <f>IF(Table645[[#This Row],[Column10]]=0,0,Table645[[#This Row],[Column4]]*Table645[[#This Row],[Column12]])</f>
        <v>0</v>
      </c>
      <c r="N276" s="87" t="str">
        <f t="shared" si="182"/>
        <v>--</v>
      </c>
      <c r="O276" s="138"/>
      <c r="AZ276" s="89">
        <f>IF(Table645[[#This Row],[Column14]]="--",0,Table645[[#This Row],[Column4]]*Table645[[#This Row],[Column14]])</f>
        <v>0</v>
      </c>
      <c r="BA276" s="90"/>
      <c r="BB276" s="91" t="str">
        <f>IF(BA276=0,"--",BA276*$BA$3*IF(Table645[[#This Row],[Column5]]&lt;4.1,1,2)/60/24)</f>
        <v>--</v>
      </c>
      <c r="BC276" s="92">
        <f>IF(Table645[[#This Row],[Column54]]="--",0,Table645[[#This Row],[Column4]]*Table645[[#This Row],[Column54]])</f>
        <v>0</v>
      </c>
      <c r="BD276" s="119"/>
      <c r="BE276" s="119"/>
      <c r="BF276" s="119"/>
      <c r="BG276" s="91" t="str">
        <f>IF(BD276+Table645[[#This Row],[Column58]]=0,"--",(BD276*$BF$3*Table645[[#This Row],[Column57]]+Table645[[#This Row],[Column58]]*$BF$4)/60/24)</f>
        <v>--</v>
      </c>
      <c r="BH276" s="92">
        <f>IF(Table645[[#This Row],[Column59]]="--",0,Table645[[#This Row],[Column4]]*Table645[[#This Row],[Column59]])</f>
        <v>0</v>
      </c>
      <c r="BI276" s="119"/>
      <c r="BJ276" s="91" t="str">
        <f t="shared" si="148"/>
        <v>--</v>
      </c>
      <c r="BK276" s="92">
        <f>IF(Table645[[#This Row],[Column62]]="--",0,Table645[[#This Row],[Column4]]*Table645[[#This Row],[Column62]])</f>
        <v>0</v>
      </c>
      <c r="BL276" s="93"/>
      <c r="BM276" s="91" t="str">
        <f t="shared" si="183"/>
        <v>--</v>
      </c>
      <c r="BN276" s="89">
        <f>IF(Table645[[#This Row],[Column65]]="--",0,Table645[[#This Row],[Column4]]*Table645[[#This Row],[Column65]])</f>
        <v>0</v>
      </c>
      <c r="BO276" s="163"/>
      <c r="BP276" s="164" t="str">
        <f t="shared" si="184"/>
        <v>--</v>
      </c>
      <c r="BQ276" s="160">
        <f>IF(Table645[[#This Row],[Column68]]="--",0,Table645[[#This Row],[Column4]]*Table645[[#This Row],[Column68]])</f>
        <v>0</v>
      </c>
      <c r="BR276" s="94"/>
      <c r="BS276" s="91" t="str">
        <f t="shared" si="185"/>
        <v>--</v>
      </c>
      <c r="BT276" s="92">
        <f>IF(Table645[[#This Row],[Column71]]="--",0,Table645[[#This Row],[Column4]]*Table645[[#This Row],[Column71]])</f>
        <v>0</v>
      </c>
      <c r="BU276" s="44"/>
      <c r="BV276" s="90"/>
      <c r="BW276" s="91" t="str">
        <f>IF(BV276=0,"--",(Table645[[#This Row],[Column73]]*$BV$4*(IF(J276&lt;0.5001,1,IF(J276&lt;2.0001,2,3)))+BV276/$BV$3)/60/24)</f>
        <v>--</v>
      </c>
      <c r="BX276" s="92">
        <f>IF(Table645[[#This Row],[Column75]]="--",0,Table645[[#This Row],[Column4]]*Table645[[#This Row],[Column75]])</f>
        <v>0</v>
      </c>
      <c r="BY276" s="95" t="s">
        <v>70</v>
      </c>
      <c r="BZ276" s="91" t="str">
        <f>IF(Table645[[#This Row],[Column74]]=0,"--",BW276*$BY$3)</f>
        <v>--</v>
      </c>
      <c r="CA276" s="89">
        <f>IF(Table645[[#This Row],[Column78]]="--",0,Table645[[#This Row],[Column4]]*Table645[[#This Row],[Column78]])</f>
        <v>0</v>
      </c>
      <c r="CB276" s="95" t="s">
        <v>70</v>
      </c>
      <c r="CC276" s="91" t="str">
        <f>IF(Table645[[#This Row],[Column10]]+Table645[[#This Row],[Column74]]=0,"--",J276*$CB$4*$CB$5/(24*60)+IF(Table645[[#This Row],[Column74]]=0,0,$CB$3*Table645[[#This Row],[Column75]]))</f>
        <v>--</v>
      </c>
      <c r="CD276" s="92">
        <f>IF(Table645[[#This Row],[Column81]]="--",0,Table645[[#This Row],[Column4]]*Table645[[#This Row],[Column81]])</f>
        <v>0</v>
      </c>
      <c r="CE276" s="215"/>
      <c r="CF276" s="91" t="str">
        <f t="shared" si="149"/>
        <v>--</v>
      </c>
      <c r="CG276" s="92">
        <f>IF(Table645[[#This Row],[Column84]]="--",0,Table645[[#This Row],[Column4]]*Table645[[#This Row],[Column84]])</f>
        <v>0</v>
      </c>
      <c r="CH276" s="226"/>
      <c r="CI276" s="216"/>
      <c r="CJ276" s="91" t="str">
        <f>IF(CI276=0,"--",(Table645[[#This Row],[Column86]]*$CI$4*(IF(W276&lt;0.5001,1,IF(W276&lt;2.0001,2,3)))+CI276/$CI$3)/60/24)</f>
        <v>--</v>
      </c>
      <c r="CK276" s="92">
        <f>IF(Table645[[#This Row],[Column88]]="--",0,Table645[[#This Row],[Column4]]*Table645[[#This Row],[Column88]])</f>
        <v>0</v>
      </c>
      <c r="CL276" s="217"/>
      <c r="CM276" s="91" t="str">
        <f>IF(Table645[[#This Row],[Column87]]=0,"--",CJ276*$CL$3)</f>
        <v>--</v>
      </c>
      <c r="CN276" s="92">
        <f>IF(Table645[[#This Row],[Column91]]="--",0,Table645[[#This Row],[Column4]]*Table645[[#This Row],[Column91]])</f>
        <v>0</v>
      </c>
      <c r="CO276" s="217"/>
      <c r="CP276" s="91" t="str">
        <f>IF(Table645[[#This Row],[Column10]]+Table645[[#This Row],[Column87]]=0, "--", IF($D276="", 1, $D276) * IF($J276="", 1, $J276) * $CO$3 * $CO$4 * IF(Table645[[#This Row],[Column95]]="", 1, Table645[[#This Row],[Column95]]) / (24 * 60))</f>
        <v>--</v>
      </c>
      <c r="CQ276" s="164"/>
      <c r="CR276" s="92">
        <f>IF(Table645[[#This Row],[Column94]]="--",0,Table645[[#This Row],[Column4]]*Table645[[#This Row],[Column94]])</f>
        <v>0</v>
      </c>
      <c r="CS276" s="218" t="str">
        <f>IF(Table645[[#This Row],[Column87]]="","",Table645[[#This Row],[Column87]])</f>
        <v/>
      </c>
      <c r="CT276" s="91" t="str">
        <f>IF(Table645[[#This Row],[Column97]]="","--",Table645[[#This Row],[Column97]]/$CS$3/60/24)</f>
        <v>--</v>
      </c>
      <c r="CU276" s="92">
        <f>IF(Table645[[#This Row],[Column98]]="--",0,Table645[[#This Row],[Column4]]*Table645[[#This Row],[Column98]])</f>
        <v>0</v>
      </c>
      <c r="CV276" s="93"/>
      <c r="CW276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76" s="91" t="str">
        <f>IF(OR(Table645[[#This Row],[Column74]]&gt;0,Table645[[#This Row],[Column87]]&gt;0),(Table645[[#This Row],[Column73]]+Table645[[#This Row],[Column86]]+1)*$CW$3/60/24,"--")</f>
        <v>--</v>
      </c>
      <c r="CY276" s="92">
        <f>IF(Table645[[#This Row],[Column102]]="--",0,Table645[[#This Row],[Column4]]*Table645[[#This Row],[Column102]])</f>
        <v>0</v>
      </c>
      <c r="CZ276" s="158" t="str">
        <f t="shared" si="186"/>
        <v>--</v>
      </c>
      <c r="DA276" s="153"/>
      <c r="DB276" s="160">
        <f>IF(Table645[[#This Row],[Column104]]="--",0,Table645[[#This Row],[Column4]]*Table645[[#This Row],[Column104]])</f>
        <v>0</v>
      </c>
      <c r="DC276" s="219"/>
      <c r="DD276" s="220" t="str">
        <f>IF(DC276=0,"--",1/$DC$3*1000/(60*60*24)*Table645[[#This Row],[Column107]])</f>
        <v>--</v>
      </c>
      <c r="DE276" s="160">
        <f>IF(Table645[[#This Row],[Column108]]="--",0,Table645[[#This Row],[Column4]]*Table645[[#This Row],[Column108]])</f>
        <v>0</v>
      </c>
      <c r="DF276" s="101" t="s">
        <v>70</v>
      </c>
      <c r="DG276" s="91" t="str">
        <f t="shared" si="187"/>
        <v>--</v>
      </c>
      <c r="DH276" s="89">
        <f>IF(Table645[[#This Row],[Column111]]="--",0,Table645[[#This Row],[Column4]]*Table645[[#This Row],[Column111]])</f>
        <v>0</v>
      </c>
      <c r="DI276" s="96"/>
      <c r="DJ276" s="96"/>
      <c r="DK276" s="96"/>
      <c r="DL276" s="96"/>
      <c r="DM276" s="96"/>
      <c r="DN276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76" s="89">
        <f>IF(Table645[[#This Row],[Column118]]="--",0,Table645[[#This Row],[Column4]]*Table645[[#This Row],[Column118]])</f>
        <v>0</v>
      </c>
      <c r="DP276" s="96"/>
      <c r="DQ276" s="96"/>
      <c r="DR276" s="91" t="str">
        <f t="shared" si="188"/>
        <v>--</v>
      </c>
      <c r="DS276" s="89">
        <f>IF(Table645[[#This Row],[Column122]]="--",0,Table645[[#This Row],[Column4]]*Table645[[#This Row],[Column122]])</f>
        <v>0</v>
      </c>
      <c r="DT276" t="str">
        <f>IF(Table645[[#This Row],[Column125]]=0,"--",Table645[[#This Row],[Column125]]*Table645[[#This Row],[Column126]]*Table645[[#This Row],[Column127]]/1000000000)</f>
        <v>--</v>
      </c>
      <c r="DU276" s="53"/>
      <c r="DV276" s="53"/>
      <c r="DW276" s="53"/>
      <c r="DX276" s="91" t="str">
        <f t="shared" si="189"/>
        <v>--</v>
      </c>
      <c r="DY276" s="89">
        <f>IF(Table645[[#This Row],[Column128]]="--",0,Table645[[#This Row],[Column4]]*Table645[[#This Row],[Column128]])</f>
        <v>0</v>
      </c>
      <c r="EA276" s="89">
        <f>IF(Table645[[#This Row],[Column128]]="--",0,Table645[[#This Row],[Column4]]*Table645[[#This Row],[Column128]])</f>
        <v>0</v>
      </c>
      <c r="EC276" s="89">
        <f>IF(Table645[[#This Row],[Column128]]="--",0,Table645[[#This Row],[Column4]]*Table645[[#This Row],[Column128]])</f>
        <v>0</v>
      </c>
      <c r="EE276" s="89">
        <f>IF(Table645[[#This Row],[Column128]]="--",0,Table645[[#This Row],[Column4]]*Table645[[#This Row],[Column128]])</f>
        <v>0</v>
      </c>
      <c r="EG276" s="89">
        <f>IF(Table645[[#This Row],[Column128]]="--",0,Table645[[#This Row],[Column4]]*Table645[[#This Row],[Column128]])</f>
        <v>0</v>
      </c>
      <c r="EI276" s="89">
        <f>IF(Table645[[#This Row],[Column128]]="--",0,Table645[[#This Row],[Column4]]*Table645[[#This Row],[Column128]])</f>
        <v>0</v>
      </c>
    </row>
    <row r="277" spans="1:139" x14ac:dyDescent="0.25">
      <c r="A277" s="140"/>
      <c r="B277" s="79"/>
      <c r="C277" s="140"/>
      <c r="D277" s="167"/>
      <c r="E277" s="52"/>
      <c r="F277" s="81"/>
      <c r="G277" s="81"/>
      <c r="H277" s="102" t="str">
        <f t="shared" si="180"/>
        <v>--</v>
      </c>
      <c r="I277" s="100">
        <f>IF(Table645[[#This Row],[Column8]]="--",0,Table645[[#This Row],[Column4]]*Table645[[#This Row],[Column8]])</f>
        <v>0</v>
      </c>
      <c r="J277" s="169"/>
      <c r="K277" s="85">
        <f>Table645[[#This Row],[Column4]]*Table645[[#This Row],[Column10]]</f>
        <v>0</v>
      </c>
      <c r="L277" s="170" t="str">
        <f t="shared" si="181"/>
        <v>--</v>
      </c>
      <c r="M277" s="214">
        <f>IF(Table645[[#This Row],[Column10]]=0,0,Table645[[#This Row],[Column4]]*Table645[[#This Row],[Column12]])</f>
        <v>0</v>
      </c>
      <c r="N277" s="87" t="str">
        <f t="shared" si="182"/>
        <v>--</v>
      </c>
      <c r="O277" s="138"/>
      <c r="AZ277" s="89">
        <f>IF(Table645[[#This Row],[Column14]]="--",0,Table645[[#This Row],[Column4]]*Table645[[#This Row],[Column14]])</f>
        <v>0</v>
      </c>
      <c r="BA277" s="90"/>
      <c r="BB277" s="91" t="str">
        <f>IF(BA277=0,"--",BA277*$BA$3*IF(Table645[[#This Row],[Column5]]&lt;4.1,1,2)/60/24)</f>
        <v>--</v>
      </c>
      <c r="BC277" s="92">
        <f>IF(Table645[[#This Row],[Column54]]="--",0,Table645[[#This Row],[Column4]]*Table645[[#This Row],[Column54]])</f>
        <v>0</v>
      </c>
      <c r="BD277" s="119"/>
      <c r="BE277" s="119"/>
      <c r="BF277" s="119"/>
      <c r="BG277" s="91" t="str">
        <f>IF(BD277+Table645[[#This Row],[Column58]]=0,"--",(BD277*$BF$3*Table645[[#This Row],[Column57]]+Table645[[#This Row],[Column58]]*$BF$4)/60/24)</f>
        <v>--</v>
      </c>
      <c r="BH277" s="92">
        <f>IF(Table645[[#This Row],[Column59]]="--",0,Table645[[#This Row],[Column4]]*Table645[[#This Row],[Column59]])</f>
        <v>0</v>
      </c>
      <c r="BI277" s="119"/>
      <c r="BJ277" s="91" t="str">
        <f t="shared" si="148"/>
        <v>--</v>
      </c>
      <c r="BK277" s="92">
        <f>IF(Table645[[#This Row],[Column62]]="--",0,Table645[[#This Row],[Column4]]*Table645[[#This Row],[Column62]])</f>
        <v>0</v>
      </c>
      <c r="BL277" s="93"/>
      <c r="BM277" s="91" t="str">
        <f t="shared" si="183"/>
        <v>--</v>
      </c>
      <c r="BN277" s="89">
        <f>IF(Table645[[#This Row],[Column65]]="--",0,Table645[[#This Row],[Column4]]*Table645[[#This Row],[Column65]])</f>
        <v>0</v>
      </c>
      <c r="BO277" s="163"/>
      <c r="BP277" s="164" t="str">
        <f t="shared" si="184"/>
        <v>--</v>
      </c>
      <c r="BQ277" s="160">
        <f>IF(Table645[[#This Row],[Column68]]="--",0,Table645[[#This Row],[Column4]]*Table645[[#This Row],[Column68]])</f>
        <v>0</v>
      </c>
      <c r="BR277" s="94"/>
      <c r="BS277" s="91" t="str">
        <f t="shared" si="185"/>
        <v>--</v>
      </c>
      <c r="BT277" s="92">
        <f>IF(Table645[[#This Row],[Column71]]="--",0,Table645[[#This Row],[Column4]]*Table645[[#This Row],[Column71]])</f>
        <v>0</v>
      </c>
      <c r="BU277" s="44"/>
      <c r="BV277" s="90"/>
      <c r="BW277" s="91" t="str">
        <f>IF(BV277=0,"--",(Table645[[#This Row],[Column73]]*$BV$4*(IF(J277&lt;0.5001,1,IF(J277&lt;2.0001,2,3)))+BV277/$BV$3)/60/24)</f>
        <v>--</v>
      </c>
      <c r="BX277" s="92">
        <f>IF(Table645[[#This Row],[Column75]]="--",0,Table645[[#This Row],[Column4]]*Table645[[#This Row],[Column75]])</f>
        <v>0</v>
      </c>
      <c r="BY277" s="95" t="s">
        <v>70</v>
      </c>
      <c r="BZ277" s="91" t="str">
        <f>IF(Table645[[#This Row],[Column74]]=0,"--",BW277*$BY$3)</f>
        <v>--</v>
      </c>
      <c r="CA277" s="89">
        <f>IF(Table645[[#This Row],[Column78]]="--",0,Table645[[#This Row],[Column4]]*Table645[[#This Row],[Column78]])</f>
        <v>0</v>
      </c>
      <c r="CB277" s="95" t="s">
        <v>70</v>
      </c>
      <c r="CC277" s="91" t="str">
        <f>IF(Table645[[#This Row],[Column10]]+Table645[[#This Row],[Column74]]=0,"--",J277*$CB$4*$CB$5/(24*60)+IF(Table645[[#This Row],[Column74]]=0,0,$CB$3*Table645[[#This Row],[Column75]]))</f>
        <v>--</v>
      </c>
      <c r="CD277" s="92">
        <f>IF(Table645[[#This Row],[Column81]]="--",0,Table645[[#This Row],[Column4]]*Table645[[#This Row],[Column81]])</f>
        <v>0</v>
      </c>
      <c r="CE277" s="215"/>
      <c r="CF277" s="91" t="str">
        <f t="shared" si="149"/>
        <v>--</v>
      </c>
      <c r="CG277" s="92">
        <f>IF(Table645[[#This Row],[Column84]]="--",0,Table645[[#This Row],[Column4]]*Table645[[#This Row],[Column84]])</f>
        <v>0</v>
      </c>
      <c r="CH277" s="226"/>
      <c r="CI277" s="216"/>
      <c r="CJ277" s="91" t="str">
        <f>IF(CI277=0,"--",(Table645[[#This Row],[Column86]]*$CI$4*(IF(W277&lt;0.5001,1,IF(W277&lt;2.0001,2,3)))+CI277/$CI$3)/60/24)</f>
        <v>--</v>
      </c>
      <c r="CK277" s="92">
        <f>IF(Table645[[#This Row],[Column88]]="--",0,Table645[[#This Row],[Column4]]*Table645[[#This Row],[Column88]])</f>
        <v>0</v>
      </c>
      <c r="CL277" s="217"/>
      <c r="CM277" s="91" t="str">
        <f>IF(Table645[[#This Row],[Column87]]=0,"--",CJ277*$CL$3)</f>
        <v>--</v>
      </c>
      <c r="CN277" s="92">
        <f>IF(Table645[[#This Row],[Column91]]="--",0,Table645[[#This Row],[Column4]]*Table645[[#This Row],[Column91]])</f>
        <v>0</v>
      </c>
      <c r="CO277" s="217"/>
      <c r="CP277" s="91" t="str">
        <f>IF(Table645[[#This Row],[Column10]]+Table645[[#This Row],[Column87]]=0, "--", IF($D277="", 1, $D277) * IF($J277="", 1, $J277) * $CO$3 * $CO$4 * IF(Table645[[#This Row],[Column95]]="", 1, Table645[[#This Row],[Column95]]) / (24 * 60))</f>
        <v>--</v>
      </c>
      <c r="CQ277" s="164"/>
      <c r="CR277" s="92">
        <f>IF(Table645[[#This Row],[Column94]]="--",0,Table645[[#This Row],[Column4]]*Table645[[#This Row],[Column94]])</f>
        <v>0</v>
      </c>
      <c r="CS277" s="218" t="str">
        <f>IF(Table645[[#This Row],[Column87]]="","",Table645[[#This Row],[Column87]])</f>
        <v/>
      </c>
      <c r="CT277" s="91" t="str">
        <f>IF(Table645[[#This Row],[Column97]]="","--",Table645[[#This Row],[Column97]]/$CS$3/60/24)</f>
        <v>--</v>
      </c>
      <c r="CU277" s="92">
        <f>IF(Table645[[#This Row],[Column98]]="--",0,Table645[[#This Row],[Column4]]*Table645[[#This Row],[Column98]])</f>
        <v>0</v>
      </c>
      <c r="CV277" s="93"/>
      <c r="CW277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77" s="91" t="str">
        <f>IF(OR(Table645[[#This Row],[Column74]]&gt;0,Table645[[#This Row],[Column87]]&gt;0),(Table645[[#This Row],[Column73]]+Table645[[#This Row],[Column86]]+1)*$CW$3/60/24,"--")</f>
        <v>--</v>
      </c>
      <c r="CY277" s="92">
        <f>IF(Table645[[#This Row],[Column102]]="--",0,Table645[[#This Row],[Column4]]*Table645[[#This Row],[Column102]])</f>
        <v>0</v>
      </c>
      <c r="CZ277" s="158" t="str">
        <f t="shared" si="186"/>
        <v>--</v>
      </c>
      <c r="DA277" s="153"/>
      <c r="DB277" s="160">
        <f>IF(Table645[[#This Row],[Column104]]="--",0,Table645[[#This Row],[Column4]]*Table645[[#This Row],[Column104]])</f>
        <v>0</v>
      </c>
      <c r="DC277" s="219"/>
      <c r="DD277" s="220" t="str">
        <f>IF(DC277=0,"--",1/$DC$3*1000/(60*60*24)*Table645[[#This Row],[Column107]])</f>
        <v>--</v>
      </c>
      <c r="DE277" s="160">
        <f>IF(Table645[[#This Row],[Column108]]="--",0,Table645[[#This Row],[Column4]]*Table645[[#This Row],[Column108]])</f>
        <v>0</v>
      </c>
      <c r="DF277" s="101" t="s">
        <v>70</v>
      </c>
      <c r="DG277" s="91" t="str">
        <f t="shared" si="187"/>
        <v>--</v>
      </c>
      <c r="DH277" s="89">
        <f>IF(Table645[[#This Row],[Column111]]="--",0,Table645[[#This Row],[Column4]]*Table645[[#This Row],[Column111]])</f>
        <v>0</v>
      </c>
      <c r="DI277" s="96"/>
      <c r="DJ277" s="96"/>
      <c r="DK277" s="96"/>
      <c r="DL277" s="96"/>
      <c r="DM277" s="96"/>
      <c r="DN277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77" s="89">
        <f>IF(Table645[[#This Row],[Column118]]="--",0,Table645[[#This Row],[Column4]]*Table645[[#This Row],[Column118]])</f>
        <v>0</v>
      </c>
      <c r="DP277" s="96"/>
      <c r="DQ277" s="96"/>
      <c r="DR277" s="91" t="str">
        <f t="shared" si="188"/>
        <v>--</v>
      </c>
      <c r="DS277" s="89">
        <f>IF(Table645[[#This Row],[Column122]]="--",0,Table645[[#This Row],[Column4]]*Table645[[#This Row],[Column122]])</f>
        <v>0</v>
      </c>
      <c r="DT277" t="str">
        <f>IF(Table645[[#This Row],[Column125]]=0,"--",Table645[[#This Row],[Column125]]*Table645[[#This Row],[Column126]]*Table645[[#This Row],[Column127]]/1000000000)</f>
        <v>--</v>
      </c>
      <c r="DU277" s="53"/>
      <c r="DV277" s="53"/>
      <c r="DW277" s="53"/>
      <c r="DX277" s="91" t="str">
        <f t="shared" si="189"/>
        <v>--</v>
      </c>
      <c r="DY277" s="89">
        <f>IF(Table645[[#This Row],[Column128]]="--",0,Table645[[#This Row],[Column4]]*Table645[[#This Row],[Column128]])</f>
        <v>0</v>
      </c>
      <c r="EA277" s="89">
        <f>IF(Table645[[#This Row],[Column128]]="--",0,Table645[[#This Row],[Column4]]*Table645[[#This Row],[Column128]])</f>
        <v>0</v>
      </c>
      <c r="EC277" s="89">
        <f>IF(Table645[[#This Row],[Column128]]="--",0,Table645[[#This Row],[Column4]]*Table645[[#This Row],[Column128]])</f>
        <v>0</v>
      </c>
      <c r="EE277" s="89">
        <f>IF(Table645[[#This Row],[Column128]]="--",0,Table645[[#This Row],[Column4]]*Table645[[#This Row],[Column128]])</f>
        <v>0</v>
      </c>
      <c r="EG277" s="89">
        <f>IF(Table645[[#This Row],[Column128]]="--",0,Table645[[#This Row],[Column4]]*Table645[[#This Row],[Column128]])</f>
        <v>0</v>
      </c>
      <c r="EI277" s="89">
        <f>IF(Table645[[#This Row],[Column128]]="--",0,Table645[[#This Row],[Column4]]*Table645[[#This Row],[Column128]])</f>
        <v>0</v>
      </c>
    </row>
    <row r="278" spans="1:139" x14ac:dyDescent="0.25">
      <c r="A278" s="140"/>
      <c r="B278" s="79"/>
      <c r="C278" s="140"/>
      <c r="D278" s="167"/>
      <c r="E278" s="52"/>
      <c r="F278" s="81"/>
      <c r="G278" s="81"/>
      <c r="H278" s="102" t="str">
        <f t="shared" si="180"/>
        <v>--</v>
      </c>
      <c r="I278" s="100">
        <f>IF(Table645[[#This Row],[Column8]]="--",0,Table645[[#This Row],[Column4]]*Table645[[#This Row],[Column8]])</f>
        <v>0</v>
      </c>
      <c r="J278" s="169"/>
      <c r="K278" s="85">
        <f>Table645[[#This Row],[Column4]]*Table645[[#This Row],[Column10]]</f>
        <v>0</v>
      </c>
      <c r="L278" s="170" t="str">
        <f t="shared" si="181"/>
        <v>--</v>
      </c>
      <c r="M278" s="214">
        <f>IF(Table645[[#This Row],[Column10]]=0,0,Table645[[#This Row],[Column4]]*Table645[[#This Row],[Column12]])</f>
        <v>0</v>
      </c>
      <c r="N278" s="87" t="str">
        <f t="shared" si="182"/>
        <v>--</v>
      </c>
      <c r="O278" s="138"/>
      <c r="AZ278" s="89">
        <f>IF(Table645[[#This Row],[Column14]]="--",0,Table645[[#This Row],[Column4]]*Table645[[#This Row],[Column14]])</f>
        <v>0</v>
      </c>
      <c r="BA278" s="90"/>
      <c r="BB278" s="91" t="str">
        <f>IF(BA278=0,"--",BA278*$BA$3*IF(Table645[[#This Row],[Column5]]&lt;4.1,1,2)/60/24)</f>
        <v>--</v>
      </c>
      <c r="BC278" s="92">
        <f>IF(Table645[[#This Row],[Column54]]="--",0,Table645[[#This Row],[Column4]]*Table645[[#This Row],[Column54]])</f>
        <v>0</v>
      </c>
      <c r="BD278" s="119"/>
      <c r="BE278" s="119"/>
      <c r="BF278" s="119"/>
      <c r="BG278" s="91" t="str">
        <f>IF(BD278+Table645[[#This Row],[Column58]]=0,"--",(BD278*$BF$3*Table645[[#This Row],[Column57]]+Table645[[#This Row],[Column58]]*$BF$4)/60/24)</f>
        <v>--</v>
      </c>
      <c r="BH278" s="92">
        <f>IF(Table645[[#This Row],[Column59]]="--",0,Table645[[#This Row],[Column4]]*Table645[[#This Row],[Column59]])</f>
        <v>0</v>
      </c>
      <c r="BI278" s="119"/>
      <c r="BJ278" s="91" t="str">
        <f t="shared" si="148"/>
        <v>--</v>
      </c>
      <c r="BK278" s="92">
        <f>IF(Table645[[#This Row],[Column62]]="--",0,Table645[[#This Row],[Column4]]*Table645[[#This Row],[Column62]])</f>
        <v>0</v>
      </c>
      <c r="BL278" s="93"/>
      <c r="BM278" s="91" t="str">
        <f t="shared" si="183"/>
        <v>--</v>
      </c>
      <c r="BN278" s="89">
        <f>IF(Table645[[#This Row],[Column65]]="--",0,Table645[[#This Row],[Column4]]*Table645[[#This Row],[Column65]])</f>
        <v>0</v>
      </c>
      <c r="BO278" s="163"/>
      <c r="BP278" s="164" t="str">
        <f t="shared" si="184"/>
        <v>--</v>
      </c>
      <c r="BQ278" s="160">
        <f>IF(Table645[[#This Row],[Column68]]="--",0,Table645[[#This Row],[Column4]]*Table645[[#This Row],[Column68]])</f>
        <v>0</v>
      </c>
      <c r="BR278" s="94"/>
      <c r="BS278" s="91" t="str">
        <f t="shared" si="185"/>
        <v>--</v>
      </c>
      <c r="BT278" s="92">
        <f>IF(Table645[[#This Row],[Column71]]="--",0,Table645[[#This Row],[Column4]]*Table645[[#This Row],[Column71]])</f>
        <v>0</v>
      </c>
      <c r="BU278" s="44"/>
      <c r="BV278" s="90"/>
      <c r="BW278" s="91" t="str">
        <f>IF(BV278=0,"--",(Table645[[#This Row],[Column73]]*$BV$4*(IF(J278&lt;0.5001,1,IF(J278&lt;2.0001,2,3)))+BV278/$BV$3)/60/24)</f>
        <v>--</v>
      </c>
      <c r="BX278" s="92">
        <f>IF(Table645[[#This Row],[Column75]]="--",0,Table645[[#This Row],[Column4]]*Table645[[#This Row],[Column75]])</f>
        <v>0</v>
      </c>
      <c r="BY278" s="95" t="s">
        <v>70</v>
      </c>
      <c r="BZ278" s="91" t="str">
        <f>IF(Table645[[#This Row],[Column74]]=0,"--",BW278*$BY$3)</f>
        <v>--</v>
      </c>
      <c r="CA278" s="89">
        <f>IF(Table645[[#This Row],[Column78]]="--",0,Table645[[#This Row],[Column4]]*Table645[[#This Row],[Column78]])</f>
        <v>0</v>
      </c>
      <c r="CB278" s="95" t="s">
        <v>70</v>
      </c>
      <c r="CC278" s="91" t="str">
        <f>IF(Table645[[#This Row],[Column10]]+Table645[[#This Row],[Column74]]=0,"--",J278*$CB$4*$CB$5/(24*60)+IF(Table645[[#This Row],[Column74]]=0,0,$CB$3*Table645[[#This Row],[Column75]]))</f>
        <v>--</v>
      </c>
      <c r="CD278" s="92">
        <f>IF(Table645[[#This Row],[Column81]]="--",0,Table645[[#This Row],[Column4]]*Table645[[#This Row],[Column81]])</f>
        <v>0</v>
      </c>
      <c r="CE278" s="215"/>
      <c r="CF278" s="91" t="str">
        <f t="shared" si="149"/>
        <v>--</v>
      </c>
      <c r="CG278" s="92">
        <f>IF(Table645[[#This Row],[Column84]]="--",0,Table645[[#This Row],[Column4]]*Table645[[#This Row],[Column84]])</f>
        <v>0</v>
      </c>
      <c r="CH278" s="226"/>
      <c r="CI278" s="216"/>
      <c r="CJ278" s="91" t="str">
        <f>IF(CI278=0,"--",(Table645[[#This Row],[Column86]]*$CI$4*(IF(W278&lt;0.5001,1,IF(W278&lt;2.0001,2,3)))+CI278/$CI$3)/60/24)</f>
        <v>--</v>
      </c>
      <c r="CK278" s="92">
        <f>IF(Table645[[#This Row],[Column88]]="--",0,Table645[[#This Row],[Column4]]*Table645[[#This Row],[Column88]])</f>
        <v>0</v>
      </c>
      <c r="CL278" s="217"/>
      <c r="CM278" s="91" t="str">
        <f>IF(Table645[[#This Row],[Column87]]=0,"--",CJ278*$CL$3)</f>
        <v>--</v>
      </c>
      <c r="CN278" s="92">
        <f>IF(Table645[[#This Row],[Column91]]="--",0,Table645[[#This Row],[Column4]]*Table645[[#This Row],[Column91]])</f>
        <v>0</v>
      </c>
      <c r="CO278" s="217"/>
      <c r="CP278" s="91" t="str">
        <f>IF(Table645[[#This Row],[Column10]]+Table645[[#This Row],[Column87]]=0, "--", IF($D278="", 1, $D278) * IF($J278="", 1, $J278) * $CO$3 * $CO$4 * IF(Table645[[#This Row],[Column95]]="", 1, Table645[[#This Row],[Column95]]) / (24 * 60))</f>
        <v>--</v>
      </c>
      <c r="CQ278" s="164"/>
      <c r="CR278" s="92">
        <f>IF(Table645[[#This Row],[Column94]]="--",0,Table645[[#This Row],[Column4]]*Table645[[#This Row],[Column94]])</f>
        <v>0</v>
      </c>
      <c r="CS278" s="218" t="str">
        <f>IF(Table645[[#This Row],[Column87]]="","",Table645[[#This Row],[Column87]])</f>
        <v/>
      </c>
      <c r="CT278" s="91" t="str">
        <f>IF(Table645[[#This Row],[Column97]]="","--",Table645[[#This Row],[Column97]]/$CS$3/60/24)</f>
        <v>--</v>
      </c>
      <c r="CU278" s="92">
        <f>IF(Table645[[#This Row],[Column98]]="--",0,Table645[[#This Row],[Column4]]*Table645[[#This Row],[Column98]])</f>
        <v>0</v>
      </c>
      <c r="CV278" s="93"/>
      <c r="CW278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78" s="91" t="str">
        <f>IF(OR(Table645[[#This Row],[Column74]]&gt;0,Table645[[#This Row],[Column87]]&gt;0),(Table645[[#This Row],[Column73]]+Table645[[#This Row],[Column86]]+1)*$CW$3/60/24,"--")</f>
        <v>--</v>
      </c>
      <c r="CY278" s="92">
        <f>IF(Table645[[#This Row],[Column102]]="--",0,Table645[[#This Row],[Column4]]*Table645[[#This Row],[Column102]])</f>
        <v>0</v>
      </c>
      <c r="CZ278" s="158" t="str">
        <f t="shared" si="186"/>
        <v>--</v>
      </c>
      <c r="DA278" s="153"/>
      <c r="DB278" s="160">
        <f>IF(Table645[[#This Row],[Column104]]="--",0,Table645[[#This Row],[Column4]]*Table645[[#This Row],[Column104]])</f>
        <v>0</v>
      </c>
      <c r="DC278" s="219"/>
      <c r="DD278" s="220" t="str">
        <f>IF(DC278=0,"--",1/$DC$3*1000/(60*60*24)*Table645[[#This Row],[Column107]])</f>
        <v>--</v>
      </c>
      <c r="DE278" s="160">
        <f>IF(Table645[[#This Row],[Column108]]="--",0,Table645[[#This Row],[Column4]]*Table645[[#This Row],[Column108]])</f>
        <v>0</v>
      </c>
      <c r="DF278" s="101" t="s">
        <v>70</v>
      </c>
      <c r="DG278" s="91" t="str">
        <f t="shared" si="187"/>
        <v>--</v>
      </c>
      <c r="DH278" s="89">
        <f>IF(Table645[[#This Row],[Column111]]="--",0,Table645[[#This Row],[Column4]]*Table645[[#This Row],[Column111]])</f>
        <v>0</v>
      </c>
      <c r="DI278" s="96"/>
      <c r="DJ278" s="96"/>
      <c r="DK278" s="96"/>
      <c r="DL278" s="96"/>
      <c r="DM278" s="96"/>
      <c r="DN278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78" s="89">
        <f>IF(Table645[[#This Row],[Column118]]="--",0,Table645[[#This Row],[Column4]]*Table645[[#This Row],[Column118]])</f>
        <v>0</v>
      </c>
      <c r="DP278" s="96"/>
      <c r="DQ278" s="96"/>
      <c r="DR278" s="91" t="str">
        <f t="shared" si="188"/>
        <v>--</v>
      </c>
      <c r="DS278" s="89">
        <f>IF(Table645[[#This Row],[Column122]]="--",0,Table645[[#This Row],[Column4]]*Table645[[#This Row],[Column122]])</f>
        <v>0</v>
      </c>
      <c r="DT278" t="str">
        <f>IF(Table645[[#This Row],[Column125]]=0,"--",Table645[[#This Row],[Column125]]*Table645[[#This Row],[Column126]]*Table645[[#This Row],[Column127]]/1000000000)</f>
        <v>--</v>
      </c>
      <c r="DU278" s="53"/>
      <c r="DV278" s="53"/>
      <c r="DW278" s="53"/>
      <c r="DX278" s="91" t="str">
        <f t="shared" si="189"/>
        <v>--</v>
      </c>
      <c r="DY278" s="89">
        <f>IF(Table645[[#This Row],[Column128]]="--",0,Table645[[#This Row],[Column4]]*Table645[[#This Row],[Column128]])</f>
        <v>0</v>
      </c>
      <c r="EA278" s="89">
        <f>IF(Table645[[#This Row],[Column128]]="--",0,Table645[[#This Row],[Column4]]*Table645[[#This Row],[Column128]])</f>
        <v>0</v>
      </c>
      <c r="EC278" s="89">
        <f>IF(Table645[[#This Row],[Column128]]="--",0,Table645[[#This Row],[Column4]]*Table645[[#This Row],[Column128]])</f>
        <v>0</v>
      </c>
      <c r="EE278" s="89">
        <f>IF(Table645[[#This Row],[Column128]]="--",0,Table645[[#This Row],[Column4]]*Table645[[#This Row],[Column128]])</f>
        <v>0</v>
      </c>
      <c r="EG278" s="89">
        <f>IF(Table645[[#This Row],[Column128]]="--",0,Table645[[#This Row],[Column4]]*Table645[[#This Row],[Column128]])</f>
        <v>0</v>
      </c>
      <c r="EI278" s="89">
        <f>IF(Table645[[#This Row],[Column128]]="--",0,Table645[[#This Row],[Column4]]*Table645[[#This Row],[Column128]])</f>
        <v>0</v>
      </c>
    </row>
    <row r="279" spans="1:139" x14ac:dyDescent="0.25">
      <c r="A279" s="140"/>
      <c r="B279" s="79"/>
      <c r="C279" s="140"/>
      <c r="D279" s="167"/>
      <c r="E279" s="52"/>
      <c r="F279" s="81"/>
      <c r="G279" s="81"/>
      <c r="H279" s="102" t="str">
        <f t="shared" si="180"/>
        <v>--</v>
      </c>
      <c r="I279" s="100">
        <f>IF(Table645[[#This Row],[Column8]]="--",0,Table645[[#This Row],[Column4]]*Table645[[#This Row],[Column8]])</f>
        <v>0</v>
      </c>
      <c r="J279" s="169"/>
      <c r="K279" s="85">
        <f>Table645[[#This Row],[Column4]]*Table645[[#This Row],[Column10]]</f>
        <v>0</v>
      </c>
      <c r="L279" s="170" t="str">
        <f t="shared" si="181"/>
        <v>--</v>
      </c>
      <c r="M279" s="214">
        <f>IF(Table645[[#This Row],[Column10]]=0,0,Table645[[#This Row],[Column4]]*Table645[[#This Row],[Column12]])</f>
        <v>0</v>
      </c>
      <c r="N279" s="87" t="str">
        <f t="shared" si="182"/>
        <v>--</v>
      </c>
      <c r="O279" s="138"/>
      <c r="AZ279" s="89">
        <f>IF(Table645[[#This Row],[Column14]]="--",0,Table645[[#This Row],[Column4]]*Table645[[#This Row],[Column14]])</f>
        <v>0</v>
      </c>
      <c r="BA279" s="90"/>
      <c r="BB279" s="91" t="str">
        <f>IF(BA279=0,"--",BA279*$BA$3*IF(Table645[[#This Row],[Column5]]&lt;4.1,1,2)/60/24)</f>
        <v>--</v>
      </c>
      <c r="BC279" s="92">
        <f>IF(Table645[[#This Row],[Column54]]="--",0,Table645[[#This Row],[Column4]]*Table645[[#This Row],[Column54]])</f>
        <v>0</v>
      </c>
      <c r="BD279" s="119"/>
      <c r="BE279" s="119"/>
      <c r="BF279" s="119"/>
      <c r="BG279" s="91" t="str">
        <f>IF(BD279+Table645[[#This Row],[Column58]]=0,"--",(BD279*$BF$3*Table645[[#This Row],[Column57]]+Table645[[#This Row],[Column58]]*$BF$4)/60/24)</f>
        <v>--</v>
      </c>
      <c r="BH279" s="92">
        <f>IF(Table645[[#This Row],[Column59]]="--",0,Table645[[#This Row],[Column4]]*Table645[[#This Row],[Column59]])</f>
        <v>0</v>
      </c>
      <c r="BI279" s="119"/>
      <c r="BJ279" s="91" t="str">
        <f t="shared" si="148"/>
        <v>--</v>
      </c>
      <c r="BK279" s="92">
        <f>IF(Table645[[#This Row],[Column62]]="--",0,Table645[[#This Row],[Column4]]*Table645[[#This Row],[Column62]])</f>
        <v>0</v>
      </c>
      <c r="BL279" s="93"/>
      <c r="BM279" s="91" t="str">
        <f t="shared" si="183"/>
        <v>--</v>
      </c>
      <c r="BN279" s="89">
        <f>IF(Table645[[#This Row],[Column65]]="--",0,Table645[[#This Row],[Column4]]*Table645[[#This Row],[Column65]])</f>
        <v>0</v>
      </c>
      <c r="BO279" s="163"/>
      <c r="BP279" s="164" t="str">
        <f t="shared" si="184"/>
        <v>--</v>
      </c>
      <c r="BQ279" s="160">
        <f>IF(Table645[[#This Row],[Column68]]="--",0,Table645[[#This Row],[Column4]]*Table645[[#This Row],[Column68]])</f>
        <v>0</v>
      </c>
      <c r="BR279" s="94"/>
      <c r="BS279" s="91" t="str">
        <f t="shared" si="185"/>
        <v>--</v>
      </c>
      <c r="BT279" s="92">
        <f>IF(Table645[[#This Row],[Column71]]="--",0,Table645[[#This Row],[Column4]]*Table645[[#This Row],[Column71]])</f>
        <v>0</v>
      </c>
      <c r="BU279" s="44"/>
      <c r="BV279" s="90"/>
      <c r="BW279" s="91" t="str">
        <f>IF(BV279=0,"--",(Table645[[#This Row],[Column73]]*$BV$4*(IF(J279&lt;0.5001,1,IF(J279&lt;2.0001,2,3)))+BV279/$BV$3)/60/24)</f>
        <v>--</v>
      </c>
      <c r="BX279" s="92">
        <f>IF(Table645[[#This Row],[Column75]]="--",0,Table645[[#This Row],[Column4]]*Table645[[#This Row],[Column75]])</f>
        <v>0</v>
      </c>
      <c r="BY279" s="95" t="s">
        <v>70</v>
      </c>
      <c r="BZ279" s="91" t="str">
        <f>IF(Table645[[#This Row],[Column74]]=0,"--",BW279*$BY$3)</f>
        <v>--</v>
      </c>
      <c r="CA279" s="89">
        <f>IF(Table645[[#This Row],[Column78]]="--",0,Table645[[#This Row],[Column4]]*Table645[[#This Row],[Column78]])</f>
        <v>0</v>
      </c>
      <c r="CB279" s="95" t="s">
        <v>70</v>
      </c>
      <c r="CC279" s="91" t="str">
        <f>IF(Table645[[#This Row],[Column10]]+Table645[[#This Row],[Column74]]=0,"--",J279*$CB$4*$CB$5/(24*60)+IF(Table645[[#This Row],[Column74]]=0,0,$CB$3*Table645[[#This Row],[Column75]]))</f>
        <v>--</v>
      </c>
      <c r="CD279" s="92">
        <f>IF(Table645[[#This Row],[Column81]]="--",0,Table645[[#This Row],[Column4]]*Table645[[#This Row],[Column81]])</f>
        <v>0</v>
      </c>
      <c r="CE279" s="215"/>
      <c r="CF279" s="91" t="str">
        <f t="shared" si="149"/>
        <v>--</v>
      </c>
      <c r="CG279" s="92">
        <f>IF(Table645[[#This Row],[Column84]]="--",0,Table645[[#This Row],[Column4]]*Table645[[#This Row],[Column84]])</f>
        <v>0</v>
      </c>
      <c r="CH279" s="226"/>
      <c r="CI279" s="216"/>
      <c r="CJ279" s="91" t="str">
        <f>IF(CI279=0,"--",(Table645[[#This Row],[Column86]]*$CI$4*(IF(W279&lt;0.5001,1,IF(W279&lt;2.0001,2,3)))+CI279/$CI$3)/60/24)</f>
        <v>--</v>
      </c>
      <c r="CK279" s="92">
        <f>IF(Table645[[#This Row],[Column88]]="--",0,Table645[[#This Row],[Column4]]*Table645[[#This Row],[Column88]])</f>
        <v>0</v>
      </c>
      <c r="CL279" s="217"/>
      <c r="CM279" s="91" t="str">
        <f>IF(Table645[[#This Row],[Column87]]=0,"--",CJ279*$CL$3)</f>
        <v>--</v>
      </c>
      <c r="CN279" s="92">
        <f>IF(Table645[[#This Row],[Column91]]="--",0,Table645[[#This Row],[Column4]]*Table645[[#This Row],[Column91]])</f>
        <v>0</v>
      </c>
      <c r="CO279" s="217"/>
      <c r="CP279" s="91" t="str">
        <f>IF(Table645[[#This Row],[Column10]]+Table645[[#This Row],[Column87]]=0, "--", IF($D279="", 1, $D279) * IF($J279="", 1, $J279) * $CO$3 * $CO$4 * IF(Table645[[#This Row],[Column95]]="", 1, Table645[[#This Row],[Column95]]) / (24 * 60))</f>
        <v>--</v>
      </c>
      <c r="CQ279" s="164"/>
      <c r="CR279" s="92">
        <f>IF(Table645[[#This Row],[Column94]]="--",0,Table645[[#This Row],[Column4]]*Table645[[#This Row],[Column94]])</f>
        <v>0</v>
      </c>
      <c r="CS279" s="218" t="str">
        <f>IF(Table645[[#This Row],[Column87]]="","",Table645[[#This Row],[Column87]])</f>
        <v/>
      </c>
      <c r="CT279" s="91" t="str">
        <f>IF(Table645[[#This Row],[Column97]]="","--",Table645[[#This Row],[Column97]]/$CS$3/60/24)</f>
        <v>--</v>
      </c>
      <c r="CU279" s="92">
        <f>IF(Table645[[#This Row],[Column98]]="--",0,Table645[[#This Row],[Column4]]*Table645[[#This Row],[Column98]])</f>
        <v>0</v>
      </c>
      <c r="CV279" s="93"/>
      <c r="CW279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79" s="91" t="str">
        <f>IF(OR(Table645[[#This Row],[Column74]]&gt;0,Table645[[#This Row],[Column87]]&gt;0),(Table645[[#This Row],[Column73]]+Table645[[#This Row],[Column86]]+1)*$CW$3/60/24,"--")</f>
        <v>--</v>
      </c>
      <c r="CY279" s="92">
        <f>IF(Table645[[#This Row],[Column102]]="--",0,Table645[[#This Row],[Column4]]*Table645[[#This Row],[Column102]])</f>
        <v>0</v>
      </c>
      <c r="CZ279" s="158" t="str">
        <f t="shared" si="186"/>
        <v>--</v>
      </c>
      <c r="DA279" s="153"/>
      <c r="DB279" s="160">
        <f>IF(Table645[[#This Row],[Column104]]="--",0,Table645[[#This Row],[Column4]]*Table645[[#This Row],[Column104]])</f>
        <v>0</v>
      </c>
      <c r="DC279" s="219"/>
      <c r="DD279" s="220" t="str">
        <f>IF(DC279=0,"--",1/$DC$3*1000/(60*60*24)*Table645[[#This Row],[Column107]])</f>
        <v>--</v>
      </c>
      <c r="DE279" s="160">
        <f>IF(Table645[[#This Row],[Column108]]="--",0,Table645[[#This Row],[Column4]]*Table645[[#This Row],[Column108]])</f>
        <v>0</v>
      </c>
      <c r="DF279" s="101" t="s">
        <v>70</v>
      </c>
      <c r="DG279" s="91" t="str">
        <f t="shared" si="187"/>
        <v>--</v>
      </c>
      <c r="DH279" s="89">
        <f>IF(Table645[[#This Row],[Column111]]="--",0,Table645[[#This Row],[Column4]]*Table645[[#This Row],[Column111]])</f>
        <v>0</v>
      </c>
      <c r="DI279" s="96"/>
      <c r="DJ279" s="96"/>
      <c r="DK279" s="96"/>
      <c r="DL279" s="96"/>
      <c r="DM279" s="96"/>
      <c r="DN279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79" s="89">
        <f>IF(Table645[[#This Row],[Column118]]="--",0,Table645[[#This Row],[Column4]]*Table645[[#This Row],[Column118]])</f>
        <v>0</v>
      </c>
      <c r="DP279" s="96"/>
      <c r="DQ279" s="96"/>
      <c r="DR279" s="91" t="str">
        <f t="shared" si="188"/>
        <v>--</v>
      </c>
      <c r="DS279" s="89">
        <f>IF(Table645[[#This Row],[Column122]]="--",0,Table645[[#This Row],[Column4]]*Table645[[#This Row],[Column122]])</f>
        <v>0</v>
      </c>
      <c r="DT279" t="str">
        <f>IF(Table645[[#This Row],[Column125]]=0,"--",Table645[[#This Row],[Column125]]*Table645[[#This Row],[Column126]]*Table645[[#This Row],[Column127]]/1000000000)</f>
        <v>--</v>
      </c>
      <c r="DU279" s="53"/>
      <c r="DV279" s="53"/>
      <c r="DW279" s="53"/>
      <c r="DX279" s="91" t="str">
        <f t="shared" si="189"/>
        <v>--</v>
      </c>
      <c r="DY279" s="89">
        <f>IF(Table645[[#This Row],[Column128]]="--",0,Table645[[#This Row],[Column4]]*Table645[[#This Row],[Column128]])</f>
        <v>0</v>
      </c>
      <c r="EA279" s="89">
        <f>IF(Table645[[#This Row],[Column128]]="--",0,Table645[[#This Row],[Column4]]*Table645[[#This Row],[Column128]])</f>
        <v>0</v>
      </c>
      <c r="EC279" s="89">
        <f>IF(Table645[[#This Row],[Column128]]="--",0,Table645[[#This Row],[Column4]]*Table645[[#This Row],[Column128]])</f>
        <v>0</v>
      </c>
      <c r="EE279" s="89">
        <f>IF(Table645[[#This Row],[Column128]]="--",0,Table645[[#This Row],[Column4]]*Table645[[#This Row],[Column128]])</f>
        <v>0</v>
      </c>
      <c r="EG279" s="89">
        <f>IF(Table645[[#This Row],[Column128]]="--",0,Table645[[#This Row],[Column4]]*Table645[[#This Row],[Column128]])</f>
        <v>0</v>
      </c>
      <c r="EI279" s="89">
        <f>IF(Table645[[#This Row],[Column128]]="--",0,Table645[[#This Row],[Column4]]*Table645[[#This Row],[Column128]])</f>
        <v>0</v>
      </c>
    </row>
    <row r="280" spans="1:139" x14ac:dyDescent="0.25">
      <c r="A280" s="140"/>
      <c r="B280" s="79"/>
      <c r="C280" s="140"/>
      <c r="D280" s="167"/>
      <c r="E280" s="52"/>
      <c r="F280" s="81"/>
      <c r="G280" s="81"/>
      <c r="H280" s="102" t="str">
        <f t="shared" si="180"/>
        <v>--</v>
      </c>
      <c r="I280" s="100">
        <f>IF(Table645[[#This Row],[Column8]]="--",0,Table645[[#This Row],[Column4]]*Table645[[#This Row],[Column8]])</f>
        <v>0</v>
      </c>
      <c r="J280" s="169"/>
      <c r="K280" s="85">
        <f>Table645[[#This Row],[Column4]]*Table645[[#This Row],[Column10]]</f>
        <v>0</v>
      </c>
      <c r="L280" s="170" t="str">
        <f t="shared" si="181"/>
        <v>--</v>
      </c>
      <c r="M280" s="214">
        <f>IF(Table645[[#This Row],[Column10]]=0,0,Table645[[#This Row],[Column4]]*Table645[[#This Row],[Column12]])</f>
        <v>0</v>
      </c>
      <c r="N280" s="87" t="str">
        <f t="shared" si="182"/>
        <v>--</v>
      </c>
      <c r="O280" s="138"/>
      <c r="AZ280" s="89">
        <f>IF(Table645[[#This Row],[Column14]]="--",0,Table645[[#This Row],[Column4]]*Table645[[#This Row],[Column14]])</f>
        <v>0</v>
      </c>
      <c r="BA280" s="90"/>
      <c r="BB280" s="91" t="str">
        <f>IF(BA280=0,"--",BA280*$BA$3*IF(Table645[[#This Row],[Column5]]&lt;4.1,1,2)/60/24)</f>
        <v>--</v>
      </c>
      <c r="BC280" s="92">
        <f>IF(Table645[[#This Row],[Column54]]="--",0,Table645[[#This Row],[Column4]]*Table645[[#This Row],[Column54]])</f>
        <v>0</v>
      </c>
      <c r="BD280" s="119"/>
      <c r="BE280" s="119"/>
      <c r="BF280" s="119"/>
      <c r="BG280" s="91" t="str">
        <f>IF(BD280+Table645[[#This Row],[Column58]]=0,"--",(BD280*$BF$3*Table645[[#This Row],[Column57]]+Table645[[#This Row],[Column58]]*$BF$4)/60/24)</f>
        <v>--</v>
      </c>
      <c r="BH280" s="92">
        <f>IF(Table645[[#This Row],[Column59]]="--",0,Table645[[#This Row],[Column4]]*Table645[[#This Row],[Column59]])</f>
        <v>0</v>
      </c>
      <c r="BI280" s="119"/>
      <c r="BJ280" s="91" t="str">
        <f t="shared" si="148"/>
        <v>--</v>
      </c>
      <c r="BK280" s="92">
        <f>IF(Table645[[#This Row],[Column62]]="--",0,Table645[[#This Row],[Column4]]*Table645[[#This Row],[Column62]])</f>
        <v>0</v>
      </c>
      <c r="BL280" s="93"/>
      <c r="BM280" s="91" t="str">
        <f t="shared" si="183"/>
        <v>--</v>
      </c>
      <c r="BN280" s="89">
        <f>IF(Table645[[#This Row],[Column65]]="--",0,Table645[[#This Row],[Column4]]*Table645[[#This Row],[Column65]])</f>
        <v>0</v>
      </c>
      <c r="BO280" s="163"/>
      <c r="BP280" s="164" t="str">
        <f t="shared" si="184"/>
        <v>--</v>
      </c>
      <c r="BQ280" s="160">
        <f>IF(Table645[[#This Row],[Column68]]="--",0,Table645[[#This Row],[Column4]]*Table645[[#This Row],[Column68]])</f>
        <v>0</v>
      </c>
      <c r="BR280" s="94"/>
      <c r="BS280" s="91" t="str">
        <f t="shared" si="185"/>
        <v>--</v>
      </c>
      <c r="BT280" s="92">
        <f>IF(Table645[[#This Row],[Column71]]="--",0,Table645[[#This Row],[Column4]]*Table645[[#This Row],[Column71]])</f>
        <v>0</v>
      </c>
      <c r="BU280" s="44"/>
      <c r="BV280" s="90"/>
      <c r="BW280" s="91" t="str">
        <f>IF(BV280=0,"--",(Table645[[#This Row],[Column73]]*$BV$4*(IF(J280&lt;0.5001,1,IF(J280&lt;2.0001,2,3)))+BV280/$BV$3)/60/24)</f>
        <v>--</v>
      </c>
      <c r="BX280" s="92">
        <f>IF(Table645[[#This Row],[Column75]]="--",0,Table645[[#This Row],[Column4]]*Table645[[#This Row],[Column75]])</f>
        <v>0</v>
      </c>
      <c r="BY280" s="95" t="s">
        <v>70</v>
      </c>
      <c r="BZ280" s="91" t="str">
        <f>IF(Table645[[#This Row],[Column74]]=0,"--",BW280*$BY$3)</f>
        <v>--</v>
      </c>
      <c r="CA280" s="89">
        <f>IF(Table645[[#This Row],[Column78]]="--",0,Table645[[#This Row],[Column4]]*Table645[[#This Row],[Column78]])</f>
        <v>0</v>
      </c>
      <c r="CB280" s="95" t="s">
        <v>70</v>
      </c>
      <c r="CC280" s="91" t="str">
        <f>IF(Table645[[#This Row],[Column10]]+Table645[[#This Row],[Column74]]=0,"--",J280*$CB$4*$CB$5/(24*60)+IF(Table645[[#This Row],[Column74]]=0,0,$CB$3*Table645[[#This Row],[Column75]]))</f>
        <v>--</v>
      </c>
      <c r="CD280" s="92">
        <f>IF(Table645[[#This Row],[Column81]]="--",0,Table645[[#This Row],[Column4]]*Table645[[#This Row],[Column81]])</f>
        <v>0</v>
      </c>
      <c r="CE280" s="215"/>
      <c r="CF280" s="91" t="str">
        <f t="shared" si="149"/>
        <v>--</v>
      </c>
      <c r="CG280" s="92">
        <f>IF(Table645[[#This Row],[Column84]]="--",0,Table645[[#This Row],[Column4]]*Table645[[#This Row],[Column84]])</f>
        <v>0</v>
      </c>
      <c r="CH280" s="226"/>
      <c r="CI280" s="216"/>
      <c r="CJ280" s="91" t="str">
        <f>IF(CI280=0,"--",(Table645[[#This Row],[Column86]]*$CI$4*(IF(W280&lt;0.5001,1,IF(W280&lt;2.0001,2,3)))+CI280/$CI$3)/60/24)</f>
        <v>--</v>
      </c>
      <c r="CK280" s="92">
        <f>IF(Table645[[#This Row],[Column88]]="--",0,Table645[[#This Row],[Column4]]*Table645[[#This Row],[Column88]])</f>
        <v>0</v>
      </c>
      <c r="CL280" s="217"/>
      <c r="CM280" s="91" t="str">
        <f>IF(Table645[[#This Row],[Column87]]=0,"--",CJ280*$CL$3)</f>
        <v>--</v>
      </c>
      <c r="CN280" s="92">
        <f>IF(Table645[[#This Row],[Column91]]="--",0,Table645[[#This Row],[Column4]]*Table645[[#This Row],[Column91]])</f>
        <v>0</v>
      </c>
      <c r="CO280" s="217"/>
      <c r="CP280" s="91" t="str">
        <f>IF(Table645[[#This Row],[Column10]]+Table645[[#This Row],[Column87]]=0, "--", IF($D280="", 1, $D280) * IF($J280="", 1, $J280) * $CO$3 * $CO$4 * IF(Table645[[#This Row],[Column95]]="", 1, Table645[[#This Row],[Column95]]) / (24 * 60))</f>
        <v>--</v>
      </c>
      <c r="CQ280" s="164"/>
      <c r="CR280" s="92">
        <f>IF(Table645[[#This Row],[Column94]]="--",0,Table645[[#This Row],[Column4]]*Table645[[#This Row],[Column94]])</f>
        <v>0</v>
      </c>
      <c r="CS280" s="218" t="str">
        <f>IF(Table645[[#This Row],[Column87]]="","",Table645[[#This Row],[Column87]])</f>
        <v/>
      </c>
      <c r="CT280" s="91" t="str">
        <f>IF(Table645[[#This Row],[Column97]]="","--",Table645[[#This Row],[Column97]]/$CS$3/60/24)</f>
        <v>--</v>
      </c>
      <c r="CU280" s="92">
        <f>IF(Table645[[#This Row],[Column98]]="--",0,Table645[[#This Row],[Column4]]*Table645[[#This Row],[Column98]])</f>
        <v>0</v>
      </c>
      <c r="CV280" s="93"/>
      <c r="CW280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80" s="91" t="str">
        <f>IF(OR(Table645[[#This Row],[Column74]]&gt;0,Table645[[#This Row],[Column87]]&gt;0),(Table645[[#This Row],[Column73]]+Table645[[#This Row],[Column86]]+1)*$CW$3/60/24,"--")</f>
        <v>--</v>
      </c>
      <c r="CY280" s="92">
        <f>IF(Table645[[#This Row],[Column102]]="--",0,Table645[[#This Row],[Column4]]*Table645[[#This Row],[Column102]])</f>
        <v>0</v>
      </c>
      <c r="CZ280" s="158" t="str">
        <f t="shared" si="186"/>
        <v>--</v>
      </c>
      <c r="DA280" s="153"/>
      <c r="DB280" s="160">
        <f>IF(Table645[[#This Row],[Column104]]="--",0,Table645[[#This Row],[Column4]]*Table645[[#This Row],[Column104]])</f>
        <v>0</v>
      </c>
      <c r="DC280" s="219"/>
      <c r="DD280" s="220" t="str">
        <f>IF(DC280=0,"--",1/$DC$3*1000/(60*60*24)*Table645[[#This Row],[Column107]])</f>
        <v>--</v>
      </c>
      <c r="DE280" s="160">
        <f>IF(Table645[[#This Row],[Column108]]="--",0,Table645[[#This Row],[Column4]]*Table645[[#This Row],[Column108]])</f>
        <v>0</v>
      </c>
      <c r="DF280" s="101" t="s">
        <v>70</v>
      </c>
      <c r="DG280" s="91" t="str">
        <f t="shared" si="187"/>
        <v>--</v>
      </c>
      <c r="DH280" s="89">
        <f>IF(Table645[[#This Row],[Column111]]="--",0,Table645[[#This Row],[Column4]]*Table645[[#This Row],[Column111]])</f>
        <v>0</v>
      </c>
      <c r="DI280" s="96"/>
      <c r="DJ280" s="96"/>
      <c r="DK280" s="96"/>
      <c r="DL280" s="96"/>
      <c r="DM280" s="96"/>
      <c r="DN280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80" s="89">
        <f>IF(Table645[[#This Row],[Column118]]="--",0,Table645[[#This Row],[Column4]]*Table645[[#This Row],[Column118]])</f>
        <v>0</v>
      </c>
      <c r="DP280" s="96"/>
      <c r="DQ280" s="96"/>
      <c r="DR280" s="91" t="str">
        <f t="shared" si="188"/>
        <v>--</v>
      </c>
      <c r="DS280" s="89">
        <f>IF(Table645[[#This Row],[Column122]]="--",0,Table645[[#This Row],[Column4]]*Table645[[#This Row],[Column122]])</f>
        <v>0</v>
      </c>
      <c r="DT280" t="str">
        <f>IF(Table645[[#This Row],[Column125]]=0,"--",Table645[[#This Row],[Column125]]*Table645[[#This Row],[Column126]]*Table645[[#This Row],[Column127]]/1000000000)</f>
        <v>--</v>
      </c>
      <c r="DU280" s="53"/>
      <c r="DV280" s="53"/>
      <c r="DW280" s="53"/>
      <c r="DX280" s="91" t="str">
        <f t="shared" si="189"/>
        <v>--</v>
      </c>
      <c r="DY280" s="89">
        <f>IF(Table645[[#This Row],[Column128]]="--",0,Table645[[#This Row],[Column4]]*Table645[[#This Row],[Column128]])</f>
        <v>0</v>
      </c>
      <c r="EA280" s="89">
        <f>IF(Table645[[#This Row],[Column128]]="--",0,Table645[[#This Row],[Column4]]*Table645[[#This Row],[Column128]])</f>
        <v>0</v>
      </c>
      <c r="EC280" s="89">
        <f>IF(Table645[[#This Row],[Column128]]="--",0,Table645[[#This Row],[Column4]]*Table645[[#This Row],[Column128]])</f>
        <v>0</v>
      </c>
      <c r="EE280" s="89">
        <f>IF(Table645[[#This Row],[Column128]]="--",0,Table645[[#This Row],[Column4]]*Table645[[#This Row],[Column128]])</f>
        <v>0</v>
      </c>
      <c r="EG280" s="89">
        <f>IF(Table645[[#This Row],[Column128]]="--",0,Table645[[#This Row],[Column4]]*Table645[[#This Row],[Column128]])</f>
        <v>0</v>
      </c>
      <c r="EI280" s="89">
        <f>IF(Table645[[#This Row],[Column128]]="--",0,Table645[[#This Row],[Column4]]*Table645[[#This Row],[Column128]])</f>
        <v>0</v>
      </c>
    </row>
    <row r="281" spans="1:139" x14ac:dyDescent="0.25">
      <c r="A281" s="140"/>
      <c r="B281" s="79"/>
      <c r="C281" s="140"/>
      <c r="D281" s="167"/>
      <c r="E281" s="52"/>
      <c r="F281" s="81"/>
      <c r="G281" s="81"/>
      <c r="H281" s="102" t="str">
        <f t="shared" si="180"/>
        <v>--</v>
      </c>
      <c r="I281" s="100">
        <f>IF(Table645[[#This Row],[Column8]]="--",0,Table645[[#This Row],[Column4]]*Table645[[#This Row],[Column8]])</f>
        <v>0</v>
      </c>
      <c r="J281" s="169"/>
      <c r="K281" s="85">
        <f>Table645[[#This Row],[Column4]]*Table645[[#This Row],[Column10]]</f>
        <v>0</v>
      </c>
      <c r="L281" s="170" t="str">
        <f t="shared" si="181"/>
        <v>--</v>
      </c>
      <c r="M281" s="214">
        <f>IF(Table645[[#This Row],[Column10]]=0,0,Table645[[#This Row],[Column4]]*Table645[[#This Row],[Column12]])</f>
        <v>0</v>
      </c>
      <c r="N281" s="87" t="str">
        <f t="shared" si="182"/>
        <v>--</v>
      </c>
      <c r="O281" s="138"/>
      <c r="AZ281" s="89">
        <f>IF(Table645[[#This Row],[Column14]]="--",0,Table645[[#This Row],[Column4]]*Table645[[#This Row],[Column14]])</f>
        <v>0</v>
      </c>
      <c r="BA281" s="90"/>
      <c r="BB281" s="91" t="str">
        <f>IF(BA281=0,"--",BA281*$BA$3*IF(Table645[[#This Row],[Column5]]&lt;4.1,1,2)/60/24)</f>
        <v>--</v>
      </c>
      <c r="BC281" s="92">
        <f>IF(Table645[[#This Row],[Column54]]="--",0,Table645[[#This Row],[Column4]]*Table645[[#This Row],[Column54]])</f>
        <v>0</v>
      </c>
      <c r="BD281" s="119"/>
      <c r="BE281" s="119"/>
      <c r="BF281" s="119"/>
      <c r="BG281" s="91" t="str">
        <f>IF(BD281+Table645[[#This Row],[Column58]]=0,"--",(BD281*$BF$3*Table645[[#This Row],[Column57]]+Table645[[#This Row],[Column58]]*$BF$4)/60/24)</f>
        <v>--</v>
      </c>
      <c r="BH281" s="92">
        <f>IF(Table645[[#This Row],[Column59]]="--",0,Table645[[#This Row],[Column4]]*Table645[[#This Row],[Column59]])</f>
        <v>0</v>
      </c>
      <c r="BI281" s="119"/>
      <c r="BJ281" s="91" t="str">
        <f t="shared" si="148"/>
        <v>--</v>
      </c>
      <c r="BK281" s="92">
        <f>IF(Table645[[#This Row],[Column62]]="--",0,Table645[[#This Row],[Column4]]*Table645[[#This Row],[Column62]])</f>
        <v>0</v>
      </c>
      <c r="BL281" s="93"/>
      <c r="BM281" s="91" t="str">
        <f t="shared" si="183"/>
        <v>--</v>
      </c>
      <c r="BN281" s="89">
        <f>IF(Table645[[#This Row],[Column65]]="--",0,Table645[[#This Row],[Column4]]*Table645[[#This Row],[Column65]])</f>
        <v>0</v>
      </c>
      <c r="BO281" s="163"/>
      <c r="BP281" s="164" t="str">
        <f t="shared" si="184"/>
        <v>--</v>
      </c>
      <c r="BQ281" s="160">
        <f>IF(Table645[[#This Row],[Column68]]="--",0,Table645[[#This Row],[Column4]]*Table645[[#This Row],[Column68]])</f>
        <v>0</v>
      </c>
      <c r="BR281" s="94"/>
      <c r="BS281" s="91" t="str">
        <f t="shared" si="185"/>
        <v>--</v>
      </c>
      <c r="BT281" s="92">
        <f>IF(Table645[[#This Row],[Column71]]="--",0,Table645[[#This Row],[Column4]]*Table645[[#This Row],[Column71]])</f>
        <v>0</v>
      </c>
      <c r="BU281" s="44"/>
      <c r="BV281" s="90"/>
      <c r="BW281" s="91" t="str">
        <f>IF(BV281=0,"--",(Table645[[#This Row],[Column73]]*$BV$4*(IF(J281&lt;0.5001,1,IF(J281&lt;2.0001,2,3)))+BV281/$BV$3)/60/24)</f>
        <v>--</v>
      </c>
      <c r="BX281" s="92">
        <f>IF(Table645[[#This Row],[Column75]]="--",0,Table645[[#This Row],[Column4]]*Table645[[#This Row],[Column75]])</f>
        <v>0</v>
      </c>
      <c r="BY281" s="95" t="s">
        <v>70</v>
      </c>
      <c r="BZ281" s="91" t="str">
        <f>IF(Table645[[#This Row],[Column74]]=0,"--",BW281*$BY$3)</f>
        <v>--</v>
      </c>
      <c r="CA281" s="89">
        <f>IF(Table645[[#This Row],[Column78]]="--",0,Table645[[#This Row],[Column4]]*Table645[[#This Row],[Column78]])</f>
        <v>0</v>
      </c>
      <c r="CB281" s="95" t="s">
        <v>70</v>
      </c>
      <c r="CC281" s="91" t="str">
        <f>IF(Table645[[#This Row],[Column10]]+Table645[[#This Row],[Column74]]=0,"--",J281*$CB$4*$CB$5/(24*60)+IF(Table645[[#This Row],[Column74]]=0,0,$CB$3*Table645[[#This Row],[Column75]]))</f>
        <v>--</v>
      </c>
      <c r="CD281" s="92">
        <f>IF(Table645[[#This Row],[Column81]]="--",0,Table645[[#This Row],[Column4]]*Table645[[#This Row],[Column81]])</f>
        <v>0</v>
      </c>
      <c r="CE281" s="215"/>
      <c r="CF281" s="91" t="str">
        <f t="shared" si="149"/>
        <v>--</v>
      </c>
      <c r="CG281" s="92">
        <f>IF(Table645[[#This Row],[Column84]]="--",0,Table645[[#This Row],[Column4]]*Table645[[#This Row],[Column84]])</f>
        <v>0</v>
      </c>
      <c r="CH281" s="226"/>
      <c r="CI281" s="216"/>
      <c r="CJ281" s="91" t="str">
        <f>IF(CI281=0,"--",(Table645[[#This Row],[Column86]]*$CI$4*(IF(W281&lt;0.5001,1,IF(W281&lt;2.0001,2,3)))+CI281/$CI$3)/60/24)</f>
        <v>--</v>
      </c>
      <c r="CK281" s="92">
        <f>IF(Table645[[#This Row],[Column88]]="--",0,Table645[[#This Row],[Column4]]*Table645[[#This Row],[Column88]])</f>
        <v>0</v>
      </c>
      <c r="CL281" s="217"/>
      <c r="CM281" s="91" t="str">
        <f>IF(Table645[[#This Row],[Column87]]=0,"--",CJ281*$CL$3)</f>
        <v>--</v>
      </c>
      <c r="CN281" s="92">
        <f>IF(Table645[[#This Row],[Column91]]="--",0,Table645[[#This Row],[Column4]]*Table645[[#This Row],[Column91]])</f>
        <v>0</v>
      </c>
      <c r="CO281" s="217"/>
      <c r="CP281" s="91" t="str">
        <f>IF(Table645[[#This Row],[Column10]]+Table645[[#This Row],[Column87]]=0, "--", IF($D281="", 1, $D281) * IF($J281="", 1, $J281) * $CO$3 * $CO$4 * IF(Table645[[#This Row],[Column95]]="", 1, Table645[[#This Row],[Column95]]) / (24 * 60))</f>
        <v>--</v>
      </c>
      <c r="CQ281" s="164"/>
      <c r="CR281" s="92">
        <f>IF(Table645[[#This Row],[Column94]]="--",0,Table645[[#This Row],[Column4]]*Table645[[#This Row],[Column94]])</f>
        <v>0</v>
      </c>
      <c r="CS281" s="218" t="str">
        <f>IF(Table645[[#This Row],[Column87]]="","",Table645[[#This Row],[Column87]])</f>
        <v/>
      </c>
      <c r="CT281" s="91" t="str">
        <f>IF(Table645[[#This Row],[Column97]]="","--",Table645[[#This Row],[Column97]]/$CS$3/60/24)</f>
        <v>--</v>
      </c>
      <c r="CU281" s="92">
        <f>IF(Table645[[#This Row],[Column98]]="--",0,Table645[[#This Row],[Column4]]*Table645[[#This Row],[Column98]])</f>
        <v>0</v>
      </c>
      <c r="CV281" s="93"/>
      <c r="CW281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81" s="91" t="str">
        <f>IF(OR(Table645[[#This Row],[Column74]]&gt;0,Table645[[#This Row],[Column87]]&gt;0),(Table645[[#This Row],[Column73]]+Table645[[#This Row],[Column86]]+1)*$CW$3/60/24,"--")</f>
        <v>--</v>
      </c>
      <c r="CY281" s="92">
        <f>IF(Table645[[#This Row],[Column102]]="--",0,Table645[[#This Row],[Column4]]*Table645[[#This Row],[Column102]])</f>
        <v>0</v>
      </c>
      <c r="CZ281" s="158" t="str">
        <f t="shared" si="186"/>
        <v>--</v>
      </c>
      <c r="DA281" s="153"/>
      <c r="DB281" s="160">
        <f>IF(Table645[[#This Row],[Column104]]="--",0,Table645[[#This Row],[Column4]]*Table645[[#This Row],[Column104]])</f>
        <v>0</v>
      </c>
      <c r="DC281" s="219"/>
      <c r="DD281" s="220" t="str">
        <f>IF(DC281=0,"--",1/$DC$3*1000/(60*60*24)*Table645[[#This Row],[Column107]])</f>
        <v>--</v>
      </c>
      <c r="DE281" s="160">
        <f>IF(Table645[[#This Row],[Column108]]="--",0,Table645[[#This Row],[Column4]]*Table645[[#This Row],[Column108]])</f>
        <v>0</v>
      </c>
      <c r="DF281" s="101" t="s">
        <v>70</v>
      </c>
      <c r="DG281" s="91" t="str">
        <f t="shared" si="187"/>
        <v>--</v>
      </c>
      <c r="DH281" s="89">
        <f>IF(Table645[[#This Row],[Column111]]="--",0,Table645[[#This Row],[Column4]]*Table645[[#This Row],[Column111]])</f>
        <v>0</v>
      </c>
      <c r="DI281" s="96"/>
      <c r="DJ281" s="96"/>
      <c r="DK281" s="96"/>
      <c r="DL281" s="96"/>
      <c r="DM281" s="96"/>
      <c r="DN281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81" s="89">
        <f>IF(Table645[[#This Row],[Column118]]="--",0,Table645[[#This Row],[Column4]]*Table645[[#This Row],[Column118]])</f>
        <v>0</v>
      </c>
      <c r="DP281" s="96"/>
      <c r="DQ281" s="96"/>
      <c r="DR281" s="91" t="str">
        <f t="shared" si="188"/>
        <v>--</v>
      </c>
      <c r="DS281" s="89">
        <f>IF(Table645[[#This Row],[Column122]]="--",0,Table645[[#This Row],[Column4]]*Table645[[#This Row],[Column122]])</f>
        <v>0</v>
      </c>
      <c r="DT281" t="str">
        <f>IF(Table645[[#This Row],[Column125]]=0,"--",Table645[[#This Row],[Column125]]*Table645[[#This Row],[Column126]]*Table645[[#This Row],[Column127]]/1000000000)</f>
        <v>--</v>
      </c>
      <c r="DU281" s="53"/>
      <c r="DV281" s="53"/>
      <c r="DW281" s="53"/>
      <c r="DX281" s="91" t="str">
        <f t="shared" si="189"/>
        <v>--</v>
      </c>
      <c r="DY281" s="89">
        <f>IF(Table645[[#This Row],[Column128]]="--",0,Table645[[#This Row],[Column4]]*Table645[[#This Row],[Column128]])</f>
        <v>0</v>
      </c>
      <c r="EA281" s="89">
        <f>IF(Table645[[#This Row],[Column128]]="--",0,Table645[[#This Row],[Column4]]*Table645[[#This Row],[Column128]])</f>
        <v>0</v>
      </c>
      <c r="EC281" s="89">
        <f>IF(Table645[[#This Row],[Column128]]="--",0,Table645[[#This Row],[Column4]]*Table645[[#This Row],[Column128]])</f>
        <v>0</v>
      </c>
      <c r="EE281" s="89">
        <f>IF(Table645[[#This Row],[Column128]]="--",0,Table645[[#This Row],[Column4]]*Table645[[#This Row],[Column128]])</f>
        <v>0</v>
      </c>
      <c r="EG281" s="89">
        <f>IF(Table645[[#This Row],[Column128]]="--",0,Table645[[#This Row],[Column4]]*Table645[[#This Row],[Column128]])</f>
        <v>0</v>
      </c>
      <c r="EI281" s="89">
        <f>IF(Table645[[#This Row],[Column128]]="--",0,Table645[[#This Row],[Column4]]*Table645[[#This Row],[Column128]])</f>
        <v>0</v>
      </c>
    </row>
    <row r="282" spans="1:139" x14ac:dyDescent="0.25">
      <c r="A282" s="140"/>
      <c r="B282" s="79"/>
      <c r="C282" s="140"/>
      <c r="D282" s="167"/>
      <c r="E282" s="52"/>
      <c r="F282" s="81"/>
      <c r="G282" s="81"/>
      <c r="H282" s="102" t="str">
        <f t="shared" si="180"/>
        <v>--</v>
      </c>
      <c r="I282" s="100">
        <f>IF(Table645[[#This Row],[Column8]]="--",0,Table645[[#This Row],[Column4]]*Table645[[#This Row],[Column8]])</f>
        <v>0</v>
      </c>
      <c r="J282" s="169"/>
      <c r="K282" s="85">
        <f>Table645[[#This Row],[Column4]]*Table645[[#This Row],[Column10]]</f>
        <v>0</v>
      </c>
      <c r="L282" s="170" t="str">
        <f t="shared" si="181"/>
        <v>--</v>
      </c>
      <c r="M282" s="214">
        <f>IF(Table645[[#This Row],[Column10]]=0,0,Table645[[#This Row],[Column4]]*Table645[[#This Row],[Column12]])</f>
        <v>0</v>
      </c>
      <c r="N282" s="87" t="str">
        <f t="shared" si="182"/>
        <v>--</v>
      </c>
      <c r="O282" s="138"/>
      <c r="AZ282" s="89">
        <f>IF(Table645[[#This Row],[Column14]]="--",0,Table645[[#This Row],[Column4]]*Table645[[#This Row],[Column14]])</f>
        <v>0</v>
      </c>
      <c r="BA282" s="90"/>
      <c r="BB282" s="91" t="str">
        <f>IF(BA282=0,"--",BA282*$BA$3*IF(Table645[[#This Row],[Column5]]&lt;4.1,1,2)/60/24)</f>
        <v>--</v>
      </c>
      <c r="BC282" s="92">
        <f>IF(Table645[[#This Row],[Column54]]="--",0,Table645[[#This Row],[Column4]]*Table645[[#This Row],[Column54]])</f>
        <v>0</v>
      </c>
      <c r="BD282" s="119"/>
      <c r="BE282" s="119"/>
      <c r="BF282" s="119"/>
      <c r="BG282" s="91" t="str">
        <f>IF(BD282+Table645[[#This Row],[Column58]]=0,"--",(BD282*$BF$3*Table645[[#This Row],[Column57]]+Table645[[#This Row],[Column58]]*$BF$4)/60/24)</f>
        <v>--</v>
      </c>
      <c r="BH282" s="92">
        <f>IF(Table645[[#This Row],[Column59]]="--",0,Table645[[#This Row],[Column4]]*Table645[[#This Row],[Column59]])</f>
        <v>0</v>
      </c>
      <c r="BI282" s="119"/>
      <c r="BJ282" s="91" t="str">
        <f t="shared" si="148"/>
        <v>--</v>
      </c>
      <c r="BK282" s="92">
        <f>IF(Table645[[#This Row],[Column62]]="--",0,Table645[[#This Row],[Column4]]*Table645[[#This Row],[Column62]])</f>
        <v>0</v>
      </c>
      <c r="BL282" s="93"/>
      <c r="BM282" s="91" t="str">
        <f t="shared" si="183"/>
        <v>--</v>
      </c>
      <c r="BN282" s="89">
        <f>IF(Table645[[#This Row],[Column65]]="--",0,Table645[[#This Row],[Column4]]*Table645[[#This Row],[Column65]])</f>
        <v>0</v>
      </c>
      <c r="BO282" s="163"/>
      <c r="BP282" s="164" t="str">
        <f t="shared" si="184"/>
        <v>--</v>
      </c>
      <c r="BQ282" s="160">
        <f>IF(Table645[[#This Row],[Column68]]="--",0,Table645[[#This Row],[Column4]]*Table645[[#This Row],[Column68]])</f>
        <v>0</v>
      </c>
      <c r="BR282" s="94"/>
      <c r="BS282" s="91" t="str">
        <f t="shared" si="185"/>
        <v>--</v>
      </c>
      <c r="BT282" s="92">
        <f>IF(Table645[[#This Row],[Column71]]="--",0,Table645[[#This Row],[Column4]]*Table645[[#This Row],[Column71]])</f>
        <v>0</v>
      </c>
      <c r="BU282" s="44"/>
      <c r="BV282" s="90"/>
      <c r="BW282" s="91" t="str">
        <f>IF(BV282=0,"--",(Table645[[#This Row],[Column73]]*$BV$4*(IF(J282&lt;0.5001,1,IF(J282&lt;2.0001,2,3)))+BV282/$BV$3)/60/24)</f>
        <v>--</v>
      </c>
      <c r="BX282" s="92">
        <f>IF(Table645[[#This Row],[Column75]]="--",0,Table645[[#This Row],[Column4]]*Table645[[#This Row],[Column75]])</f>
        <v>0</v>
      </c>
      <c r="BY282" s="95" t="s">
        <v>70</v>
      </c>
      <c r="BZ282" s="91" t="str">
        <f>IF(Table645[[#This Row],[Column74]]=0,"--",BW282*$BY$3)</f>
        <v>--</v>
      </c>
      <c r="CA282" s="89">
        <f>IF(Table645[[#This Row],[Column78]]="--",0,Table645[[#This Row],[Column4]]*Table645[[#This Row],[Column78]])</f>
        <v>0</v>
      </c>
      <c r="CB282" s="95" t="s">
        <v>70</v>
      </c>
      <c r="CC282" s="91" t="str">
        <f>IF(Table645[[#This Row],[Column10]]+Table645[[#This Row],[Column74]]=0,"--",J282*$CB$4*$CB$5/(24*60)+IF(Table645[[#This Row],[Column74]]=0,0,$CB$3*Table645[[#This Row],[Column75]]))</f>
        <v>--</v>
      </c>
      <c r="CD282" s="92">
        <f>IF(Table645[[#This Row],[Column81]]="--",0,Table645[[#This Row],[Column4]]*Table645[[#This Row],[Column81]])</f>
        <v>0</v>
      </c>
      <c r="CE282" s="215"/>
      <c r="CF282" s="91" t="str">
        <f t="shared" si="149"/>
        <v>--</v>
      </c>
      <c r="CG282" s="92">
        <f>IF(Table645[[#This Row],[Column84]]="--",0,Table645[[#This Row],[Column4]]*Table645[[#This Row],[Column84]])</f>
        <v>0</v>
      </c>
      <c r="CH282" s="226"/>
      <c r="CI282" s="216"/>
      <c r="CJ282" s="91" t="str">
        <f>IF(CI282=0,"--",(Table645[[#This Row],[Column86]]*$CI$4*(IF(W282&lt;0.5001,1,IF(W282&lt;2.0001,2,3)))+CI282/$CI$3)/60/24)</f>
        <v>--</v>
      </c>
      <c r="CK282" s="92">
        <f>IF(Table645[[#This Row],[Column88]]="--",0,Table645[[#This Row],[Column4]]*Table645[[#This Row],[Column88]])</f>
        <v>0</v>
      </c>
      <c r="CL282" s="217"/>
      <c r="CM282" s="91" t="str">
        <f>IF(Table645[[#This Row],[Column87]]=0,"--",CJ282*$CL$3)</f>
        <v>--</v>
      </c>
      <c r="CN282" s="92">
        <f>IF(Table645[[#This Row],[Column91]]="--",0,Table645[[#This Row],[Column4]]*Table645[[#This Row],[Column91]])</f>
        <v>0</v>
      </c>
      <c r="CO282" s="217"/>
      <c r="CP282" s="91" t="str">
        <f>IF(Table645[[#This Row],[Column10]]+Table645[[#This Row],[Column87]]=0, "--", IF($D282="", 1, $D282) * IF($J282="", 1, $J282) * $CO$3 * $CO$4 * IF(Table645[[#This Row],[Column95]]="", 1, Table645[[#This Row],[Column95]]) / (24 * 60))</f>
        <v>--</v>
      </c>
      <c r="CQ282" s="164"/>
      <c r="CR282" s="92">
        <f>IF(Table645[[#This Row],[Column94]]="--",0,Table645[[#This Row],[Column4]]*Table645[[#This Row],[Column94]])</f>
        <v>0</v>
      </c>
      <c r="CS282" s="218" t="str">
        <f>IF(Table645[[#This Row],[Column87]]="","",Table645[[#This Row],[Column87]])</f>
        <v/>
      </c>
      <c r="CT282" s="91" t="str">
        <f>IF(Table645[[#This Row],[Column97]]="","--",Table645[[#This Row],[Column97]]/$CS$3/60/24)</f>
        <v>--</v>
      </c>
      <c r="CU282" s="92">
        <f>IF(Table645[[#This Row],[Column98]]="--",0,Table645[[#This Row],[Column4]]*Table645[[#This Row],[Column98]])</f>
        <v>0</v>
      </c>
      <c r="CV282" s="93"/>
      <c r="CW282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82" s="91" t="str">
        <f>IF(OR(Table645[[#This Row],[Column74]]&gt;0,Table645[[#This Row],[Column87]]&gt;0),(Table645[[#This Row],[Column73]]+Table645[[#This Row],[Column86]]+1)*$CW$3/60/24,"--")</f>
        <v>--</v>
      </c>
      <c r="CY282" s="92">
        <f>IF(Table645[[#This Row],[Column102]]="--",0,Table645[[#This Row],[Column4]]*Table645[[#This Row],[Column102]])</f>
        <v>0</v>
      </c>
      <c r="CZ282" s="158" t="str">
        <f t="shared" si="186"/>
        <v>--</v>
      </c>
      <c r="DA282" s="153"/>
      <c r="DB282" s="160">
        <f>IF(Table645[[#This Row],[Column104]]="--",0,Table645[[#This Row],[Column4]]*Table645[[#This Row],[Column104]])</f>
        <v>0</v>
      </c>
      <c r="DC282" s="219"/>
      <c r="DD282" s="220" t="str">
        <f>IF(DC282=0,"--",1/$DC$3*1000/(60*60*24)*Table645[[#This Row],[Column107]])</f>
        <v>--</v>
      </c>
      <c r="DE282" s="160">
        <f>IF(Table645[[#This Row],[Column108]]="--",0,Table645[[#This Row],[Column4]]*Table645[[#This Row],[Column108]])</f>
        <v>0</v>
      </c>
      <c r="DF282" s="101" t="s">
        <v>70</v>
      </c>
      <c r="DG282" s="91" t="str">
        <f t="shared" si="187"/>
        <v>--</v>
      </c>
      <c r="DH282" s="89">
        <f>IF(Table645[[#This Row],[Column111]]="--",0,Table645[[#This Row],[Column4]]*Table645[[#This Row],[Column111]])</f>
        <v>0</v>
      </c>
      <c r="DI282" s="96"/>
      <c r="DJ282" s="96"/>
      <c r="DK282" s="96"/>
      <c r="DL282" s="96"/>
      <c r="DM282" s="96"/>
      <c r="DN282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82" s="89">
        <f>IF(Table645[[#This Row],[Column118]]="--",0,Table645[[#This Row],[Column4]]*Table645[[#This Row],[Column118]])</f>
        <v>0</v>
      </c>
      <c r="DP282" s="96"/>
      <c r="DQ282" s="96"/>
      <c r="DR282" s="91" t="str">
        <f t="shared" si="188"/>
        <v>--</v>
      </c>
      <c r="DS282" s="89">
        <f>IF(Table645[[#This Row],[Column122]]="--",0,Table645[[#This Row],[Column4]]*Table645[[#This Row],[Column122]])</f>
        <v>0</v>
      </c>
      <c r="DT282" t="str">
        <f>IF(Table645[[#This Row],[Column125]]=0,"--",Table645[[#This Row],[Column125]]*Table645[[#This Row],[Column126]]*Table645[[#This Row],[Column127]]/1000000000)</f>
        <v>--</v>
      </c>
      <c r="DU282" s="53"/>
      <c r="DV282" s="53"/>
      <c r="DW282" s="53"/>
      <c r="DX282" s="91" t="str">
        <f t="shared" si="189"/>
        <v>--</v>
      </c>
      <c r="DY282" s="89">
        <f>IF(Table645[[#This Row],[Column128]]="--",0,Table645[[#This Row],[Column4]]*Table645[[#This Row],[Column128]])</f>
        <v>0</v>
      </c>
      <c r="EA282" s="89">
        <f>IF(Table645[[#This Row],[Column128]]="--",0,Table645[[#This Row],[Column4]]*Table645[[#This Row],[Column128]])</f>
        <v>0</v>
      </c>
      <c r="EC282" s="89">
        <f>IF(Table645[[#This Row],[Column128]]="--",0,Table645[[#This Row],[Column4]]*Table645[[#This Row],[Column128]])</f>
        <v>0</v>
      </c>
      <c r="EE282" s="89">
        <f>IF(Table645[[#This Row],[Column128]]="--",0,Table645[[#This Row],[Column4]]*Table645[[#This Row],[Column128]])</f>
        <v>0</v>
      </c>
      <c r="EG282" s="89">
        <f>IF(Table645[[#This Row],[Column128]]="--",0,Table645[[#This Row],[Column4]]*Table645[[#This Row],[Column128]])</f>
        <v>0</v>
      </c>
      <c r="EI282" s="89">
        <f>IF(Table645[[#This Row],[Column128]]="--",0,Table645[[#This Row],[Column4]]*Table645[[#This Row],[Column128]])</f>
        <v>0</v>
      </c>
    </row>
    <row r="283" spans="1:139" x14ac:dyDescent="0.25">
      <c r="A283" s="140"/>
      <c r="B283" s="79"/>
      <c r="C283" s="140"/>
      <c r="D283" s="167"/>
      <c r="E283" s="52"/>
      <c r="F283" s="81"/>
      <c r="G283" s="81"/>
      <c r="H283" s="102" t="str">
        <f t="shared" si="180"/>
        <v>--</v>
      </c>
      <c r="I283" s="100">
        <f>IF(Table645[[#This Row],[Column8]]="--",0,Table645[[#This Row],[Column4]]*Table645[[#This Row],[Column8]])</f>
        <v>0</v>
      </c>
      <c r="J283" s="169"/>
      <c r="K283" s="85">
        <f>Table645[[#This Row],[Column4]]*Table645[[#This Row],[Column10]]</f>
        <v>0</v>
      </c>
      <c r="L283" s="170" t="str">
        <f t="shared" si="181"/>
        <v>--</v>
      </c>
      <c r="M283" s="214">
        <f>IF(Table645[[#This Row],[Column10]]=0,0,Table645[[#This Row],[Column4]]*Table645[[#This Row],[Column12]])</f>
        <v>0</v>
      </c>
      <c r="N283" s="87" t="str">
        <f t="shared" si="182"/>
        <v>--</v>
      </c>
      <c r="O283" s="138"/>
      <c r="AZ283" s="89">
        <f>IF(Table645[[#This Row],[Column14]]="--",0,Table645[[#This Row],[Column4]]*Table645[[#This Row],[Column14]])</f>
        <v>0</v>
      </c>
      <c r="BA283" s="90"/>
      <c r="BB283" s="91" t="str">
        <f>IF(BA283=0,"--",BA283*$BA$3*IF(Table645[[#This Row],[Column5]]&lt;4.1,1,2)/60/24)</f>
        <v>--</v>
      </c>
      <c r="BC283" s="92">
        <f>IF(Table645[[#This Row],[Column54]]="--",0,Table645[[#This Row],[Column4]]*Table645[[#This Row],[Column54]])</f>
        <v>0</v>
      </c>
      <c r="BD283" s="119"/>
      <c r="BE283" s="119"/>
      <c r="BF283" s="119"/>
      <c r="BG283" s="91" t="str">
        <f>IF(BD283+Table645[[#This Row],[Column58]]=0,"--",(BD283*$BF$3*Table645[[#This Row],[Column57]]+Table645[[#This Row],[Column58]]*$BF$4)/60/24)</f>
        <v>--</v>
      </c>
      <c r="BH283" s="92">
        <f>IF(Table645[[#This Row],[Column59]]="--",0,Table645[[#This Row],[Column4]]*Table645[[#This Row],[Column59]])</f>
        <v>0</v>
      </c>
      <c r="BI283" s="119"/>
      <c r="BJ283" s="91" t="str">
        <f t="shared" si="148"/>
        <v>--</v>
      </c>
      <c r="BK283" s="92">
        <f>IF(Table645[[#This Row],[Column62]]="--",0,Table645[[#This Row],[Column4]]*Table645[[#This Row],[Column62]])</f>
        <v>0</v>
      </c>
      <c r="BL283" s="93"/>
      <c r="BM283" s="91" t="str">
        <f t="shared" si="183"/>
        <v>--</v>
      </c>
      <c r="BN283" s="89">
        <f>IF(Table645[[#This Row],[Column65]]="--",0,Table645[[#This Row],[Column4]]*Table645[[#This Row],[Column65]])</f>
        <v>0</v>
      </c>
      <c r="BO283" s="163"/>
      <c r="BP283" s="164" t="str">
        <f t="shared" si="184"/>
        <v>--</v>
      </c>
      <c r="BQ283" s="160">
        <f>IF(Table645[[#This Row],[Column68]]="--",0,Table645[[#This Row],[Column4]]*Table645[[#This Row],[Column68]])</f>
        <v>0</v>
      </c>
      <c r="BR283" s="94"/>
      <c r="BS283" s="91" t="str">
        <f t="shared" si="185"/>
        <v>--</v>
      </c>
      <c r="BT283" s="92">
        <f>IF(Table645[[#This Row],[Column71]]="--",0,Table645[[#This Row],[Column4]]*Table645[[#This Row],[Column71]])</f>
        <v>0</v>
      </c>
      <c r="BU283" s="44"/>
      <c r="BV283" s="90"/>
      <c r="BW283" s="91" t="str">
        <f>IF(BV283=0,"--",(Table645[[#This Row],[Column73]]*$BV$4*(IF(J283&lt;0.5001,1,IF(J283&lt;2.0001,2,3)))+BV283/$BV$3)/60/24)</f>
        <v>--</v>
      </c>
      <c r="BX283" s="92">
        <f>IF(Table645[[#This Row],[Column75]]="--",0,Table645[[#This Row],[Column4]]*Table645[[#This Row],[Column75]])</f>
        <v>0</v>
      </c>
      <c r="BY283" s="95" t="s">
        <v>70</v>
      </c>
      <c r="BZ283" s="91" t="str">
        <f>IF(Table645[[#This Row],[Column74]]=0,"--",BW283*$BY$3)</f>
        <v>--</v>
      </c>
      <c r="CA283" s="89">
        <f>IF(Table645[[#This Row],[Column78]]="--",0,Table645[[#This Row],[Column4]]*Table645[[#This Row],[Column78]])</f>
        <v>0</v>
      </c>
      <c r="CB283" s="95" t="s">
        <v>70</v>
      </c>
      <c r="CC283" s="91" t="str">
        <f>IF(Table645[[#This Row],[Column10]]+Table645[[#This Row],[Column74]]=0,"--",J283*$CB$4*$CB$5/(24*60)+IF(Table645[[#This Row],[Column74]]=0,0,$CB$3*Table645[[#This Row],[Column75]]))</f>
        <v>--</v>
      </c>
      <c r="CD283" s="92">
        <f>IF(Table645[[#This Row],[Column81]]="--",0,Table645[[#This Row],[Column4]]*Table645[[#This Row],[Column81]])</f>
        <v>0</v>
      </c>
      <c r="CE283" s="215"/>
      <c r="CF283" s="91" t="str">
        <f t="shared" si="149"/>
        <v>--</v>
      </c>
      <c r="CG283" s="92">
        <f>IF(Table645[[#This Row],[Column84]]="--",0,Table645[[#This Row],[Column4]]*Table645[[#This Row],[Column84]])</f>
        <v>0</v>
      </c>
      <c r="CH283" s="226"/>
      <c r="CI283" s="216"/>
      <c r="CJ283" s="91" t="str">
        <f>IF(CI283=0,"--",(Table645[[#This Row],[Column86]]*$CI$4*(IF(W283&lt;0.5001,1,IF(W283&lt;2.0001,2,3)))+CI283/$CI$3)/60/24)</f>
        <v>--</v>
      </c>
      <c r="CK283" s="92">
        <f>IF(Table645[[#This Row],[Column88]]="--",0,Table645[[#This Row],[Column4]]*Table645[[#This Row],[Column88]])</f>
        <v>0</v>
      </c>
      <c r="CL283" s="217"/>
      <c r="CM283" s="91" t="str">
        <f>IF(Table645[[#This Row],[Column87]]=0,"--",CJ283*$CL$3)</f>
        <v>--</v>
      </c>
      <c r="CN283" s="92">
        <f>IF(Table645[[#This Row],[Column91]]="--",0,Table645[[#This Row],[Column4]]*Table645[[#This Row],[Column91]])</f>
        <v>0</v>
      </c>
      <c r="CO283" s="217"/>
      <c r="CP283" s="91" t="str">
        <f>IF(Table645[[#This Row],[Column10]]+Table645[[#This Row],[Column87]]=0, "--", IF($D283="", 1, $D283) * IF($J283="", 1, $J283) * $CO$3 * $CO$4 * IF(Table645[[#This Row],[Column95]]="", 1, Table645[[#This Row],[Column95]]) / (24 * 60))</f>
        <v>--</v>
      </c>
      <c r="CQ283" s="164"/>
      <c r="CR283" s="92">
        <f>IF(Table645[[#This Row],[Column94]]="--",0,Table645[[#This Row],[Column4]]*Table645[[#This Row],[Column94]])</f>
        <v>0</v>
      </c>
      <c r="CS283" s="218" t="str">
        <f>IF(Table645[[#This Row],[Column87]]="","",Table645[[#This Row],[Column87]])</f>
        <v/>
      </c>
      <c r="CT283" s="91" t="str">
        <f>IF(Table645[[#This Row],[Column97]]="","--",Table645[[#This Row],[Column97]]/$CS$3/60/24)</f>
        <v>--</v>
      </c>
      <c r="CU283" s="92">
        <f>IF(Table645[[#This Row],[Column98]]="--",0,Table645[[#This Row],[Column4]]*Table645[[#This Row],[Column98]])</f>
        <v>0</v>
      </c>
      <c r="CV283" s="93"/>
      <c r="CW283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83" s="91" t="str">
        <f>IF(OR(Table645[[#This Row],[Column74]]&gt;0,Table645[[#This Row],[Column87]]&gt;0),(Table645[[#This Row],[Column73]]+Table645[[#This Row],[Column86]]+1)*$CW$3/60/24,"--")</f>
        <v>--</v>
      </c>
      <c r="CY283" s="92">
        <f>IF(Table645[[#This Row],[Column102]]="--",0,Table645[[#This Row],[Column4]]*Table645[[#This Row],[Column102]])</f>
        <v>0</v>
      </c>
      <c r="CZ283" s="158" t="str">
        <f t="shared" si="186"/>
        <v>--</v>
      </c>
      <c r="DA283" s="153"/>
      <c r="DB283" s="160">
        <f>IF(Table645[[#This Row],[Column104]]="--",0,Table645[[#This Row],[Column4]]*Table645[[#This Row],[Column104]])</f>
        <v>0</v>
      </c>
      <c r="DC283" s="219"/>
      <c r="DD283" s="220" t="str">
        <f>IF(DC283=0,"--",1/$DC$3*1000/(60*60*24)*Table645[[#This Row],[Column107]])</f>
        <v>--</v>
      </c>
      <c r="DE283" s="160">
        <f>IF(Table645[[#This Row],[Column108]]="--",0,Table645[[#This Row],[Column4]]*Table645[[#This Row],[Column108]])</f>
        <v>0</v>
      </c>
      <c r="DF283" s="101" t="s">
        <v>70</v>
      </c>
      <c r="DG283" s="91" t="str">
        <f t="shared" si="187"/>
        <v>--</v>
      </c>
      <c r="DH283" s="89">
        <f>IF(Table645[[#This Row],[Column111]]="--",0,Table645[[#This Row],[Column4]]*Table645[[#This Row],[Column111]])</f>
        <v>0</v>
      </c>
      <c r="DI283" s="96"/>
      <c r="DJ283" s="96"/>
      <c r="DK283" s="96"/>
      <c r="DL283" s="96"/>
      <c r="DM283" s="96"/>
      <c r="DN283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83" s="89">
        <f>IF(Table645[[#This Row],[Column118]]="--",0,Table645[[#This Row],[Column4]]*Table645[[#This Row],[Column118]])</f>
        <v>0</v>
      </c>
      <c r="DP283" s="96"/>
      <c r="DQ283" s="96"/>
      <c r="DR283" s="91" t="str">
        <f t="shared" si="188"/>
        <v>--</v>
      </c>
      <c r="DS283" s="89">
        <f>IF(Table645[[#This Row],[Column122]]="--",0,Table645[[#This Row],[Column4]]*Table645[[#This Row],[Column122]])</f>
        <v>0</v>
      </c>
      <c r="DT283" t="str">
        <f>IF(Table645[[#This Row],[Column125]]=0,"--",Table645[[#This Row],[Column125]]*Table645[[#This Row],[Column126]]*Table645[[#This Row],[Column127]]/1000000000)</f>
        <v>--</v>
      </c>
      <c r="DU283" s="53"/>
      <c r="DV283" s="53"/>
      <c r="DW283" s="53"/>
      <c r="DX283" s="91" t="str">
        <f t="shared" si="189"/>
        <v>--</v>
      </c>
      <c r="DY283" s="89">
        <f>IF(Table645[[#This Row],[Column128]]="--",0,Table645[[#This Row],[Column4]]*Table645[[#This Row],[Column128]])</f>
        <v>0</v>
      </c>
      <c r="EA283" s="89">
        <f>IF(Table645[[#This Row],[Column128]]="--",0,Table645[[#This Row],[Column4]]*Table645[[#This Row],[Column128]])</f>
        <v>0</v>
      </c>
      <c r="EC283" s="89">
        <f>IF(Table645[[#This Row],[Column128]]="--",0,Table645[[#This Row],[Column4]]*Table645[[#This Row],[Column128]])</f>
        <v>0</v>
      </c>
      <c r="EE283" s="89">
        <f>IF(Table645[[#This Row],[Column128]]="--",0,Table645[[#This Row],[Column4]]*Table645[[#This Row],[Column128]])</f>
        <v>0</v>
      </c>
      <c r="EG283" s="89">
        <f>IF(Table645[[#This Row],[Column128]]="--",0,Table645[[#This Row],[Column4]]*Table645[[#This Row],[Column128]])</f>
        <v>0</v>
      </c>
      <c r="EI283" s="89">
        <f>IF(Table645[[#This Row],[Column128]]="--",0,Table645[[#This Row],[Column4]]*Table645[[#This Row],[Column128]])</f>
        <v>0</v>
      </c>
    </row>
    <row r="284" spans="1:139" x14ac:dyDescent="0.25">
      <c r="A284" s="140"/>
      <c r="B284" s="79"/>
      <c r="C284" s="140"/>
      <c r="D284" s="167"/>
      <c r="E284" s="52"/>
      <c r="F284" s="81"/>
      <c r="G284" s="81"/>
      <c r="H284" s="102" t="str">
        <f t="shared" si="180"/>
        <v>--</v>
      </c>
      <c r="I284" s="100">
        <f>IF(Table645[[#This Row],[Column8]]="--",0,Table645[[#This Row],[Column4]]*Table645[[#This Row],[Column8]])</f>
        <v>0</v>
      </c>
      <c r="J284" s="169"/>
      <c r="K284" s="85">
        <f>Table645[[#This Row],[Column4]]*Table645[[#This Row],[Column10]]</f>
        <v>0</v>
      </c>
      <c r="L284" s="170" t="str">
        <f t="shared" si="181"/>
        <v>--</v>
      </c>
      <c r="M284" s="214">
        <f>IF(Table645[[#This Row],[Column10]]=0,0,Table645[[#This Row],[Column4]]*Table645[[#This Row],[Column12]])</f>
        <v>0</v>
      </c>
      <c r="N284" s="87" t="str">
        <f t="shared" si="182"/>
        <v>--</v>
      </c>
      <c r="O284" s="138"/>
      <c r="AZ284" s="89">
        <f>IF(Table645[[#This Row],[Column14]]="--",0,Table645[[#This Row],[Column4]]*Table645[[#This Row],[Column14]])</f>
        <v>0</v>
      </c>
      <c r="BA284" s="90"/>
      <c r="BB284" s="91" t="str">
        <f>IF(BA284=0,"--",BA284*$BA$3*IF(Table645[[#This Row],[Column5]]&lt;4.1,1,2)/60/24)</f>
        <v>--</v>
      </c>
      <c r="BC284" s="92">
        <f>IF(Table645[[#This Row],[Column54]]="--",0,Table645[[#This Row],[Column4]]*Table645[[#This Row],[Column54]])</f>
        <v>0</v>
      </c>
      <c r="BD284" s="119"/>
      <c r="BE284" s="119"/>
      <c r="BF284" s="119"/>
      <c r="BG284" s="91" t="str">
        <f>IF(BD284+Table645[[#This Row],[Column58]]=0,"--",(BD284*$BF$3*Table645[[#This Row],[Column57]]+Table645[[#This Row],[Column58]]*$BF$4)/60/24)</f>
        <v>--</v>
      </c>
      <c r="BH284" s="92">
        <f>IF(Table645[[#This Row],[Column59]]="--",0,Table645[[#This Row],[Column4]]*Table645[[#This Row],[Column59]])</f>
        <v>0</v>
      </c>
      <c r="BI284" s="119"/>
      <c r="BJ284" s="91" t="str">
        <f t="shared" si="148"/>
        <v>--</v>
      </c>
      <c r="BK284" s="92">
        <f>IF(Table645[[#This Row],[Column62]]="--",0,Table645[[#This Row],[Column4]]*Table645[[#This Row],[Column62]])</f>
        <v>0</v>
      </c>
      <c r="BL284" s="93"/>
      <c r="BM284" s="91" t="str">
        <f t="shared" si="183"/>
        <v>--</v>
      </c>
      <c r="BN284" s="89">
        <f>IF(Table645[[#This Row],[Column65]]="--",0,Table645[[#This Row],[Column4]]*Table645[[#This Row],[Column65]])</f>
        <v>0</v>
      </c>
      <c r="BO284" s="163"/>
      <c r="BP284" s="164" t="str">
        <f t="shared" si="184"/>
        <v>--</v>
      </c>
      <c r="BQ284" s="160">
        <f>IF(Table645[[#This Row],[Column68]]="--",0,Table645[[#This Row],[Column4]]*Table645[[#This Row],[Column68]])</f>
        <v>0</v>
      </c>
      <c r="BR284" s="94"/>
      <c r="BS284" s="91" t="str">
        <f t="shared" si="185"/>
        <v>--</v>
      </c>
      <c r="BT284" s="92">
        <f>IF(Table645[[#This Row],[Column71]]="--",0,Table645[[#This Row],[Column4]]*Table645[[#This Row],[Column71]])</f>
        <v>0</v>
      </c>
      <c r="BU284" s="44"/>
      <c r="BV284" s="90"/>
      <c r="BW284" s="91" t="str">
        <f>IF(BV284=0,"--",(Table645[[#This Row],[Column73]]*$BV$4*(IF(J284&lt;0.5001,1,IF(J284&lt;2.0001,2,3)))+BV284/$BV$3)/60/24)</f>
        <v>--</v>
      </c>
      <c r="BX284" s="92">
        <f>IF(Table645[[#This Row],[Column75]]="--",0,Table645[[#This Row],[Column4]]*Table645[[#This Row],[Column75]])</f>
        <v>0</v>
      </c>
      <c r="BY284" s="95" t="s">
        <v>70</v>
      </c>
      <c r="BZ284" s="91" t="str">
        <f>IF(Table645[[#This Row],[Column74]]=0,"--",BW284*$BY$3)</f>
        <v>--</v>
      </c>
      <c r="CA284" s="89">
        <f>IF(Table645[[#This Row],[Column78]]="--",0,Table645[[#This Row],[Column4]]*Table645[[#This Row],[Column78]])</f>
        <v>0</v>
      </c>
      <c r="CB284" s="95" t="s">
        <v>70</v>
      </c>
      <c r="CC284" s="91" t="str">
        <f>IF(Table645[[#This Row],[Column10]]+Table645[[#This Row],[Column74]]=0,"--",J284*$CB$4*$CB$5/(24*60)+IF(Table645[[#This Row],[Column74]]=0,0,$CB$3*Table645[[#This Row],[Column75]]))</f>
        <v>--</v>
      </c>
      <c r="CD284" s="92">
        <f>IF(Table645[[#This Row],[Column81]]="--",0,Table645[[#This Row],[Column4]]*Table645[[#This Row],[Column81]])</f>
        <v>0</v>
      </c>
      <c r="CE284" s="215"/>
      <c r="CF284" s="91" t="str">
        <f t="shared" si="149"/>
        <v>--</v>
      </c>
      <c r="CG284" s="92">
        <f>IF(Table645[[#This Row],[Column84]]="--",0,Table645[[#This Row],[Column4]]*Table645[[#This Row],[Column84]])</f>
        <v>0</v>
      </c>
      <c r="CH284" s="226"/>
      <c r="CI284" s="216"/>
      <c r="CJ284" s="91" t="str">
        <f>IF(CI284=0,"--",(Table645[[#This Row],[Column86]]*$CI$4*(IF(W284&lt;0.5001,1,IF(W284&lt;2.0001,2,3)))+CI284/$CI$3)/60/24)</f>
        <v>--</v>
      </c>
      <c r="CK284" s="92">
        <f>IF(Table645[[#This Row],[Column88]]="--",0,Table645[[#This Row],[Column4]]*Table645[[#This Row],[Column88]])</f>
        <v>0</v>
      </c>
      <c r="CL284" s="217"/>
      <c r="CM284" s="91" t="str">
        <f>IF(Table645[[#This Row],[Column87]]=0,"--",CJ284*$CL$3)</f>
        <v>--</v>
      </c>
      <c r="CN284" s="92">
        <f>IF(Table645[[#This Row],[Column91]]="--",0,Table645[[#This Row],[Column4]]*Table645[[#This Row],[Column91]])</f>
        <v>0</v>
      </c>
      <c r="CO284" s="217"/>
      <c r="CP284" s="91" t="str">
        <f>IF(Table645[[#This Row],[Column10]]+Table645[[#This Row],[Column87]]=0, "--", IF($D284="", 1, $D284) * IF($J284="", 1, $J284) * $CO$3 * $CO$4 * IF(Table645[[#This Row],[Column95]]="", 1, Table645[[#This Row],[Column95]]) / (24 * 60))</f>
        <v>--</v>
      </c>
      <c r="CQ284" s="164"/>
      <c r="CR284" s="92">
        <f>IF(Table645[[#This Row],[Column94]]="--",0,Table645[[#This Row],[Column4]]*Table645[[#This Row],[Column94]])</f>
        <v>0</v>
      </c>
      <c r="CS284" s="218" t="str">
        <f>IF(Table645[[#This Row],[Column87]]="","",Table645[[#This Row],[Column87]])</f>
        <v/>
      </c>
      <c r="CT284" s="91" t="str">
        <f>IF(Table645[[#This Row],[Column97]]="","--",Table645[[#This Row],[Column97]]/$CS$3/60/24)</f>
        <v>--</v>
      </c>
      <c r="CU284" s="92">
        <f>IF(Table645[[#This Row],[Column98]]="--",0,Table645[[#This Row],[Column4]]*Table645[[#This Row],[Column98]])</f>
        <v>0</v>
      </c>
      <c r="CV284" s="93"/>
      <c r="CW284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84" s="91" t="str">
        <f>IF(OR(Table645[[#This Row],[Column74]]&gt;0,Table645[[#This Row],[Column87]]&gt;0),(Table645[[#This Row],[Column73]]+Table645[[#This Row],[Column86]]+1)*$CW$3/60/24,"--")</f>
        <v>--</v>
      </c>
      <c r="CY284" s="92">
        <f>IF(Table645[[#This Row],[Column102]]="--",0,Table645[[#This Row],[Column4]]*Table645[[#This Row],[Column102]])</f>
        <v>0</v>
      </c>
      <c r="CZ284" s="158" t="str">
        <f t="shared" si="186"/>
        <v>--</v>
      </c>
      <c r="DA284" s="153"/>
      <c r="DB284" s="160">
        <f>IF(Table645[[#This Row],[Column104]]="--",0,Table645[[#This Row],[Column4]]*Table645[[#This Row],[Column104]])</f>
        <v>0</v>
      </c>
      <c r="DC284" s="219"/>
      <c r="DD284" s="220" t="str">
        <f>IF(DC284=0,"--",1/$DC$3*1000/(60*60*24)*Table645[[#This Row],[Column107]])</f>
        <v>--</v>
      </c>
      <c r="DE284" s="160">
        <f>IF(Table645[[#This Row],[Column108]]="--",0,Table645[[#This Row],[Column4]]*Table645[[#This Row],[Column108]])</f>
        <v>0</v>
      </c>
      <c r="DF284" s="101" t="s">
        <v>70</v>
      </c>
      <c r="DG284" s="91" t="str">
        <f t="shared" si="187"/>
        <v>--</v>
      </c>
      <c r="DH284" s="89">
        <f>IF(Table645[[#This Row],[Column111]]="--",0,Table645[[#This Row],[Column4]]*Table645[[#This Row],[Column111]])</f>
        <v>0</v>
      </c>
      <c r="DI284" s="96"/>
      <c r="DJ284" s="96"/>
      <c r="DK284" s="96"/>
      <c r="DL284" s="96"/>
      <c r="DM284" s="96"/>
      <c r="DN284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84" s="89">
        <f>IF(Table645[[#This Row],[Column118]]="--",0,Table645[[#This Row],[Column4]]*Table645[[#This Row],[Column118]])</f>
        <v>0</v>
      </c>
      <c r="DP284" s="96"/>
      <c r="DQ284" s="96"/>
      <c r="DR284" s="91" t="str">
        <f t="shared" si="188"/>
        <v>--</v>
      </c>
      <c r="DS284" s="89">
        <f>IF(Table645[[#This Row],[Column122]]="--",0,Table645[[#This Row],[Column4]]*Table645[[#This Row],[Column122]])</f>
        <v>0</v>
      </c>
      <c r="DT284" t="str">
        <f>IF(Table645[[#This Row],[Column125]]=0,"--",Table645[[#This Row],[Column125]]*Table645[[#This Row],[Column126]]*Table645[[#This Row],[Column127]]/1000000000)</f>
        <v>--</v>
      </c>
      <c r="DU284" s="53"/>
      <c r="DV284" s="53"/>
      <c r="DW284" s="53"/>
      <c r="DX284" s="91" t="str">
        <f t="shared" si="189"/>
        <v>--</v>
      </c>
      <c r="DY284" s="89">
        <f>IF(Table645[[#This Row],[Column128]]="--",0,Table645[[#This Row],[Column4]]*Table645[[#This Row],[Column128]])</f>
        <v>0</v>
      </c>
      <c r="EA284" s="89">
        <f>IF(Table645[[#This Row],[Column128]]="--",0,Table645[[#This Row],[Column4]]*Table645[[#This Row],[Column128]])</f>
        <v>0</v>
      </c>
      <c r="EC284" s="89">
        <f>IF(Table645[[#This Row],[Column128]]="--",0,Table645[[#This Row],[Column4]]*Table645[[#This Row],[Column128]])</f>
        <v>0</v>
      </c>
      <c r="EE284" s="89">
        <f>IF(Table645[[#This Row],[Column128]]="--",0,Table645[[#This Row],[Column4]]*Table645[[#This Row],[Column128]])</f>
        <v>0</v>
      </c>
      <c r="EG284" s="89">
        <f>IF(Table645[[#This Row],[Column128]]="--",0,Table645[[#This Row],[Column4]]*Table645[[#This Row],[Column128]])</f>
        <v>0</v>
      </c>
      <c r="EI284" s="89">
        <f>IF(Table645[[#This Row],[Column128]]="--",0,Table645[[#This Row],[Column4]]*Table645[[#This Row],[Column128]])</f>
        <v>0</v>
      </c>
    </row>
    <row r="285" spans="1:139" x14ac:dyDescent="0.25">
      <c r="A285" s="140"/>
      <c r="B285" s="79"/>
      <c r="C285" s="140"/>
      <c r="D285" s="167"/>
      <c r="E285" s="52"/>
      <c r="F285" s="81"/>
      <c r="G285" s="81"/>
      <c r="H285" s="102" t="str">
        <f t="shared" si="180"/>
        <v>--</v>
      </c>
      <c r="I285" s="100">
        <f>IF(Table645[[#This Row],[Column8]]="--",0,Table645[[#This Row],[Column4]]*Table645[[#This Row],[Column8]])</f>
        <v>0</v>
      </c>
      <c r="J285" s="169"/>
      <c r="K285" s="85">
        <f>Table645[[#This Row],[Column4]]*Table645[[#This Row],[Column10]]</f>
        <v>0</v>
      </c>
      <c r="L285" s="170" t="str">
        <f t="shared" si="181"/>
        <v>--</v>
      </c>
      <c r="M285" s="214">
        <f>IF(Table645[[#This Row],[Column10]]=0,0,Table645[[#This Row],[Column4]]*Table645[[#This Row],[Column12]])</f>
        <v>0</v>
      </c>
      <c r="N285" s="87" t="str">
        <f t="shared" si="182"/>
        <v>--</v>
      </c>
      <c r="O285" s="138"/>
      <c r="AZ285" s="89">
        <f>IF(Table645[[#This Row],[Column14]]="--",0,Table645[[#This Row],[Column4]]*Table645[[#This Row],[Column14]])</f>
        <v>0</v>
      </c>
      <c r="BA285" s="90"/>
      <c r="BB285" s="91" t="str">
        <f>IF(BA285=0,"--",BA285*$BA$3*IF(Table645[[#This Row],[Column5]]&lt;4.1,1,2)/60/24)</f>
        <v>--</v>
      </c>
      <c r="BC285" s="92">
        <f>IF(Table645[[#This Row],[Column54]]="--",0,Table645[[#This Row],[Column4]]*Table645[[#This Row],[Column54]])</f>
        <v>0</v>
      </c>
      <c r="BD285" s="119"/>
      <c r="BE285" s="119"/>
      <c r="BF285" s="119"/>
      <c r="BG285" s="91" t="str">
        <f>IF(BD285+Table645[[#This Row],[Column58]]=0,"--",(BD285*$BF$3*Table645[[#This Row],[Column57]]+Table645[[#This Row],[Column58]]*$BF$4)/60/24)</f>
        <v>--</v>
      </c>
      <c r="BH285" s="92">
        <f>IF(Table645[[#This Row],[Column59]]="--",0,Table645[[#This Row],[Column4]]*Table645[[#This Row],[Column59]])</f>
        <v>0</v>
      </c>
      <c r="BI285" s="119"/>
      <c r="BJ285" s="91" t="str">
        <f t="shared" si="148"/>
        <v>--</v>
      </c>
      <c r="BK285" s="92">
        <f>IF(Table645[[#This Row],[Column62]]="--",0,Table645[[#This Row],[Column4]]*Table645[[#This Row],[Column62]])</f>
        <v>0</v>
      </c>
      <c r="BL285" s="93"/>
      <c r="BM285" s="91" t="str">
        <f t="shared" si="183"/>
        <v>--</v>
      </c>
      <c r="BN285" s="89">
        <f>IF(Table645[[#This Row],[Column65]]="--",0,Table645[[#This Row],[Column4]]*Table645[[#This Row],[Column65]])</f>
        <v>0</v>
      </c>
      <c r="BO285" s="163"/>
      <c r="BP285" s="164" t="str">
        <f t="shared" si="184"/>
        <v>--</v>
      </c>
      <c r="BQ285" s="160">
        <f>IF(Table645[[#This Row],[Column68]]="--",0,Table645[[#This Row],[Column4]]*Table645[[#This Row],[Column68]])</f>
        <v>0</v>
      </c>
      <c r="BR285" s="94"/>
      <c r="BS285" s="91" t="str">
        <f t="shared" si="185"/>
        <v>--</v>
      </c>
      <c r="BT285" s="92">
        <f>IF(Table645[[#This Row],[Column71]]="--",0,Table645[[#This Row],[Column4]]*Table645[[#This Row],[Column71]])</f>
        <v>0</v>
      </c>
      <c r="BU285" s="44"/>
      <c r="BV285" s="90"/>
      <c r="BW285" s="91" t="str">
        <f>IF(BV285=0,"--",(Table645[[#This Row],[Column73]]*$BV$4*(IF(J285&lt;0.5001,1,IF(J285&lt;2.0001,2,3)))+BV285/$BV$3)/60/24)</f>
        <v>--</v>
      </c>
      <c r="BX285" s="92">
        <f>IF(Table645[[#This Row],[Column75]]="--",0,Table645[[#This Row],[Column4]]*Table645[[#This Row],[Column75]])</f>
        <v>0</v>
      </c>
      <c r="BY285" s="95" t="s">
        <v>70</v>
      </c>
      <c r="BZ285" s="91" t="str">
        <f>IF(Table645[[#This Row],[Column74]]=0,"--",BW285*$BY$3)</f>
        <v>--</v>
      </c>
      <c r="CA285" s="89">
        <f>IF(Table645[[#This Row],[Column78]]="--",0,Table645[[#This Row],[Column4]]*Table645[[#This Row],[Column78]])</f>
        <v>0</v>
      </c>
      <c r="CB285" s="95" t="s">
        <v>70</v>
      </c>
      <c r="CC285" s="91" t="str">
        <f>IF(Table645[[#This Row],[Column10]]+Table645[[#This Row],[Column74]]=0,"--",J285*$CB$4*$CB$5/(24*60)+IF(Table645[[#This Row],[Column74]]=0,0,$CB$3*Table645[[#This Row],[Column75]]))</f>
        <v>--</v>
      </c>
      <c r="CD285" s="92">
        <f>IF(Table645[[#This Row],[Column81]]="--",0,Table645[[#This Row],[Column4]]*Table645[[#This Row],[Column81]])</f>
        <v>0</v>
      </c>
      <c r="CE285" s="215"/>
      <c r="CF285" s="91" t="str">
        <f t="shared" si="149"/>
        <v>--</v>
      </c>
      <c r="CG285" s="92">
        <f>IF(Table645[[#This Row],[Column84]]="--",0,Table645[[#This Row],[Column4]]*Table645[[#This Row],[Column84]])</f>
        <v>0</v>
      </c>
      <c r="CH285" s="226"/>
      <c r="CI285" s="216"/>
      <c r="CJ285" s="91" t="str">
        <f>IF(CI285=0,"--",(Table645[[#This Row],[Column86]]*$CI$4*(IF(W285&lt;0.5001,1,IF(W285&lt;2.0001,2,3)))+CI285/$CI$3)/60/24)</f>
        <v>--</v>
      </c>
      <c r="CK285" s="92">
        <f>IF(Table645[[#This Row],[Column88]]="--",0,Table645[[#This Row],[Column4]]*Table645[[#This Row],[Column88]])</f>
        <v>0</v>
      </c>
      <c r="CL285" s="217"/>
      <c r="CM285" s="91" t="str">
        <f>IF(Table645[[#This Row],[Column87]]=0,"--",CJ285*$CL$3)</f>
        <v>--</v>
      </c>
      <c r="CN285" s="92">
        <f>IF(Table645[[#This Row],[Column91]]="--",0,Table645[[#This Row],[Column4]]*Table645[[#This Row],[Column91]])</f>
        <v>0</v>
      </c>
      <c r="CO285" s="217"/>
      <c r="CP285" s="91" t="str">
        <f>IF(Table645[[#This Row],[Column10]]+Table645[[#This Row],[Column87]]=0, "--", IF($D285="", 1, $D285) * IF($J285="", 1, $J285) * $CO$3 * $CO$4 * IF(Table645[[#This Row],[Column95]]="", 1, Table645[[#This Row],[Column95]]) / (24 * 60))</f>
        <v>--</v>
      </c>
      <c r="CQ285" s="164"/>
      <c r="CR285" s="92">
        <f>IF(Table645[[#This Row],[Column94]]="--",0,Table645[[#This Row],[Column4]]*Table645[[#This Row],[Column94]])</f>
        <v>0</v>
      </c>
      <c r="CS285" s="218" t="str">
        <f>IF(Table645[[#This Row],[Column87]]="","",Table645[[#This Row],[Column87]])</f>
        <v/>
      </c>
      <c r="CT285" s="91" t="str">
        <f>IF(Table645[[#This Row],[Column97]]="","--",Table645[[#This Row],[Column97]]/$CS$3/60/24)</f>
        <v>--</v>
      </c>
      <c r="CU285" s="92">
        <f>IF(Table645[[#This Row],[Column98]]="--",0,Table645[[#This Row],[Column4]]*Table645[[#This Row],[Column98]])</f>
        <v>0</v>
      </c>
      <c r="CV285" s="93"/>
      <c r="CW285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85" s="91" t="str">
        <f>IF(OR(Table645[[#This Row],[Column74]]&gt;0,Table645[[#This Row],[Column87]]&gt;0),(Table645[[#This Row],[Column73]]+Table645[[#This Row],[Column86]]+1)*$CW$3/60/24,"--")</f>
        <v>--</v>
      </c>
      <c r="CY285" s="92">
        <f>IF(Table645[[#This Row],[Column102]]="--",0,Table645[[#This Row],[Column4]]*Table645[[#This Row],[Column102]])</f>
        <v>0</v>
      </c>
      <c r="CZ285" s="158" t="str">
        <f t="shared" si="186"/>
        <v>--</v>
      </c>
      <c r="DA285" s="153"/>
      <c r="DB285" s="160">
        <f>IF(Table645[[#This Row],[Column104]]="--",0,Table645[[#This Row],[Column4]]*Table645[[#This Row],[Column104]])</f>
        <v>0</v>
      </c>
      <c r="DC285" s="219"/>
      <c r="DD285" s="220" t="str">
        <f>IF(DC285=0,"--",1/$DC$3*1000/(60*60*24)*Table645[[#This Row],[Column107]])</f>
        <v>--</v>
      </c>
      <c r="DE285" s="160">
        <f>IF(Table645[[#This Row],[Column108]]="--",0,Table645[[#This Row],[Column4]]*Table645[[#This Row],[Column108]])</f>
        <v>0</v>
      </c>
      <c r="DF285" s="101" t="s">
        <v>70</v>
      </c>
      <c r="DG285" s="91" t="str">
        <f t="shared" si="187"/>
        <v>--</v>
      </c>
      <c r="DH285" s="89">
        <f>IF(Table645[[#This Row],[Column111]]="--",0,Table645[[#This Row],[Column4]]*Table645[[#This Row],[Column111]])</f>
        <v>0</v>
      </c>
      <c r="DI285" s="96"/>
      <c r="DJ285" s="96"/>
      <c r="DK285" s="96"/>
      <c r="DL285" s="96"/>
      <c r="DM285" s="96"/>
      <c r="DN285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85" s="89">
        <f>IF(Table645[[#This Row],[Column118]]="--",0,Table645[[#This Row],[Column4]]*Table645[[#This Row],[Column118]])</f>
        <v>0</v>
      </c>
      <c r="DP285" s="96"/>
      <c r="DQ285" s="96"/>
      <c r="DR285" s="91" t="str">
        <f t="shared" si="188"/>
        <v>--</v>
      </c>
      <c r="DS285" s="89">
        <f>IF(Table645[[#This Row],[Column122]]="--",0,Table645[[#This Row],[Column4]]*Table645[[#This Row],[Column122]])</f>
        <v>0</v>
      </c>
      <c r="DT285" t="str">
        <f>IF(Table645[[#This Row],[Column125]]=0,"--",Table645[[#This Row],[Column125]]*Table645[[#This Row],[Column126]]*Table645[[#This Row],[Column127]]/1000000000)</f>
        <v>--</v>
      </c>
      <c r="DU285" s="53"/>
      <c r="DV285" s="53"/>
      <c r="DW285" s="53"/>
      <c r="DX285" s="91" t="str">
        <f t="shared" si="189"/>
        <v>--</v>
      </c>
      <c r="DY285" s="89">
        <f>IF(Table645[[#This Row],[Column128]]="--",0,Table645[[#This Row],[Column4]]*Table645[[#This Row],[Column128]])</f>
        <v>0</v>
      </c>
      <c r="EA285" s="89">
        <f>IF(Table645[[#This Row],[Column128]]="--",0,Table645[[#This Row],[Column4]]*Table645[[#This Row],[Column128]])</f>
        <v>0</v>
      </c>
      <c r="EC285" s="89">
        <f>IF(Table645[[#This Row],[Column128]]="--",0,Table645[[#This Row],[Column4]]*Table645[[#This Row],[Column128]])</f>
        <v>0</v>
      </c>
      <c r="EE285" s="89">
        <f>IF(Table645[[#This Row],[Column128]]="--",0,Table645[[#This Row],[Column4]]*Table645[[#This Row],[Column128]])</f>
        <v>0</v>
      </c>
      <c r="EG285" s="89">
        <f>IF(Table645[[#This Row],[Column128]]="--",0,Table645[[#This Row],[Column4]]*Table645[[#This Row],[Column128]])</f>
        <v>0</v>
      </c>
      <c r="EI285" s="89">
        <f>IF(Table645[[#This Row],[Column128]]="--",0,Table645[[#This Row],[Column4]]*Table645[[#This Row],[Column128]])</f>
        <v>0</v>
      </c>
    </row>
    <row r="286" spans="1:139" x14ac:dyDescent="0.25">
      <c r="A286" s="140"/>
      <c r="B286" s="79"/>
      <c r="C286" s="140"/>
      <c r="D286" s="167"/>
      <c r="E286" s="52"/>
      <c r="F286" s="81"/>
      <c r="G286" s="81"/>
      <c r="H286" s="102" t="str">
        <f t="shared" si="180"/>
        <v>--</v>
      </c>
      <c r="I286" s="100">
        <f>IF(Table645[[#This Row],[Column8]]="--",0,Table645[[#This Row],[Column4]]*Table645[[#This Row],[Column8]])</f>
        <v>0</v>
      </c>
      <c r="J286" s="169"/>
      <c r="K286" s="85">
        <f>Table645[[#This Row],[Column4]]*Table645[[#This Row],[Column10]]</f>
        <v>0</v>
      </c>
      <c r="L286" s="170" t="str">
        <f t="shared" si="181"/>
        <v>--</v>
      </c>
      <c r="M286" s="214">
        <f>IF(Table645[[#This Row],[Column10]]=0,0,Table645[[#This Row],[Column4]]*Table645[[#This Row],[Column12]])</f>
        <v>0</v>
      </c>
      <c r="N286" s="87" t="str">
        <f t="shared" si="182"/>
        <v>--</v>
      </c>
      <c r="O286" s="138"/>
      <c r="AZ286" s="89">
        <f>IF(Table645[[#This Row],[Column14]]="--",0,Table645[[#This Row],[Column4]]*Table645[[#This Row],[Column14]])</f>
        <v>0</v>
      </c>
      <c r="BA286" s="90"/>
      <c r="BB286" s="91" t="str">
        <f>IF(BA286=0,"--",BA286*$BA$3*IF(Table645[[#This Row],[Column5]]&lt;4.1,1,2)/60/24)</f>
        <v>--</v>
      </c>
      <c r="BC286" s="92">
        <f>IF(Table645[[#This Row],[Column54]]="--",0,Table645[[#This Row],[Column4]]*Table645[[#This Row],[Column54]])</f>
        <v>0</v>
      </c>
      <c r="BD286" s="119"/>
      <c r="BE286" s="119"/>
      <c r="BF286" s="119"/>
      <c r="BG286" s="91" t="str">
        <f>IF(BD286+Table645[[#This Row],[Column58]]=0,"--",(BD286*$BF$3*Table645[[#This Row],[Column57]]+Table645[[#This Row],[Column58]]*$BF$4)/60/24)</f>
        <v>--</v>
      </c>
      <c r="BH286" s="92">
        <f>IF(Table645[[#This Row],[Column59]]="--",0,Table645[[#This Row],[Column4]]*Table645[[#This Row],[Column59]])</f>
        <v>0</v>
      </c>
      <c r="BI286" s="119"/>
      <c r="BJ286" s="91" t="str">
        <f t="shared" si="148"/>
        <v>--</v>
      </c>
      <c r="BK286" s="92">
        <f>IF(Table645[[#This Row],[Column62]]="--",0,Table645[[#This Row],[Column4]]*Table645[[#This Row],[Column62]])</f>
        <v>0</v>
      </c>
      <c r="BL286" s="93"/>
      <c r="BM286" s="91" t="str">
        <f t="shared" si="183"/>
        <v>--</v>
      </c>
      <c r="BN286" s="89">
        <f>IF(Table645[[#This Row],[Column65]]="--",0,Table645[[#This Row],[Column4]]*Table645[[#This Row],[Column65]])</f>
        <v>0</v>
      </c>
      <c r="BO286" s="163"/>
      <c r="BP286" s="164" t="str">
        <f t="shared" si="184"/>
        <v>--</v>
      </c>
      <c r="BQ286" s="160">
        <f>IF(Table645[[#This Row],[Column68]]="--",0,Table645[[#This Row],[Column4]]*Table645[[#This Row],[Column68]])</f>
        <v>0</v>
      </c>
      <c r="BR286" s="94"/>
      <c r="BS286" s="91" t="str">
        <f t="shared" si="185"/>
        <v>--</v>
      </c>
      <c r="BT286" s="92">
        <f>IF(Table645[[#This Row],[Column71]]="--",0,Table645[[#This Row],[Column4]]*Table645[[#This Row],[Column71]])</f>
        <v>0</v>
      </c>
      <c r="BU286" s="44"/>
      <c r="BV286" s="90"/>
      <c r="BW286" s="91" t="str">
        <f>IF(BV286=0,"--",(Table645[[#This Row],[Column73]]*$BV$4*(IF(J286&lt;0.5001,1,IF(J286&lt;2.0001,2,3)))+BV286/$BV$3)/60/24)</f>
        <v>--</v>
      </c>
      <c r="BX286" s="92">
        <f>IF(Table645[[#This Row],[Column75]]="--",0,Table645[[#This Row],[Column4]]*Table645[[#This Row],[Column75]])</f>
        <v>0</v>
      </c>
      <c r="BY286" s="95" t="s">
        <v>70</v>
      </c>
      <c r="BZ286" s="91" t="str">
        <f>IF(Table645[[#This Row],[Column74]]=0,"--",BW286*$BY$3)</f>
        <v>--</v>
      </c>
      <c r="CA286" s="89">
        <f>IF(Table645[[#This Row],[Column78]]="--",0,Table645[[#This Row],[Column4]]*Table645[[#This Row],[Column78]])</f>
        <v>0</v>
      </c>
      <c r="CB286" s="95" t="s">
        <v>70</v>
      </c>
      <c r="CC286" s="91" t="str">
        <f>IF(Table645[[#This Row],[Column10]]+Table645[[#This Row],[Column74]]=0,"--",J286*$CB$4*$CB$5/(24*60)+IF(Table645[[#This Row],[Column74]]=0,0,$CB$3*Table645[[#This Row],[Column75]]))</f>
        <v>--</v>
      </c>
      <c r="CD286" s="92">
        <f>IF(Table645[[#This Row],[Column81]]="--",0,Table645[[#This Row],[Column4]]*Table645[[#This Row],[Column81]])</f>
        <v>0</v>
      </c>
      <c r="CE286" s="215"/>
      <c r="CF286" s="91" t="str">
        <f t="shared" si="149"/>
        <v>--</v>
      </c>
      <c r="CG286" s="92">
        <f>IF(Table645[[#This Row],[Column84]]="--",0,Table645[[#This Row],[Column4]]*Table645[[#This Row],[Column84]])</f>
        <v>0</v>
      </c>
      <c r="CH286" s="226"/>
      <c r="CI286" s="216"/>
      <c r="CJ286" s="91" t="str">
        <f>IF(CI286=0,"--",(Table645[[#This Row],[Column86]]*$CI$4*(IF(W286&lt;0.5001,1,IF(W286&lt;2.0001,2,3)))+CI286/$CI$3)/60/24)</f>
        <v>--</v>
      </c>
      <c r="CK286" s="92">
        <f>IF(Table645[[#This Row],[Column88]]="--",0,Table645[[#This Row],[Column4]]*Table645[[#This Row],[Column88]])</f>
        <v>0</v>
      </c>
      <c r="CL286" s="217"/>
      <c r="CM286" s="91" t="str">
        <f>IF(Table645[[#This Row],[Column87]]=0,"--",CJ286*$CL$3)</f>
        <v>--</v>
      </c>
      <c r="CN286" s="92">
        <f>IF(Table645[[#This Row],[Column91]]="--",0,Table645[[#This Row],[Column4]]*Table645[[#This Row],[Column91]])</f>
        <v>0</v>
      </c>
      <c r="CO286" s="217"/>
      <c r="CP286" s="91" t="str">
        <f>IF(Table645[[#This Row],[Column10]]+Table645[[#This Row],[Column87]]=0, "--", IF($D286="", 1, $D286) * IF($J286="", 1, $J286) * $CO$3 * $CO$4 * IF(Table645[[#This Row],[Column95]]="", 1, Table645[[#This Row],[Column95]]) / (24 * 60))</f>
        <v>--</v>
      </c>
      <c r="CQ286" s="164"/>
      <c r="CR286" s="92">
        <f>IF(Table645[[#This Row],[Column94]]="--",0,Table645[[#This Row],[Column4]]*Table645[[#This Row],[Column94]])</f>
        <v>0</v>
      </c>
      <c r="CS286" s="218" t="str">
        <f>IF(Table645[[#This Row],[Column87]]="","",Table645[[#This Row],[Column87]])</f>
        <v/>
      </c>
      <c r="CT286" s="91" t="str">
        <f>IF(Table645[[#This Row],[Column97]]="","--",Table645[[#This Row],[Column97]]/$CS$3/60/24)</f>
        <v>--</v>
      </c>
      <c r="CU286" s="92">
        <f>IF(Table645[[#This Row],[Column98]]="--",0,Table645[[#This Row],[Column4]]*Table645[[#This Row],[Column98]])</f>
        <v>0</v>
      </c>
      <c r="CV286" s="93"/>
      <c r="CW286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86" s="91" t="str">
        <f>IF(OR(Table645[[#This Row],[Column74]]&gt;0,Table645[[#This Row],[Column87]]&gt;0),(Table645[[#This Row],[Column73]]+Table645[[#This Row],[Column86]]+1)*$CW$3/60/24,"--")</f>
        <v>--</v>
      </c>
      <c r="CY286" s="92">
        <f>IF(Table645[[#This Row],[Column102]]="--",0,Table645[[#This Row],[Column4]]*Table645[[#This Row],[Column102]])</f>
        <v>0</v>
      </c>
      <c r="CZ286" s="158" t="str">
        <f t="shared" si="186"/>
        <v>--</v>
      </c>
      <c r="DA286" s="153"/>
      <c r="DB286" s="160">
        <f>IF(Table645[[#This Row],[Column104]]="--",0,Table645[[#This Row],[Column4]]*Table645[[#This Row],[Column104]])</f>
        <v>0</v>
      </c>
      <c r="DC286" s="219"/>
      <c r="DD286" s="220" t="str">
        <f>IF(DC286=0,"--",1/$DC$3*1000/(60*60*24)*Table645[[#This Row],[Column107]])</f>
        <v>--</v>
      </c>
      <c r="DE286" s="160">
        <f>IF(Table645[[#This Row],[Column108]]="--",0,Table645[[#This Row],[Column4]]*Table645[[#This Row],[Column108]])</f>
        <v>0</v>
      </c>
      <c r="DF286" s="101" t="s">
        <v>70</v>
      </c>
      <c r="DG286" s="91" t="str">
        <f t="shared" si="187"/>
        <v>--</v>
      </c>
      <c r="DH286" s="89">
        <f>IF(Table645[[#This Row],[Column111]]="--",0,Table645[[#This Row],[Column4]]*Table645[[#This Row],[Column111]])</f>
        <v>0</v>
      </c>
      <c r="DI286" s="96"/>
      <c r="DJ286" s="96"/>
      <c r="DK286" s="96"/>
      <c r="DL286" s="96"/>
      <c r="DM286" s="96"/>
      <c r="DN286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86" s="89">
        <f>IF(Table645[[#This Row],[Column118]]="--",0,Table645[[#This Row],[Column4]]*Table645[[#This Row],[Column118]])</f>
        <v>0</v>
      </c>
      <c r="DP286" s="96"/>
      <c r="DQ286" s="96"/>
      <c r="DR286" s="91" t="str">
        <f t="shared" si="188"/>
        <v>--</v>
      </c>
      <c r="DS286" s="89">
        <f>IF(Table645[[#This Row],[Column122]]="--",0,Table645[[#This Row],[Column4]]*Table645[[#This Row],[Column122]])</f>
        <v>0</v>
      </c>
      <c r="DT286" t="str">
        <f>IF(Table645[[#This Row],[Column125]]=0,"--",Table645[[#This Row],[Column125]]*Table645[[#This Row],[Column126]]*Table645[[#This Row],[Column127]]/1000000000)</f>
        <v>--</v>
      </c>
      <c r="DU286" s="53"/>
      <c r="DV286" s="53"/>
      <c r="DW286" s="53"/>
      <c r="DX286" s="91" t="str">
        <f t="shared" si="189"/>
        <v>--</v>
      </c>
      <c r="DY286" s="89">
        <f>IF(Table645[[#This Row],[Column128]]="--",0,Table645[[#This Row],[Column4]]*Table645[[#This Row],[Column128]])</f>
        <v>0</v>
      </c>
      <c r="EA286" s="89">
        <f>IF(Table645[[#This Row],[Column128]]="--",0,Table645[[#This Row],[Column4]]*Table645[[#This Row],[Column128]])</f>
        <v>0</v>
      </c>
      <c r="EC286" s="89">
        <f>IF(Table645[[#This Row],[Column128]]="--",0,Table645[[#This Row],[Column4]]*Table645[[#This Row],[Column128]])</f>
        <v>0</v>
      </c>
      <c r="EE286" s="89">
        <f>IF(Table645[[#This Row],[Column128]]="--",0,Table645[[#This Row],[Column4]]*Table645[[#This Row],[Column128]])</f>
        <v>0</v>
      </c>
      <c r="EG286" s="89">
        <f>IF(Table645[[#This Row],[Column128]]="--",0,Table645[[#This Row],[Column4]]*Table645[[#This Row],[Column128]])</f>
        <v>0</v>
      </c>
      <c r="EI286" s="89">
        <f>IF(Table645[[#This Row],[Column128]]="--",0,Table645[[#This Row],[Column4]]*Table645[[#This Row],[Column128]])</f>
        <v>0</v>
      </c>
    </row>
    <row r="287" spans="1:139" x14ac:dyDescent="0.25">
      <c r="A287" s="140"/>
      <c r="B287" s="79"/>
      <c r="C287" s="140"/>
      <c r="D287" s="167"/>
      <c r="E287" s="52"/>
      <c r="F287" s="81"/>
      <c r="G287" s="81"/>
      <c r="H287" s="102" t="str">
        <f t="shared" si="180"/>
        <v>--</v>
      </c>
      <c r="I287" s="100">
        <f>IF(Table645[[#This Row],[Column8]]="--",0,Table645[[#This Row],[Column4]]*Table645[[#This Row],[Column8]])</f>
        <v>0</v>
      </c>
      <c r="J287" s="169"/>
      <c r="K287" s="85">
        <f>Table645[[#This Row],[Column4]]*Table645[[#This Row],[Column10]]</f>
        <v>0</v>
      </c>
      <c r="L287" s="170" t="str">
        <f t="shared" si="181"/>
        <v>--</v>
      </c>
      <c r="M287" s="214">
        <f>IF(Table645[[#This Row],[Column10]]=0,0,Table645[[#This Row],[Column4]]*Table645[[#This Row],[Column12]])</f>
        <v>0</v>
      </c>
      <c r="N287" s="87" t="str">
        <f t="shared" si="182"/>
        <v>--</v>
      </c>
      <c r="O287" s="138"/>
      <c r="AZ287" s="89">
        <f>IF(Table645[[#This Row],[Column14]]="--",0,Table645[[#This Row],[Column4]]*Table645[[#This Row],[Column14]])</f>
        <v>0</v>
      </c>
      <c r="BA287" s="90"/>
      <c r="BB287" s="91" t="str">
        <f>IF(BA287=0,"--",BA287*$BA$3*IF(Table645[[#This Row],[Column5]]&lt;4.1,1,2)/60/24)</f>
        <v>--</v>
      </c>
      <c r="BC287" s="92">
        <f>IF(Table645[[#This Row],[Column54]]="--",0,Table645[[#This Row],[Column4]]*Table645[[#This Row],[Column54]])</f>
        <v>0</v>
      </c>
      <c r="BD287" s="119"/>
      <c r="BE287" s="119"/>
      <c r="BF287" s="119"/>
      <c r="BG287" s="91" t="str">
        <f>IF(BD287+Table645[[#This Row],[Column58]]=0,"--",(BD287*$BF$3*Table645[[#This Row],[Column57]]+Table645[[#This Row],[Column58]]*$BF$4)/60/24)</f>
        <v>--</v>
      </c>
      <c r="BH287" s="92">
        <f>IF(Table645[[#This Row],[Column59]]="--",0,Table645[[#This Row],[Column4]]*Table645[[#This Row],[Column59]])</f>
        <v>0</v>
      </c>
      <c r="BI287" s="119"/>
      <c r="BJ287" s="91" t="str">
        <f t="shared" si="148"/>
        <v>--</v>
      </c>
      <c r="BK287" s="92">
        <f>IF(Table645[[#This Row],[Column62]]="--",0,Table645[[#This Row],[Column4]]*Table645[[#This Row],[Column62]])</f>
        <v>0</v>
      </c>
      <c r="BL287" s="93"/>
      <c r="BM287" s="91" t="str">
        <f t="shared" si="183"/>
        <v>--</v>
      </c>
      <c r="BN287" s="89">
        <f>IF(Table645[[#This Row],[Column65]]="--",0,Table645[[#This Row],[Column4]]*Table645[[#This Row],[Column65]])</f>
        <v>0</v>
      </c>
      <c r="BO287" s="163"/>
      <c r="BP287" s="164" t="str">
        <f t="shared" si="184"/>
        <v>--</v>
      </c>
      <c r="BQ287" s="160">
        <f>IF(Table645[[#This Row],[Column68]]="--",0,Table645[[#This Row],[Column4]]*Table645[[#This Row],[Column68]])</f>
        <v>0</v>
      </c>
      <c r="BR287" s="94"/>
      <c r="BS287" s="91" t="str">
        <f t="shared" si="185"/>
        <v>--</v>
      </c>
      <c r="BT287" s="92">
        <f>IF(Table645[[#This Row],[Column71]]="--",0,Table645[[#This Row],[Column4]]*Table645[[#This Row],[Column71]])</f>
        <v>0</v>
      </c>
      <c r="BU287" s="44"/>
      <c r="BV287" s="90"/>
      <c r="BW287" s="91" t="str">
        <f>IF(BV287=0,"--",(Table645[[#This Row],[Column73]]*$BV$4*(IF(J287&lt;0.5001,1,IF(J287&lt;2.0001,2,3)))+BV287/$BV$3)/60/24)</f>
        <v>--</v>
      </c>
      <c r="BX287" s="92">
        <f>IF(Table645[[#This Row],[Column75]]="--",0,Table645[[#This Row],[Column4]]*Table645[[#This Row],[Column75]])</f>
        <v>0</v>
      </c>
      <c r="BY287" s="95" t="s">
        <v>70</v>
      </c>
      <c r="BZ287" s="91" t="str">
        <f>IF(Table645[[#This Row],[Column74]]=0,"--",BW287*$BY$3)</f>
        <v>--</v>
      </c>
      <c r="CA287" s="89">
        <f>IF(Table645[[#This Row],[Column78]]="--",0,Table645[[#This Row],[Column4]]*Table645[[#This Row],[Column78]])</f>
        <v>0</v>
      </c>
      <c r="CB287" s="95" t="s">
        <v>70</v>
      </c>
      <c r="CC287" s="91" t="str">
        <f>IF(Table645[[#This Row],[Column10]]+Table645[[#This Row],[Column74]]=0,"--",J287*$CB$4*$CB$5/(24*60)+IF(Table645[[#This Row],[Column74]]=0,0,$CB$3*Table645[[#This Row],[Column75]]))</f>
        <v>--</v>
      </c>
      <c r="CD287" s="92">
        <f>IF(Table645[[#This Row],[Column81]]="--",0,Table645[[#This Row],[Column4]]*Table645[[#This Row],[Column81]])</f>
        <v>0</v>
      </c>
      <c r="CE287" s="215"/>
      <c r="CF287" s="91" t="str">
        <f t="shared" si="149"/>
        <v>--</v>
      </c>
      <c r="CG287" s="92">
        <f>IF(Table645[[#This Row],[Column84]]="--",0,Table645[[#This Row],[Column4]]*Table645[[#This Row],[Column84]])</f>
        <v>0</v>
      </c>
      <c r="CH287" s="226"/>
      <c r="CI287" s="216"/>
      <c r="CJ287" s="91" t="str">
        <f>IF(CI287=0,"--",(Table645[[#This Row],[Column86]]*$CI$4*(IF(W287&lt;0.5001,1,IF(W287&lt;2.0001,2,3)))+CI287/$CI$3)/60/24)</f>
        <v>--</v>
      </c>
      <c r="CK287" s="92">
        <f>IF(Table645[[#This Row],[Column88]]="--",0,Table645[[#This Row],[Column4]]*Table645[[#This Row],[Column88]])</f>
        <v>0</v>
      </c>
      <c r="CL287" s="217"/>
      <c r="CM287" s="91" t="str">
        <f>IF(Table645[[#This Row],[Column87]]=0,"--",CJ287*$CL$3)</f>
        <v>--</v>
      </c>
      <c r="CN287" s="92">
        <f>IF(Table645[[#This Row],[Column91]]="--",0,Table645[[#This Row],[Column4]]*Table645[[#This Row],[Column91]])</f>
        <v>0</v>
      </c>
      <c r="CO287" s="217"/>
      <c r="CP287" s="91" t="str">
        <f>IF(Table645[[#This Row],[Column10]]+Table645[[#This Row],[Column87]]=0, "--", IF($D287="", 1, $D287) * IF($J287="", 1, $J287) * $CO$3 * $CO$4 * IF(Table645[[#This Row],[Column95]]="", 1, Table645[[#This Row],[Column95]]) / (24 * 60))</f>
        <v>--</v>
      </c>
      <c r="CQ287" s="164"/>
      <c r="CR287" s="92">
        <f>IF(Table645[[#This Row],[Column94]]="--",0,Table645[[#This Row],[Column4]]*Table645[[#This Row],[Column94]])</f>
        <v>0</v>
      </c>
      <c r="CS287" s="218" t="str">
        <f>IF(Table645[[#This Row],[Column87]]="","",Table645[[#This Row],[Column87]])</f>
        <v/>
      </c>
      <c r="CT287" s="91" t="str">
        <f>IF(Table645[[#This Row],[Column97]]="","--",Table645[[#This Row],[Column97]]/$CS$3/60/24)</f>
        <v>--</v>
      </c>
      <c r="CU287" s="92">
        <f>IF(Table645[[#This Row],[Column98]]="--",0,Table645[[#This Row],[Column4]]*Table645[[#This Row],[Column98]])</f>
        <v>0</v>
      </c>
      <c r="CV287" s="93"/>
      <c r="CW287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87" s="91" t="str">
        <f>IF(OR(Table645[[#This Row],[Column74]]&gt;0,Table645[[#This Row],[Column87]]&gt;0),(Table645[[#This Row],[Column73]]+Table645[[#This Row],[Column86]]+1)*$CW$3/60/24,"--")</f>
        <v>--</v>
      </c>
      <c r="CY287" s="92">
        <f>IF(Table645[[#This Row],[Column102]]="--",0,Table645[[#This Row],[Column4]]*Table645[[#This Row],[Column102]])</f>
        <v>0</v>
      </c>
      <c r="CZ287" s="158" t="str">
        <f t="shared" si="186"/>
        <v>--</v>
      </c>
      <c r="DA287" s="153"/>
      <c r="DB287" s="160">
        <f>IF(Table645[[#This Row],[Column104]]="--",0,Table645[[#This Row],[Column4]]*Table645[[#This Row],[Column104]])</f>
        <v>0</v>
      </c>
      <c r="DC287" s="219"/>
      <c r="DD287" s="220" t="str">
        <f>IF(DC287=0,"--",1/$DC$3*1000/(60*60*24)*Table645[[#This Row],[Column107]])</f>
        <v>--</v>
      </c>
      <c r="DE287" s="160">
        <f>IF(Table645[[#This Row],[Column108]]="--",0,Table645[[#This Row],[Column4]]*Table645[[#This Row],[Column108]])</f>
        <v>0</v>
      </c>
      <c r="DF287" s="101" t="s">
        <v>70</v>
      </c>
      <c r="DG287" s="91" t="str">
        <f t="shared" si="187"/>
        <v>--</v>
      </c>
      <c r="DH287" s="89">
        <f>IF(Table645[[#This Row],[Column111]]="--",0,Table645[[#This Row],[Column4]]*Table645[[#This Row],[Column111]])</f>
        <v>0</v>
      </c>
      <c r="DI287" s="96"/>
      <c r="DJ287" s="96"/>
      <c r="DK287" s="96"/>
      <c r="DL287" s="96"/>
      <c r="DM287" s="96"/>
      <c r="DN287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87" s="89">
        <f>IF(Table645[[#This Row],[Column118]]="--",0,Table645[[#This Row],[Column4]]*Table645[[#This Row],[Column118]])</f>
        <v>0</v>
      </c>
      <c r="DP287" s="96"/>
      <c r="DQ287" s="96"/>
      <c r="DR287" s="91" t="str">
        <f t="shared" si="188"/>
        <v>--</v>
      </c>
      <c r="DS287" s="89">
        <f>IF(Table645[[#This Row],[Column122]]="--",0,Table645[[#This Row],[Column4]]*Table645[[#This Row],[Column122]])</f>
        <v>0</v>
      </c>
      <c r="DT287" t="str">
        <f>IF(Table645[[#This Row],[Column125]]=0,"--",Table645[[#This Row],[Column125]]*Table645[[#This Row],[Column126]]*Table645[[#This Row],[Column127]]/1000000000)</f>
        <v>--</v>
      </c>
      <c r="DU287" s="53"/>
      <c r="DV287" s="53"/>
      <c r="DW287" s="53"/>
      <c r="DX287" s="91" t="str">
        <f t="shared" si="189"/>
        <v>--</v>
      </c>
      <c r="DY287" s="89">
        <f>IF(Table645[[#This Row],[Column128]]="--",0,Table645[[#This Row],[Column4]]*Table645[[#This Row],[Column128]])</f>
        <v>0</v>
      </c>
      <c r="EA287" s="89">
        <f>IF(Table645[[#This Row],[Column128]]="--",0,Table645[[#This Row],[Column4]]*Table645[[#This Row],[Column128]])</f>
        <v>0</v>
      </c>
      <c r="EC287" s="89">
        <f>IF(Table645[[#This Row],[Column128]]="--",0,Table645[[#This Row],[Column4]]*Table645[[#This Row],[Column128]])</f>
        <v>0</v>
      </c>
      <c r="EE287" s="89">
        <f>IF(Table645[[#This Row],[Column128]]="--",0,Table645[[#This Row],[Column4]]*Table645[[#This Row],[Column128]])</f>
        <v>0</v>
      </c>
      <c r="EG287" s="89">
        <f>IF(Table645[[#This Row],[Column128]]="--",0,Table645[[#This Row],[Column4]]*Table645[[#This Row],[Column128]])</f>
        <v>0</v>
      </c>
      <c r="EI287" s="89">
        <f>IF(Table645[[#This Row],[Column128]]="--",0,Table645[[#This Row],[Column4]]*Table645[[#This Row],[Column128]])</f>
        <v>0</v>
      </c>
    </row>
    <row r="288" spans="1:139" x14ac:dyDescent="0.25">
      <c r="A288" s="140"/>
      <c r="B288" s="79"/>
      <c r="C288" s="140"/>
      <c r="D288" s="167"/>
      <c r="E288" s="52"/>
      <c r="F288" s="81"/>
      <c r="G288" s="81"/>
      <c r="H288" s="102" t="str">
        <f t="shared" si="180"/>
        <v>--</v>
      </c>
      <c r="I288" s="100">
        <f>IF(Table645[[#This Row],[Column8]]="--",0,Table645[[#This Row],[Column4]]*Table645[[#This Row],[Column8]])</f>
        <v>0</v>
      </c>
      <c r="J288" s="169"/>
      <c r="K288" s="85">
        <f>Table645[[#This Row],[Column4]]*Table645[[#This Row],[Column10]]</f>
        <v>0</v>
      </c>
      <c r="L288" s="170" t="str">
        <f t="shared" si="181"/>
        <v>--</v>
      </c>
      <c r="M288" s="214">
        <f>IF(Table645[[#This Row],[Column10]]=0,0,Table645[[#This Row],[Column4]]*Table645[[#This Row],[Column12]])</f>
        <v>0</v>
      </c>
      <c r="N288" s="87" t="str">
        <f t="shared" si="182"/>
        <v>--</v>
      </c>
      <c r="O288" s="138"/>
      <c r="AZ288" s="89">
        <f>IF(Table645[[#This Row],[Column14]]="--",0,Table645[[#This Row],[Column4]]*Table645[[#This Row],[Column14]])</f>
        <v>0</v>
      </c>
      <c r="BA288" s="90"/>
      <c r="BB288" s="91" t="str">
        <f>IF(BA288=0,"--",BA288*$BA$3*IF(Table645[[#This Row],[Column5]]&lt;4.1,1,2)/60/24)</f>
        <v>--</v>
      </c>
      <c r="BC288" s="92">
        <f>IF(Table645[[#This Row],[Column54]]="--",0,Table645[[#This Row],[Column4]]*Table645[[#This Row],[Column54]])</f>
        <v>0</v>
      </c>
      <c r="BD288" s="119"/>
      <c r="BE288" s="119"/>
      <c r="BF288" s="119"/>
      <c r="BG288" s="91" t="str">
        <f>IF(BD288+Table645[[#This Row],[Column58]]=0,"--",(BD288*$BF$3*Table645[[#This Row],[Column57]]+Table645[[#This Row],[Column58]]*$BF$4)/60/24)</f>
        <v>--</v>
      </c>
      <c r="BH288" s="92">
        <f>IF(Table645[[#This Row],[Column59]]="--",0,Table645[[#This Row],[Column4]]*Table645[[#This Row],[Column59]])</f>
        <v>0</v>
      </c>
      <c r="BI288" s="119"/>
      <c r="BJ288" s="91" t="str">
        <f t="shared" si="148"/>
        <v>--</v>
      </c>
      <c r="BK288" s="92">
        <f>IF(Table645[[#This Row],[Column62]]="--",0,Table645[[#This Row],[Column4]]*Table645[[#This Row],[Column62]])</f>
        <v>0</v>
      </c>
      <c r="BL288" s="93"/>
      <c r="BM288" s="91" t="str">
        <f t="shared" si="183"/>
        <v>--</v>
      </c>
      <c r="BN288" s="89">
        <f>IF(Table645[[#This Row],[Column65]]="--",0,Table645[[#This Row],[Column4]]*Table645[[#This Row],[Column65]])</f>
        <v>0</v>
      </c>
      <c r="BO288" s="163"/>
      <c r="BP288" s="164" t="str">
        <f t="shared" si="184"/>
        <v>--</v>
      </c>
      <c r="BQ288" s="160">
        <f>IF(Table645[[#This Row],[Column68]]="--",0,Table645[[#This Row],[Column4]]*Table645[[#This Row],[Column68]])</f>
        <v>0</v>
      </c>
      <c r="BR288" s="94"/>
      <c r="BS288" s="91" t="str">
        <f t="shared" si="185"/>
        <v>--</v>
      </c>
      <c r="BT288" s="92">
        <f>IF(Table645[[#This Row],[Column71]]="--",0,Table645[[#This Row],[Column4]]*Table645[[#This Row],[Column71]])</f>
        <v>0</v>
      </c>
      <c r="BU288" s="44"/>
      <c r="BV288" s="90"/>
      <c r="BW288" s="91" t="str">
        <f>IF(BV288=0,"--",(Table645[[#This Row],[Column73]]*$BV$4*(IF(J288&lt;0.5001,1,IF(J288&lt;2.0001,2,3)))+BV288/$BV$3)/60/24)</f>
        <v>--</v>
      </c>
      <c r="BX288" s="92">
        <f>IF(Table645[[#This Row],[Column75]]="--",0,Table645[[#This Row],[Column4]]*Table645[[#This Row],[Column75]])</f>
        <v>0</v>
      </c>
      <c r="BY288" s="95" t="s">
        <v>70</v>
      </c>
      <c r="BZ288" s="91" t="str">
        <f>IF(Table645[[#This Row],[Column74]]=0,"--",BW288*$BY$3)</f>
        <v>--</v>
      </c>
      <c r="CA288" s="89">
        <f>IF(Table645[[#This Row],[Column78]]="--",0,Table645[[#This Row],[Column4]]*Table645[[#This Row],[Column78]])</f>
        <v>0</v>
      </c>
      <c r="CB288" s="95" t="s">
        <v>70</v>
      </c>
      <c r="CC288" s="91" t="str">
        <f>IF(Table645[[#This Row],[Column10]]+Table645[[#This Row],[Column74]]=0,"--",J288*$CB$4*$CB$5/(24*60)+IF(Table645[[#This Row],[Column74]]=0,0,$CB$3*Table645[[#This Row],[Column75]]))</f>
        <v>--</v>
      </c>
      <c r="CD288" s="92">
        <f>IF(Table645[[#This Row],[Column81]]="--",0,Table645[[#This Row],[Column4]]*Table645[[#This Row],[Column81]])</f>
        <v>0</v>
      </c>
      <c r="CE288" s="215"/>
      <c r="CF288" s="91" t="str">
        <f t="shared" si="149"/>
        <v>--</v>
      </c>
      <c r="CG288" s="92">
        <f>IF(Table645[[#This Row],[Column84]]="--",0,Table645[[#This Row],[Column4]]*Table645[[#This Row],[Column84]])</f>
        <v>0</v>
      </c>
      <c r="CH288" s="226"/>
      <c r="CI288" s="216"/>
      <c r="CJ288" s="91" t="str">
        <f>IF(CI288=0,"--",(Table645[[#This Row],[Column86]]*$CI$4*(IF(W288&lt;0.5001,1,IF(W288&lt;2.0001,2,3)))+CI288/$CI$3)/60/24)</f>
        <v>--</v>
      </c>
      <c r="CK288" s="92">
        <f>IF(Table645[[#This Row],[Column88]]="--",0,Table645[[#This Row],[Column4]]*Table645[[#This Row],[Column88]])</f>
        <v>0</v>
      </c>
      <c r="CL288" s="217"/>
      <c r="CM288" s="91" t="str">
        <f>IF(Table645[[#This Row],[Column87]]=0,"--",CJ288*$CL$3)</f>
        <v>--</v>
      </c>
      <c r="CN288" s="92">
        <f>IF(Table645[[#This Row],[Column91]]="--",0,Table645[[#This Row],[Column4]]*Table645[[#This Row],[Column91]])</f>
        <v>0</v>
      </c>
      <c r="CO288" s="217"/>
      <c r="CP288" s="91" t="str">
        <f>IF(Table645[[#This Row],[Column10]]+Table645[[#This Row],[Column87]]=0, "--", IF($D288="", 1, $D288) * IF($J288="", 1, $J288) * $CO$3 * $CO$4 * IF(Table645[[#This Row],[Column95]]="", 1, Table645[[#This Row],[Column95]]) / (24 * 60))</f>
        <v>--</v>
      </c>
      <c r="CQ288" s="164"/>
      <c r="CR288" s="92">
        <f>IF(Table645[[#This Row],[Column94]]="--",0,Table645[[#This Row],[Column4]]*Table645[[#This Row],[Column94]])</f>
        <v>0</v>
      </c>
      <c r="CS288" s="218" t="str">
        <f>IF(Table645[[#This Row],[Column87]]="","",Table645[[#This Row],[Column87]])</f>
        <v/>
      </c>
      <c r="CT288" s="91" t="str">
        <f>IF(Table645[[#This Row],[Column97]]="","--",Table645[[#This Row],[Column97]]/$CS$3/60/24)</f>
        <v>--</v>
      </c>
      <c r="CU288" s="92">
        <f>IF(Table645[[#This Row],[Column98]]="--",0,Table645[[#This Row],[Column4]]*Table645[[#This Row],[Column98]])</f>
        <v>0</v>
      </c>
      <c r="CV288" s="93"/>
      <c r="CW288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88" s="91" t="str">
        <f>IF(OR(Table645[[#This Row],[Column74]]&gt;0,Table645[[#This Row],[Column87]]&gt;0),(Table645[[#This Row],[Column73]]+Table645[[#This Row],[Column86]]+1)*$CW$3/60/24,"--")</f>
        <v>--</v>
      </c>
      <c r="CY288" s="92">
        <f>IF(Table645[[#This Row],[Column102]]="--",0,Table645[[#This Row],[Column4]]*Table645[[#This Row],[Column102]])</f>
        <v>0</v>
      </c>
      <c r="CZ288" s="158" t="str">
        <f t="shared" si="186"/>
        <v>--</v>
      </c>
      <c r="DA288" s="153"/>
      <c r="DB288" s="160">
        <f>IF(Table645[[#This Row],[Column104]]="--",0,Table645[[#This Row],[Column4]]*Table645[[#This Row],[Column104]])</f>
        <v>0</v>
      </c>
      <c r="DC288" s="219"/>
      <c r="DD288" s="220" t="str">
        <f>IF(DC288=0,"--",1/$DC$3*1000/(60*60*24)*Table645[[#This Row],[Column107]])</f>
        <v>--</v>
      </c>
      <c r="DE288" s="160">
        <f>IF(Table645[[#This Row],[Column108]]="--",0,Table645[[#This Row],[Column4]]*Table645[[#This Row],[Column108]])</f>
        <v>0</v>
      </c>
      <c r="DF288" s="101" t="s">
        <v>70</v>
      </c>
      <c r="DG288" s="91" t="str">
        <f t="shared" si="187"/>
        <v>--</v>
      </c>
      <c r="DH288" s="89">
        <f>IF(Table645[[#This Row],[Column111]]="--",0,Table645[[#This Row],[Column4]]*Table645[[#This Row],[Column111]])</f>
        <v>0</v>
      </c>
      <c r="DI288" s="96"/>
      <c r="DJ288" s="96"/>
      <c r="DK288" s="96"/>
      <c r="DL288" s="96"/>
      <c r="DM288" s="96"/>
      <c r="DN288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88" s="89">
        <f>IF(Table645[[#This Row],[Column118]]="--",0,Table645[[#This Row],[Column4]]*Table645[[#This Row],[Column118]])</f>
        <v>0</v>
      </c>
      <c r="DP288" s="96"/>
      <c r="DQ288" s="96"/>
      <c r="DR288" s="91" t="str">
        <f t="shared" si="188"/>
        <v>--</v>
      </c>
      <c r="DS288" s="89">
        <f>IF(Table645[[#This Row],[Column122]]="--",0,Table645[[#This Row],[Column4]]*Table645[[#This Row],[Column122]])</f>
        <v>0</v>
      </c>
      <c r="DT288" t="str">
        <f>IF(Table645[[#This Row],[Column125]]=0,"--",Table645[[#This Row],[Column125]]*Table645[[#This Row],[Column126]]*Table645[[#This Row],[Column127]]/1000000000)</f>
        <v>--</v>
      </c>
      <c r="DU288" s="53"/>
      <c r="DV288" s="53"/>
      <c r="DW288" s="53"/>
      <c r="DX288" s="91" t="str">
        <f t="shared" si="189"/>
        <v>--</v>
      </c>
      <c r="DY288" s="89">
        <f>IF(Table645[[#This Row],[Column128]]="--",0,Table645[[#This Row],[Column4]]*Table645[[#This Row],[Column128]])</f>
        <v>0</v>
      </c>
      <c r="EA288" s="89">
        <f>IF(Table645[[#This Row],[Column128]]="--",0,Table645[[#This Row],[Column4]]*Table645[[#This Row],[Column128]])</f>
        <v>0</v>
      </c>
      <c r="EC288" s="89">
        <f>IF(Table645[[#This Row],[Column128]]="--",0,Table645[[#This Row],[Column4]]*Table645[[#This Row],[Column128]])</f>
        <v>0</v>
      </c>
      <c r="EE288" s="89">
        <f>IF(Table645[[#This Row],[Column128]]="--",0,Table645[[#This Row],[Column4]]*Table645[[#This Row],[Column128]])</f>
        <v>0</v>
      </c>
      <c r="EG288" s="89">
        <f>IF(Table645[[#This Row],[Column128]]="--",0,Table645[[#This Row],[Column4]]*Table645[[#This Row],[Column128]])</f>
        <v>0</v>
      </c>
      <c r="EI288" s="89">
        <f>IF(Table645[[#This Row],[Column128]]="--",0,Table645[[#This Row],[Column4]]*Table645[[#This Row],[Column128]])</f>
        <v>0</v>
      </c>
    </row>
    <row r="289" spans="1:139" x14ac:dyDescent="0.25">
      <c r="A289" s="140"/>
      <c r="B289" s="79"/>
      <c r="C289" s="140"/>
      <c r="D289" s="167"/>
      <c r="E289" s="52"/>
      <c r="F289" s="81"/>
      <c r="G289" s="81"/>
      <c r="H289" s="102" t="str">
        <f t="shared" si="180"/>
        <v>--</v>
      </c>
      <c r="I289" s="100">
        <f>IF(Table645[[#This Row],[Column8]]="--",0,Table645[[#This Row],[Column4]]*Table645[[#This Row],[Column8]])</f>
        <v>0</v>
      </c>
      <c r="J289" s="169"/>
      <c r="K289" s="85">
        <f>Table645[[#This Row],[Column4]]*Table645[[#This Row],[Column10]]</f>
        <v>0</v>
      </c>
      <c r="L289" s="170" t="str">
        <f t="shared" si="181"/>
        <v>--</v>
      </c>
      <c r="M289" s="214">
        <f>IF(Table645[[#This Row],[Column10]]=0,0,Table645[[#This Row],[Column4]]*Table645[[#This Row],[Column12]])</f>
        <v>0</v>
      </c>
      <c r="N289" s="87" t="str">
        <f t="shared" si="182"/>
        <v>--</v>
      </c>
      <c r="O289" s="138"/>
      <c r="AZ289" s="89">
        <f>IF(Table645[[#This Row],[Column14]]="--",0,Table645[[#This Row],[Column4]]*Table645[[#This Row],[Column14]])</f>
        <v>0</v>
      </c>
      <c r="BA289" s="90"/>
      <c r="BB289" s="91" t="str">
        <f>IF(BA289=0,"--",BA289*$BA$3*IF(Table645[[#This Row],[Column5]]&lt;4.1,1,2)/60/24)</f>
        <v>--</v>
      </c>
      <c r="BC289" s="92">
        <f>IF(Table645[[#This Row],[Column54]]="--",0,Table645[[#This Row],[Column4]]*Table645[[#This Row],[Column54]])</f>
        <v>0</v>
      </c>
      <c r="BD289" s="119"/>
      <c r="BE289" s="119"/>
      <c r="BF289" s="119"/>
      <c r="BG289" s="91" t="str">
        <f>IF(BD289+Table645[[#This Row],[Column58]]=0,"--",(BD289*$BF$3*Table645[[#This Row],[Column57]]+Table645[[#This Row],[Column58]]*$BF$4)/60/24)</f>
        <v>--</v>
      </c>
      <c r="BH289" s="92">
        <f>IF(Table645[[#This Row],[Column59]]="--",0,Table645[[#This Row],[Column4]]*Table645[[#This Row],[Column59]])</f>
        <v>0</v>
      </c>
      <c r="BI289" s="119"/>
      <c r="BJ289" s="91" t="str">
        <f t="shared" si="148"/>
        <v>--</v>
      </c>
      <c r="BK289" s="92">
        <f>IF(Table645[[#This Row],[Column62]]="--",0,Table645[[#This Row],[Column4]]*Table645[[#This Row],[Column62]])</f>
        <v>0</v>
      </c>
      <c r="BL289" s="93"/>
      <c r="BM289" s="91" t="str">
        <f t="shared" si="183"/>
        <v>--</v>
      </c>
      <c r="BN289" s="89">
        <f>IF(Table645[[#This Row],[Column65]]="--",0,Table645[[#This Row],[Column4]]*Table645[[#This Row],[Column65]])</f>
        <v>0</v>
      </c>
      <c r="BO289" s="163"/>
      <c r="BP289" s="164" t="str">
        <f t="shared" si="184"/>
        <v>--</v>
      </c>
      <c r="BQ289" s="160">
        <f>IF(Table645[[#This Row],[Column68]]="--",0,Table645[[#This Row],[Column4]]*Table645[[#This Row],[Column68]])</f>
        <v>0</v>
      </c>
      <c r="BR289" s="94"/>
      <c r="BS289" s="91" t="str">
        <f t="shared" si="185"/>
        <v>--</v>
      </c>
      <c r="BT289" s="92">
        <f>IF(Table645[[#This Row],[Column71]]="--",0,Table645[[#This Row],[Column4]]*Table645[[#This Row],[Column71]])</f>
        <v>0</v>
      </c>
      <c r="BU289" s="44"/>
      <c r="BV289" s="90"/>
      <c r="BW289" s="91" t="str">
        <f>IF(BV289=0,"--",(Table645[[#This Row],[Column73]]*$BV$4*(IF(J289&lt;0.5001,1,IF(J289&lt;2.0001,2,3)))+BV289/$BV$3)/60/24)</f>
        <v>--</v>
      </c>
      <c r="BX289" s="92">
        <f>IF(Table645[[#This Row],[Column75]]="--",0,Table645[[#This Row],[Column4]]*Table645[[#This Row],[Column75]])</f>
        <v>0</v>
      </c>
      <c r="BY289" s="95" t="s">
        <v>70</v>
      </c>
      <c r="BZ289" s="91" t="str">
        <f>IF(Table645[[#This Row],[Column74]]=0,"--",BW289*$BY$3)</f>
        <v>--</v>
      </c>
      <c r="CA289" s="89">
        <f>IF(Table645[[#This Row],[Column78]]="--",0,Table645[[#This Row],[Column4]]*Table645[[#This Row],[Column78]])</f>
        <v>0</v>
      </c>
      <c r="CB289" s="95" t="s">
        <v>70</v>
      </c>
      <c r="CC289" s="91" t="str">
        <f>IF(Table645[[#This Row],[Column10]]+Table645[[#This Row],[Column74]]=0,"--",J289*$CB$4*$CB$5/(24*60)+IF(Table645[[#This Row],[Column74]]=0,0,$CB$3*Table645[[#This Row],[Column75]]))</f>
        <v>--</v>
      </c>
      <c r="CD289" s="92">
        <f>IF(Table645[[#This Row],[Column81]]="--",0,Table645[[#This Row],[Column4]]*Table645[[#This Row],[Column81]])</f>
        <v>0</v>
      </c>
      <c r="CE289" s="215"/>
      <c r="CF289" s="91" t="str">
        <f t="shared" si="149"/>
        <v>--</v>
      </c>
      <c r="CG289" s="92">
        <f>IF(Table645[[#This Row],[Column84]]="--",0,Table645[[#This Row],[Column4]]*Table645[[#This Row],[Column84]])</f>
        <v>0</v>
      </c>
      <c r="CH289" s="226"/>
      <c r="CI289" s="216"/>
      <c r="CJ289" s="91" t="str">
        <f>IF(CI289=0,"--",(Table645[[#This Row],[Column86]]*$CI$4*(IF(W289&lt;0.5001,1,IF(W289&lt;2.0001,2,3)))+CI289/$CI$3)/60/24)</f>
        <v>--</v>
      </c>
      <c r="CK289" s="92">
        <f>IF(Table645[[#This Row],[Column88]]="--",0,Table645[[#This Row],[Column4]]*Table645[[#This Row],[Column88]])</f>
        <v>0</v>
      </c>
      <c r="CL289" s="217"/>
      <c r="CM289" s="91" t="str">
        <f>IF(Table645[[#This Row],[Column87]]=0,"--",CJ289*$CL$3)</f>
        <v>--</v>
      </c>
      <c r="CN289" s="92">
        <f>IF(Table645[[#This Row],[Column91]]="--",0,Table645[[#This Row],[Column4]]*Table645[[#This Row],[Column91]])</f>
        <v>0</v>
      </c>
      <c r="CO289" s="217"/>
      <c r="CP289" s="91" t="str">
        <f>IF(Table645[[#This Row],[Column10]]+Table645[[#This Row],[Column87]]=0, "--", IF($D289="", 1, $D289) * IF($J289="", 1, $J289) * $CO$3 * $CO$4 * IF(Table645[[#This Row],[Column95]]="", 1, Table645[[#This Row],[Column95]]) / (24 * 60))</f>
        <v>--</v>
      </c>
      <c r="CQ289" s="164"/>
      <c r="CR289" s="92">
        <f>IF(Table645[[#This Row],[Column94]]="--",0,Table645[[#This Row],[Column4]]*Table645[[#This Row],[Column94]])</f>
        <v>0</v>
      </c>
      <c r="CS289" s="218" t="str">
        <f>IF(Table645[[#This Row],[Column87]]="","",Table645[[#This Row],[Column87]])</f>
        <v/>
      </c>
      <c r="CT289" s="91" t="str">
        <f>IF(Table645[[#This Row],[Column97]]="","--",Table645[[#This Row],[Column97]]/$CS$3/60/24)</f>
        <v>--</v>
      </c>
      <c r="CU289" s="92">
        <f>IF(Table645[[#This Row],[Column98]]="--",0,Table645[[#This Row],[Column4]]*Table645[[#This Row],[Column98]])</f>
        <v>0</v>
      </c>
      <c r="CV289" s="93"/>
      <c r="CW289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89" s="91" t="str">
        <f>IF(OR(Table645[[#This Row],[Column74]]&gt;0,Table645[[#This Row],[Column87]]&gt;0),(Table645[[#This Row],[Column73]]+Table645[[#This Row],[Column86]]+1)*$CW$3/60/24,"--")</f>
        <v>--</v>
      </c>
      <c r="CY289" s="92">
        <f>IF(Table645[[#This Row],[Column102]]="--",0,Table645[[#This Row],[Column4]]*Table645[[#This Row],[Column102]])</f>
        <v>0</v>
      </c>
      <c r="CZ289" s="158" t="str">
        <f t="shared" si="186"/>
        <v>--</v>
      </c>
      <c r="DA289" s="153"/>
      <c r="DB289" s="160">
        <f>IF(Table645[[#This Row],[Column104]]="--",0,Table645[[#This Row],[Column4]]*Table645[[#This Row],[Column104]])</f>
        <v>0</v>
      </c>
      <c r="DC289" s="219"/>
      <c r="DD289" s="220" t="str">
        <f>IF(DC289=0,"--",1/$DC$3*1000/(60*60*24)*Table645[[#This Row],[Column107]])</f>
        <v>--</v>
      </c>
      <c r="DE289" s="160">
        <f>IF(Table645[[#This Row],[Column108]]="--",0,Table645[[#This Row],[Column4]]*Table645[[#This Row],[Column108]])</f>
        <v>0</v>
      </c>
      <c r="DF289" s="101" t="s">
        <v>70</v>
      </c>
      <c r="DG289" s="91" t="str">
        <f t="shared" si="187"/>
        <v>--</v>
      </c>
      <c r="DH289" s="89">
        <f>IF(Table645[[#This Row],[Column111]]="--",0,Table645[[#This Row],[Column4]]*Table645[[#This Row],[Column111]])</f>
        <v>0</v>
      </c>
      <c r="DI289" s="96"/>
      <c r="DJ289" s="96"/>
      <c r="DK289" s="96"/>
      <c r="DL289" s="96"/>
      <c r="DM289" s="96"/>
      <c r="DN289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89" s="89">
        <f>IF(Table645[[#This Row],[Column118]]="--",0,Table645[[#This Row],[Column4]]*Table645[[#This Row],[Column118]])</f>
        <v>0</v>
      </c>
      <c r="DP289" s="96"/>
      <c r="DQ289" s="96"/>
      <c r="DR289" s="91" t="str">
        <f t="shared" si="188"/>
        <v>--</v>
      </c>
      <c r="DS289" s="89">
        <f>IF(Table645[[#This Row],[Column122]]="--",0,Table645[[#This Row],[Column4]]*Table645[[#This Row],[Column122]])</f>
        <v>0</v>
      </c>
      <c r="DT289" t="str">
        <f>IF(Table645[[#This Row],[Column125]]=0,"--",Table645[[#This Row],[Column125]]*Table645[[#This Row],[Column126]]*Table645[[#This Row],[Column127]]/1000000000)</f>
        <v>--</v>
      </c>
      <c r="DU289" s="53"/>
      <c r="DV289" s="53"/>
      <c r="DW289" s="53"/>
      <c r="DX289" s="91" t="str">
        <f t="shared" si="189"/>
        <v>--</v>
      </c>
      <c r="DY289" s="89">
        <f>IF(Table645[[#This Row],[Column128]]="--",0,Table645[[#This Row],[Column4]]*Table645[[#This Row],[Column128]])</f>
        <v>0</v>
      </c>
      <c r="EA289" s="89">
        <f>IF(Table645[[#This Row],[Column128]]="--",0,Table645[[#This Row],[Column4]]*Table645[[#This Row],[Column128]])</f>
        <v>0</v>
      </c>
      <c r="EC289" s="89">
        <f>IF(Table645[[#This Row],[Column128]]="--",0,Table645[[#This Row],[Column4]]*Table645[[#This Row],[Column128]])</f>
        <v>0</v>
      </c>
      <c r="EE289" s="89">
        <f>IF(Table645[[#This Row],[Column128]]="--",0,Table645[[#This Row],[Column4]]*Table645[[#This Row],[Column128]])</f>
        <v>0</v>
      </c>
      <c r="EG289" s="89">
        <f>IF(Table645[[#This Row],[Column128]]="--",0,Table645[[#This Row],[Column4]]*Table645[[#This Row],[Column128]])</f>
        <v>0</v>
      </c>
      <c r="EI289" s="89">
        <f>IF(Table645[[#This Row],[Column128]]="--",0,Table645[[#This Row],[Column4]]*Table645[[#This Row],[Column128]])</f>
        <v>0</v>
      </c>
    </row>
    <row r="290" spans="1:139" x14ac:dyDescent="0.25">
      <c r="A290" s="140"/>
      <c r="B290" s="79"/>
      <c r="C290" s="140"/>
      <c r="D290" s="167"/>
      <c r="E290" s="52"/>
      <c r="F290" s="81"/>
      <c r="G290" s="81"/>
      <c r="H290" s="102" t="str">
        <f t="shared" si="180"/>
        <v>--</v>
      </c>
      <c r="I290" s="100">
        <f>IF(Table645[[#This Row],[Column8]]="--",0,Table645[[#This Row],[Column4]]*Table645[[#This Row],[Column8]])</f>
        <v>0</v>
      </c>
      <c r="J290" s="169"/>
      <c r="K290" s="85">
        <f>Table645[[#This Row],[Column4]]*Table645[[#This Row],[Column10]]</f>
        <v>0</v>
      </c>
      <c r="L290" s="170" t="str">
        <f t="shared" si="181"/>
        <v>--</v>
      </c>
      <c r="M290" s="214">
        <f>IF(Table645[[#This Row],[Column10]]=0,0,Table645[[#This Row],[Column4]]*Table645[[#This Row],[Column12]])</f>
        <v>0</v>
      </c>
      <c r="N290" s="87" t="str">
        <f t="shared" si="182"/>
        <v>--</v>
      </c>
      <c r="O290" s="138"/>
      <c r="AZ290" s="89">
        <f>IF(Table645[[#This Row],[Column14]]="--",0,Table645[[#This Row],[Column4]]*Table645[[#This Row],[Column14]])</f>
        <v>0</v>
      </c>
      <c r="BA290" s="90"/>
      <c r="BB290" s="91" t="str">
        <f>IF(BA290=0,"--",BA290*$BA$3*IF(Table645[[#This Row],[Column5]]&lt;4.1,1,2)/60/24)</f>
        <v>--</v>
      </c>
      <c r="BC290" s="92">
        <f>IF(Table645[[#This Row],[Column54]]="--",0,Table645[[#This Row],[Column4]]*Table645[[#This Row],[Column54]])</f>
        <v>0</v>
      </c>
      <c r="BD290" s="119"/>
      <c r="BE290" s="119"/>
      <c r="BF290" s="119"/>
      <c r="BG290" s="91" t="str">
        <f>IF(BD290+Table645[[#This Row],[Column58]]=0,"--",(BD290*$BF$3*Table645[[#This Row],[Column57]]+Table645[[#This Row],[Column58]]*$BF$4)/60/24)</f>
        <v>--</v>
      </c>
      <c r="BH290" s="92">
        <f>IF(Table645[[#This Row],[Column59]]="--",0,Table645[[#This Row],[Column4]]*Table645[[#This Row],[Column59]])</f>
        <v>0</v>
      </c>
      <c r="BI290" s="119"/>
      <c r="BJ290" s="91" t="str">
        <f t="shared" si="148"/>
        <v>--</v>
      </c>
      <c r="BK290" s="92">
        <f>IF(Table645[[#This Row],[Column62]]="--",0,Table645[[#This Row],[Column4]]*Table645[[#This Row],[Column62]])</f>
        <v>0</v>
      </c>
      <c r="BL290" s="93"/>
      <c r="BM290" s="91" t="str">
        <f t="shared" si="183"/>
        <v>--</v>
      </c>
      <c r="BN290" s="89">
        <f>IF(Table645[[#This Row],[Column65]]="--",0,Table645[[#This Row],[Column4]]*Table645[[#This Row],[Column65]])</f>
        <v>0</v>
      </c>
      <c r="BO290" s="163"/>
      <c r="BP290" s="164" t="str">
        <f t="shared" si="184"/>
        <v>--</v>
      </c>
      <c r="BQ290" s="160">
        <f>IF(Table645[[#This Row],[Column68]]="--",0,Table645[[#This Row],[Column4]]*Table645[[#This Row],[Column68]])</f>
        <v>0</v>
      </c>
      <c r="BR290" s="94"/>
      <c r="BS290" s="91" t="str">
        <f t="shared" si="185"/>
        <v>--</v>
      </c>
      <c r="BT290" s="92">
        <f>IF(Table645[[#This Row],[Column71]]="--",0,Table645[[#This Row],[Column4]]*Table645[[#This Row],[Column71]])</f>
        <v>0</v>
      </c>
      <c r="BU290" s="44"/>
      <c r="BV290" s="90"/>
      <c r="BW290" s="91" t="str">
        <f>IF(BV290=0,"--",(Table645[[#This Row],[Column73]]*$BV$4*(IF(J290&lt;0.5001,1,IF(J290&lt;2.0001,2,3)))+BV290/$BV$3)/60/24)</f>
        <v>--</v>
      </c>
      <c r="BX290" s="92">
        <f>IF(Table645[[#This Row],[Column75]]="--",0,Table645[[#This Row],[Column4]]*Table645[[#This Row],[Column75]])</f>
        <v>0</v>
      </c>
      <c r="BY290" s="95" t="s">
        <v>70</v>
      </c>
      <c r="BZ290" s="91" t="str">
        <f>IF(Table645[[#This Row],[Column74]]=0,"--",BW290*$BY$3)</f>
        <v>--</v>
      </c>
      <c r="CA290" s="89">
        <f>IF(Table645[[#This Row],[Column78]]="--",0,Table645[[#This Row],[Column4]]*Table645[[#This Row],[Column78]])</f>
        <v>0</v>
      </c>
      <c r="CB290" s="95" t="s">
        <v>70</v>
      </c>
      <c r="CC290" s="91" t="str">
        <f>IF(Table645[[#This Row],[Column10]]+Table645[[#This Row],[Column74]]=0,"--",J290*$CB$4*$CB$5/(24*60)+IF(Table645[[#This Row],[Column74]]=0,0,$CB$3*Table645[[#This Row],[Column75]]))</f>
        <v>--</v>
      </c>
      <c r="CD290" s="92">
        <f>IF(Table645[[#This Row],[Column81]]="--",0,Table645[[#This Row],[Column4]]*Table645[[#This Row],[Column81]])</f>
        <v>0</v>
      </c>
      <c r="CE290" s="215"/>
      <c r="CF290" s="91" t="str">
        <f t="shared" si="149"/>
        <v>--</v>
      </c>
      <c r="CG290" s="92">
        <f>IF(Table645[[#This Row],[Column84]]="--",0,Table645[[#This Row],[Column4]]*Table645[[#This Row],[Column84]])</f>
        <v>0</v>
      </c>
      <c r="CH290" s="226"/>
      <c r="CI290" s="216"/>
      <c r="CJ290" s="91" t="str">
        <f>IF(CI290=0,"--",(Table645[[#This Row],[Column86]]*$CI$4*(IF(W290&lt;0.5001,1,IF(W290&lt;2.0001,2,3)))+CI290/$CI$3)/60/24)</f>
        <v>--</v>
      </c>
      <c r="CK290" s="92">
        <f>IF(Table645[[#This Row],[Column88]]="--",0,Table645[[#This Row],[Column4]]*Table645[[#This Row],[Column88]])</f>
        <v>0</v>
      </c>
      <c r="CL290" s="217"/>
      <c r="CM290" s="91" t="str">
        <f>IF(Table645[[#This Row],[Column87]]=0,"--",CJ290*$CL$3)</f>
        <v>--</v>
      </c>
      <c r="CN290" s="92">
        <f>IF(Table645[[#This Row],[Column91]]="--",0,Table645[[#This Row],[Column4]]*Table645[[#This Row],[Column91]])</f>
        <v>0</v>
      </c>
      <c r="CO290" s="217"/>
      <c r="CP290" s="91" t="str">
        <f>IF(Table645[[#This Row],[Column10]]+Table645[[#This Row],[Column87]]=0, "--", IF($D290="", 1, $D290) * IF($J290="", 1, $J290) * $CO$3 * $CO$4 * IF(Table645[[#This Row],[Column95]]="", 1, Table645[[#This Row],[Column95]]) / (24 * 60))</f>
        <v>--</v>
      </c>
      <c r="CQ290" s="164"/>
      <c r="CR290" s="92">
        <f>IF(Table645[[#This Row],[Column94]]="--",0,Table645[[#This Row],[Column4]]*Table645[[#This Row],[Column94]])</f>
        <v>0</v>
      </c>
      <c r="CS290" s="218" t="str">
        <f>IF(Table645[[#This Row],[Column87]]="","",Table645[[#This Row],[Column87]])</f>
        <v/>
      </c>
      <c r="CT290" s="91" t="str">
        <f>IF(Table645[[#This Row],[Column97]]="","--",Table645[[#This Row],[Column97]]/$CS$3/60/24)</f>
        <v>--</v>
      </c>
      <c r="CU290" s="92">
        <f>IF(Table645[[#This Row],[Column98]]="--",0,Table645[[#This Row],[Column4]]*Table645[[#This Row],[Column98]])</f>
        <v>0</v>
      </c>
      <c r="CV290" s="93"/>
      <c r="CW290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90" s="91" t="str">
        <f>IF(OR(Table645[[#This Row],[Column74]]&gt;0,Table645[[#This Row],[Column87]]&gt;0),(Table645[[#This Row],[Column73]]+Table645[[#This Row],[Column86]]+1)*$CW$3/60/24,"--")</f>
        <v>--</v>
      </c>
      <c r="CY290" s="92">
        <f>IF(Table645[[#This Row],[Column102]]="--",0,Table645[[#This Row],[Column4]]*Table645[[#This Row],[Column102]])</f>
        <v>0</v>
      </c>
      <c r="CZ290" s="158" t="str">
        <f t="shared" si="186"/>
        <v>--</v>
      </c>
      <c r="DA290" s="153"/>
      <c r="DB290" s="160">
        <f>IF(Table645[[#This Row],[Column104]]="--",0,Table645[[#This Row],[Column4]]*Table645[[#This Row],[Column104]])</f>
        <v>0</v>
      </c>
      <c r="DC290" s="219"/>
      <c r="DD290" s="220" t="str">
        <f>IF(DC290=0,"--",1/$DC$3*1000/(60*60*24)*Table645[[#This Row],[Column107]])</f>
        <v>--</v>
      </c>
      <c r="DE290" s="160">
        <f>IF(Table645[[#This Row],[Column108]]="--",0,Table645[[#This Row],[Column4]]*Table645[[#This Row],[Column108]])</f>
        <v>0</v>
      </c>
      <c r="DF290" s="101" t="s">
        <v>70</v>
      </c>
      <c r="DG290" s="91" t="str">
        <f t="shared" si="187"/>
        <v>--</v>
      </c>
      <c r="DH290" s="89">
        <f>IF(Table645[[#This Row],[Column111]]="--",0,Table645[[#This Row],[Column4]]*Table645[[#This Row],[Column111]])</f>
        <v>0</v>
      </c>
      <c r="DI290" s="96"/>
      <c r="DJ290" s="96"/>
      <c r="DK290" s="96"/>
      <c r="DL290" s="96"/>
      <c r="DM290" s="96"/>
      <c r="DN290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90" s="89">
        <f>IF(Table645[[#This Row],[Column118]]="--",0,Table645[[#This Row],[Column4]]*Table645[[#This Row],[Column118]])</f>
        <v>0</v>
      </c>
      <c r="DP290" s="96"/>
      <c r="DQ290" s="96"/>
      <c r="DR290" s="91" t="str">
        <f t="shared" si="188"/>
        <v>--</v>
      </c>
      <c r="DS290" s="89">
        <f>IF(Table645[[#This Row],[Column122]]="--",0,Table645[[#This Row],[Column4]]*Table645[[#This Row],[Column122]])</f>
        <v>0</v>
      </c>
      <c r="DT290" t="str">
        <f>IF(Table645[[#This Row],[Column125]]=0,"--",Table645[[#This Row],[Column125]]*Table645[[#This Row],[Column126]]*Table645[[#This Row],[Column127]]/1000000000)</f>
        <v>--</v>
      </c>
      <c r="DU290" s="53"/>
      <c r="DV290" s="53"/>
      <c r="DW290" s="53"/>
      <c r="DX290" s="91" t="str">
        <f t="shared" si="189"/>
        <v>--</v>
      </c>
      <c r="DY290" s="89">
        <f>IF(Table645[[#This Row],[Column128]]="--",0,Table645[[#This Row],[Column4]]*Table645[[#This Row],[Column128]])</f>
        <v>0</v>
      </c>
      <c r="EA290" s="89">
        <f>IF(Table645[[#This Row],[Column128]]="--",0,Table645[[#This Row],[Column4]]*Table645[[#This Row],[Column128]])</f>
        <v>0</v>
      </c>
      <c r="EC290" s="89">
        <f>IF(Table645[[#This Row],[Column128]]="--",0,Table645[[#This Row],[Column4]]*Table645[[#This Row],[Column128]])</f>
        <v>0</v>
      </c>
      <c r="EE290" s="89">
        <f>IF(Table645[[#This Row],[Column128]]="--",0,Table645[[#This Row],[Column4]]*Table645[[#This Row],[Column128]])</f>
        <v>0</v>
      </c>
      <c r="EG290" s="89">
        <f>IF(Table645[[#This Row],[Column128]]="--",0,Table645[[#This Row],[Column4]]*Table645[[#This Row],[Column128]])</f>
        <v>0</v>
      </c>
      <c r="EI290" s="89">
        <f>IF(Table645[[#This Row],[Column128]]="--",0,Table645[[#This Row],[Column4]]*Table645[[#This Row],[Column128]])</f>
        <v>0</v>
      </c>
    </row>
    <row r="291" spans="1:139" x14ac:dyDescent="0.25">
      <c r="A291" s="140"/>
      <c r="B291" s="79"/>
      <c r="C291" s="140"/>
      <c r="D291" s="167"/>
      <c r="E291" s="52"/>
      <c r="F291" s="81"/>
      <c r="G291" s="81"/>
      <c r="H291" s="102" t="str">
        <f t="shared" si="150"/>
        <v>--</v>
      </c>
      <c r="I291" s="100">
        <f>IF(Table645[[#This Row],[Column8]]="--",0,Table645[[#This Row],[Column4]]*Table645[[#This Row],[Column8]])</f>
        <v>0</v>
      </c>
      <c r="J291" s="169"/>
      <c r="K291" s="85">
        <f>Table645[[#This Row],[Column4]]*Table645[[#This Row],[Column10]]</f>
        <v>0</v>
      </c>
      <c r="L291" s="170" t="str">
        <f t="shared" si="151"/>
        <v>--</v>
      </c>
      <c r="M291" s="214">
        <f>IF(Table645[[#This Row],[Column10]]=0,0,Table645[[#This Row],[Column4]]*Table645[[#This Row],[Column12]])</f>
        <v>0</v>
      </c>
      <c r="N291" s="87" t="str">
        <f t="shared" si="152"/>
        <v>--</v>
      </c>
      <c r="O291" s="138"/>
      <c r="AZ291" s="89">
        <f>IF(Table645[[#This Row],[Column14]]="--",0,Table645[[#This Row],[Column4]]*Table645[[#This Row],[Column14]])</f>
        <v>0</v>
      </c>
      <c r="BA291" s="90"/>
      <c r="BB291" s="91" t="str">
        <f>IF(BA291=0,"--",BA291*$BA$3*IF(Table645[[#This Row],[Column5]]&lt;4.1,1,2)/60/24)</f>
        <v>--</v>
      </c>
      <c r="BC291" s="92">
        <f>IF(Table645[[#This Row],[Column54]]="--",0,Table645[[#This Row],[Column4]]*Table645[[#This Row],[Column54]])</f>
        <v>0</v>
      </c>
      <c r="BD291" s="119"/>
      <c r="BE291" s="119"/>
      <c r="BF291" s="119"/>
      <c r="BG291" s="91" t="str">
        <f>IF(BD291+Table645[[#This Row],[Column58]]=0,"--",(BD291*$BF$3*Table645[[#This Row],[Column57]]+Table645[[#This Row],[Column58]]*$BF$4)/60/24)</f>
        <v>--</v>
      </c>
      <c r="BH291" s="92">
        <f>IF(Table645[[#This Row],[Column59]]="--",0,Table645[[#This Row],[Column4]]*Table645[[#This Row],[Column59]])</f>
        <v>0</v>
      </c>
      <c r="BI291" s="119"/>
      <c r="BJ291" s="91" t="str">
        <f t="shared" ref="BJ291:BJ300" si="190">IF(BI291=0,"--",BI291/$BI$3/60/24)</f>
        <v>--</v>
      </c>
      <c r="BK291" s="92">
        <f>IF(Table645[[#This Row],[Column62]]="--",0,Table645[[#This Row],[Column4]]*Table645[[#This Row],[Column62]])</f>
        <v>0</v>
      </c>
      <c r="BL291" s="93"/>
      <c r="BM291" s="91" t="str">
        <f t="shared" si="153"/>
        <v>--</v>
      </c>
      <c r="BN291" s="89">
        <f>IF(Table645[[#This Row],[Column65]]="--",0,Table645[[#This Row],[Column4]]*Table645[[#This Row],[Column65]])</f>
        <v>0</v>
      </c>
      <c r="BO291" s="163"/>
      <c r="BP291" s="164" t="str">
        <f t="shared" si="154"/>
        <v>--</v>
      </c>
      <c r="BQ291" s="160">
        <f>IF(Table645[[#This Row],[Column68]]="--",0,Table645[[#This Row],[Column4]]*Table645[[#This Row],[Column68]])</f>
        <v>0</v>
      </c>
      <c r="BR291" s="94"/>
      <c r="BS291" s="91" t="str">
        <f t="shared" si="155"/>
        <v>--</v>
      </c>
      <c r="BT291" s="92">
        <f>IF(Table645[[#This Row],[Column71]]="--",0,Table645[[#This Row],[Column4]]*Table645[[#This Row],[Column71]])</f>
        <v>0</v>
      </c>
      <c r="BU291" s="44"/>
      <c r="BV291" s="90"/>
      <c r="BW291" s="91" t="str">
        <f>IF(BV291=0,"--",(Table645[[#This Row],[Column73]]*$BV$4*(IF(J291&lt;0.5001,1,IF(J291&lt;2.0001,2,3)))+BV291/$BV$3)/60/24)</f>
        <v>--</v>
      </c>
      <c r="BX291" s="92">
        <f>IF(Table645[[#This Row],[Column75]]="--",0,Table645[[#This Row],[Column4]]*Table645[[#This Row],[Column75]])</f>
        <v>0</v>
      </c>
      <c r="BY291" s="95" t="s">
        <v>70</v>
      </c>
      <c r="BZ291" s="91" t="str">
        <f>IF(Table645[[#This Row],[Column74]]=0,"--",BW291*$BY$3)</f>
        <v>--</v>
      </c>
      <c r="CA291" s="89">
        <f>IF(Table645[[#This Row],[Column78]]="--",0,Table645[[#This Row],[Column4]]*Table645[[#This Row],[Column78]])</f>
        <v>0</v>
      </c>
      <c r="CB291" s="95" t="s">
        <v>70</v>
      </c>
      <c r="CC291" s="91" t="str">
        <f>IF(Table645[[#This Row],[Column10]]+Table645[[#This Row],[Column74]]=0,"--",J291*$CB$4*$CB$5/(24*60)+IF(Table645[[#This Row],[Column74]]=0,0,$CB$3*Table645[[#This Row],[Column75]]))</f>
        <v>--</v>
      </c>
      <c r="CD291" s="92">
        <f>IF(Table645[[#This Row],[Column81]]="--",0,Table645[[#This Row],[Column4]]*Table645[[#This Row],[Column81]])</f>
        <v>0</v>
      </c>
      <c r="CE291" s="215"/>
      <c r="CF291" s="91" t="str">
        <f t="shared" ref="CF291:CF300" si="191">IF(CE291=0,"--",CE291*$BR$3/60/60/24)</f>
        <v>--</v>
      </c>
      <c r="CG291" s="92">
        <f>IF(Table645[[#This Row],[Column84]]="--",0,Table645[[#This Row],[Column4]]*Table645[[#This Row],[Column84]])</f>
        <v>0</v>
      </c>
      <c r="CH291" s="226"/>
      <c r="CI291" s="216"/>
      <c r="CJ291" s="91" t="str">
        <f>IF(CI291=0,"--",(Table645[[#This Row],[Column86]]*$CI$4*(IF(W291&lt;0.5001,1,IF(W291&lt;2.0001,2,3)))+CI291/$CI$3)/60/24)</f>
        <v>--</v>
      </c>
      <c r="CK291" s="92">
        <f>IF(Table645[[#This Row],[Column88]]="--",0,Table645[[#This Row],[Column4]]*Table645[[#This Row],[Column88]])</f>
        <v>0</v>
      </c>
      <c r="CL291" s="217"/>
      <c r="CM291" s="91" t="str">
        <f>IF(Table645[[#This Row],[Column87]]=0,"--",CJ291*$CL$3)</f>
        <v>--</v>
      </c>
      <c r="CN291" s="92">
        <f>IF(Table645[[#This Row],[Column91]]="--",0,Table645[[#This Row],[Column4]]*Table645[[#This Row],[Column91]])</f>
        <v>0</v>
      </c>
      <c r="CO291" s="217"/>
      <c r="CP291" s="91" t="str">
        <f>IF(Table645[[#This Row],[Column10]]+Table645[[#This Row],[Column87]]=0, "--", IF($D291="", 1, $D291) * IF($J291="", 1, $J291) * $CO$3 * $CO$4 * IF(Table645[[#This Row],[Column95]]="", 1, Table645[[#This Row],[Column95]]) / (24 * 60))</f>
        <v>--</v>
      </c>
      <c r="CQ291" s="164"/>
      <c r="CR291" s="92">
        <f>IF(Table645[[#This Row],[Column94]]="--",0,Table645[[#This Row],[Column4]]*Table645[[#This Row],[Column94]])</f>
        <v>0</v>
      </c>
      <c r="CS291" s="218" t="str">
        <f>IF(Table645[[#This Row],[Column87]]="","",Table645[[#This Row],[Column87]])</f>
        <v/>
      </c>
      <c r="CT291" s="91" t="str">
        <f>IF(Table645[[#This Row],[Column97]]="","--",Table645[[#This Row],[Column97]]/$CS$3/60/24)</f>
        <v>--</v>
      </c>
      <c r="CU291" s="92">
        <f>IF(Table645[[#This Row],[Column98]]="--",0,Table645[[#This Row],[Column4]]*Table645[[#This Row],[Column98]])</f>
        <v>0</v>
      </c>
      <c r="CV291" s="93"/>
      <c r="CW291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91" s="91" t="str">
        <f>IF(OR(Table645[[#This Row],[Column74]]&gt;0,Table645[[#This Row],[Column87]]&gt;0),(Table645[[#This Row],[Column73]]+Table645[[#This Row],[Column86]]+1)*$CW$3/60/24,"--")</f>
        <v>--</v>
      </c>
      <c r="CY291" s="92">
        <f>IF(Table645[[#This Row],[Column102]]="--",0,Table645[[#This Row],[Column4]]*Table645[[#This Row],[Column102]])</f>
        <v>0</v>
      </c>
      <c r="CZ291" s="158" t="str">
        <f t="shared" si="156"/>
        <v>--</v>
      </c>
      <c r="DA291" s="153"/>
      <c r="DB291" s="160">
        <f>IF(Table645[[#This Row],[Column104]]="--",0,Table645[[#This Row],[Column4]]*Table645[[#This Row],[Column104]])</f>
        <v>0</v>
      </c>
      <c r="DC291" s="219"/>
      <c r="DD291" s="220" t="str">
        <f>IF(DC291=0,"--",1/$DC$3*1000/(60*60*24)*Table645[[#This Row],[Column107]])</f>
        <v>--</v>
      </c>
      <c r="DE291" s="160">
        <f>IF(Table645[[#This Row],[Column108]]="--",0,Table645[[#This Row],[Column4]]*Table645[[#This Row],[Column108]])</f>
        <v>0</v>
      </c>
      <c r="DF291" s="101" t="s">
        <v>70</v>
      </c>
      <c r="DG291" s="91" t="str">
        <f t="shared" si="157"/>
        <v>--</v>
      </c>
      <c r="DH291" s="89">
        <f>IF(Table645[[#This Row],[Column111]]="--",0,Table645[[#This Row],[Column4]]*Table645[[#This Row],[Column111]])</f>
        <v>0</v>
      </c>
      <c r="DI291" s="96"/>
      <c r="DJ291" s="96"/>
      <c r="DK291" s="96"/>
      <c r="DL291" s="96"/>
      <c r="DM291" s="96"/>
      <c r="DN291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91" s="89">
        <f>IF(Table645[[#This Row],[Column118]]="--",0,Table645[[#This Row],[Column4]]*Table645[[#This Row],[Column118]])</f>
        <v>0</v>
      </c>
      <c r="DP291" s="96"/>
      <c r="DQ291" s="96"/>
      <c r="DR291" s="91" t="str">
        <f t="shared" si="158"/>
        <v>--</v>
      </c>
      <c r="DS291" s="89">
        <f>IF(Table645[[#This Row],[Column122]]="--",0,Table645[[#This Row],[Column4]]*Table645[[#This Row],[Column122]])</f>
        <v>0</v>
      </c>
      <c r="DT291" t="str">
        <f>IF(Table645[[#This Row],[Column125]]=0,"--",Table645[[#This Row],[Column125]]*Table645[[#This Row],[Column126]]*Table645[[#This Row],[Column127]]/1000000000)</f>
        <v>--</v>
      </c>
      <c r="DU291" s="53"/>
      <c r="DV291" s="53"/>
      <c r="DW291" s="53"/>
      <c r="DX291" s="91" t="str">
        <f t="shared" si="159"/>
        <v>--</v>
      </c>
      <c r="DY291" s="89">
        <f>IF(Table645[[#This Row],[Column128]]="--",0,Table645[[#This Row],[Column4]]*Table645[[#This Row],[Column128]])</f>
        <v>0</v>
      </c>
      <c r="EA291" s="89">
        <f>IF(Table645[[#This Row],[Column128]]="--",0,Table645[[#This Row],[Column4]]*Table645[[#This Row],[Column128]])</f>
        <v>0</v>
      </c>
      <c r="EC291" s="89">
        <f>IF(Table645[[#This Row],[Column128]]="--",0,Table645[[#This Row],[Column4]]*Table645[[#This Row],[Column128]])</f>
        <v>0</v>
      </c>
      <c r="EE291" s="89">
        <f>IF(Table645[[#This Row],[Column128]]="--",0,Table645[[#This Row],[Column4]]*Table645[[#This Row],[Column128]])</f>
        <v>0</v>
      </c>
      <c r="EG291" s="89">
        <f>IF(Table645[[#This Row],[Column128]]="--",0,Table645[[#This Row],[Column4]]*Table645[[#This Row],[Column128]])</f>
        <v>0</v>
      </c>
      <c r="EI291" s="89">
        <f>IF(Table645[[#This Row],[Column128]]="--",0,Table645[[#This Row],[Column4]]*Table645[[#This Row],[Column128]])</f>
        <v>0</v>
      </c>
    </row>
    <row r="292" spans="1:139" x14ac:dyDescent="0.25">
      <c r="A292" s="140"/>
      <c r="B292" s="79"/>
      <c r="C292" s="140"/>
      <c r="D292" s="167"/>
      <c r="E292" s="52"/>
      <c r="F292" s="81"/>
      <c r="G292" s="81"/>
      <c r="H292" s="102" t="str">
        <f t="shared" si="150"/>
        <v>--</v>
      </c>
      <c r="I292" s="100">
        <f>IF(Table645[[#This Row],[Column8]]="--",0,Table645[[#This Row],[Column4]]*Table645[[#This Row],[Column8]])</f>
        <v>0</v>
      </c>
      <c r="J292" s="169"/>
      <c r="K292" s="85">
        <f>Table645[[#This Row],[Column4]]*Table645[[#This Row],[Column10]]</f>
        <v>0</v>
      </c>
      <c r="L292" s="170" t="str">
        <f t="shared" si="151"/>
        <v>--</v>
      </c>
      <c r="M292" s="214">
        <f>IF(Table645[[#This Row],[Column10]]=0,0,Table645[[#This Row],[Column4]]*Table645[[#This Row],[Column12]])</f>
        <v>0</v>
      </c>
      <c r="N292" s="87" t="str">
        <f t="shared" si="152"/>
        <v>--</v>
      </c>
      <c r="O292" s="138"/>
      <c r="AZ292" s="89">
        <f>IF(Table645[[#This Row],[Column14]]="--",0,Table645[[#This Row],[Column4]]*Table645[[#This Row],[Column14]])</f>
        <v>0</v>
      </c>
      <c r="BA292" s="90"/>
      <c r="BB292" s="91" t="str">
        <f>IF(BA292=0,"--",BA292*$BA$3*IF(Table645[[#This Row],[Column5]]&lt;4.1,1,2)/60/24)</f>
        <v>--</v>
      </c>
      <c r="BC292" s="92">
        <f>IF(Table645[[#This Row],[Column54]]="--",0,Table645[[#This Row],[Column4]]*Table645[[#This Row],[Column54]])</f>
        <v>0</v>
      </c>
      <c r="BD292" s="119"/>
      <c r="BE292" s="119"/>
      <c r="BF292" s="119"/>
      <c r="BG292" s="91" t="str">
        <f>IF(BD292+Table645[[#This Row],[Column58]]=0,"--",(BD292*$BF$3*Table645[[#This Row],[Column57]]+Table645[[#This Row],[Column58]]*$BF$4)/60/24)</f>
        <v>--</v>
      </c>
      <c r="BH292" s="92">
        <f>IF(Table645[[#This Row],[Column59]]="--",0,Table645[[#This Row],[Column4]]*Table645[[#This Row],[Column59]])</f>
        <v>0</v>
      </c>
      <c r="BI292" s="119"/>
      <c r="BJ292" s="91" t="str">
        <f t="shared" si="190"/>
        <v>--</v>
      </c>
      <c r="BK292" s="92">
        <f>IF(Table645[[#This Row],[Column62]]="--",0,Table645[[#This Row],[Column4]]*Table645[[#This Row],[Column62]])</f>
        <v>0</v>
      </c>
      <c r="BL292" s="93"/>
      <c r="BM292" s="91" t="str">
        <f t="shared" si="153"/>
        <v>--</v>
      </c>
      <c r="BN292" s="89">
        <f>IF(Table645[[#This Row],[Column65]]="--",0,Table645[[#This Row],[Column4]]*Table645[[#This Row],[Column65]])</f>
        <v>0</v>
      </c>
      <c r="BO292" s="163"/>
      <c r="BP292" s="164" t="str">
        <f t="shared" si="154"/>
        <v>--</v>
      </c>
      <c r="BQ292" s="160">
        <f>IF(Table645[[#This Row],[Column68]]="--",0,Table645[[#This Row],[Column4]]*Table645[[#This Row],[Column68]])</f>
        <v>0</v>
      </c>
      <c r="BR292" s="94"/>
      <c r="BS292" s="91" t="str">
        <f t="shared" si="155"/>
        <v>--</v>
      </c>
      <c r="BT292" s="92">
        <f>IF(Table645[[#This Row],[Column71]]="--",0,Table645[[#This Row],[Column4]]*Table645[[#This Row],[Column71]])</f>
        <v>0</v>
      </c>
      <c r="BU292" s="44"/>
      <c r="BV292" s="90"/>
      <c r="BW292" s="91" t="str">
        <f>IF(BV292=0,"--",(Table645[[#This Row],[Column73]]*$BV$4*(IF(J292&lt;0.5001,1,IF(J292&lt;2.0001,2,3)))+BV292/$BV$3)/60/24)</f>
        <v>--</v>
      </c>
      <c r="BX292" s="92">
        <f>IF(Table645[[#This Row],[Column75]]="--",0,Table645[[#This Row],[Column4]]*Table645[[#This Row],[Column75]])</f>
        <v>0</v>
      </c>
      <c r="BY292" s="95" t="s">
        <v>70</v>
      </c>
      <c r="BZ292" s="91" t="str">
        <f>IF(Table645[[#This Row],[Column74]]=0,"--",BW292*$BY$3)</f>
        <v>--</v>
      </c>
      <c r="CA292" s="89">
        <f>IF(Table645[[#This Row],[Column78]]="--",0,Table645[[#This Row],[Column4]]*Table645[[#This Row],[Column78]])</f>
        <v>0</v>
      </c>
      <c r="CB292" s="95" t="s">
        <v>70</v>
      </c>
      <c r="CC292" s="91" t="str">
        <f>IF(Table645[[#This Row],[Column10]]+Table645[[#This Row],[Column74]]=0,"--",J292*$CB$4*$CB$5/(24*60)+IF(Table645[[#This Row],[Column74]]=0,0,$CB$3*Table645[[#This Row],[Column75]]))</f>
        <v>--</v>
      </c>
      <c r="CD292" s="92">
        <f>IF(Table645[[#This Row],[Column81]]="--",0,Table645[[#This Row],[Column4]]*Table645[[#This Row],[Column81]])</f>
        <v>0</v>
      </c>
      <c r="CE292" s="215"/>
      <c r="CF292" s="91" t="str">
        <f t="shared" si="191"/>
        <v>--</v>
      </c>
      <c r="CG292" s="92">
        <f>IF(Table645[[#This Row],[Column84]]="--",0,Table645[[#This Row],[Column4]]*Table645[[#This Row],[Column84]])</f>
        <v>0</v>
      </c>
      <c r="CH292" s="226"/>
      <c r="CI292" s="216"/>
      <c r="CJ292" s="91" t="str">
        <f>IF(CI292=0,"--",(Table645[[#This Row],[Column86]]*$CI$4*(IF(W292&lt;0.5001,1,IF(W292&lt;2.0001,2,3)))+CI292/$CI$3)/60/24)</f>
        <v>--</v>
      </c>
      <c r="CK292" s="92">
        <f>IF(Table645[[#This Row],[Column88]]="--",0,Table645[[#This Row],[Column4]]*Table645[[#This Row],[Column88]])</f>
        <v>0</v>
      </c>
      <c r="CL292" s="217"/>
      <c r="CM292" s="91" t="str">
        <f>IF(Table645[[#This Row],[Column87]]=0,"--",CJ292*$CL$3)</f>
        <v>--</v>
      </c>
      <c r="CN292" s="92">
        <f>IF(Table645[[#This Row],[Column91]]="--",0,Table645[[#This Row],[Column4]]*Table645[[#This Row],[Column91]])</f>
        <v>0</v>
      </c>
      <c r="CO292" s="217"/>
      <c r="CP292" s="91" t="str">
        <f>IF(Table645[[#This Row],[Column10]]+Table645[[#This Row],[Column87]]=0, "--", IF($D292="", 1, $D292) * IF($J292="", 1, $J292) * $CO$3 * $CO$4 * IF(Table645[[#This Row],[Column95]]="", 1, Table645[[#This Row],[Column95]]) / (24 * 60))</f>
        <v>--</v>
      </c>
      <c r="CQ292" s="164"/>
      <c r="CR292" s="92">
        <f>IF(Table645[[#This Row],[Column94]]="--",0,Table645[[#This Row],[Column4]]*Table645[[#This Row],[Column94]])</f>
        <v>0</v>
      </c>
      <c r="CS292" s="218" t="str">
        <f>IF(Table645[[#This Row],[Column87]]="","",Table645[[#This Row],[Column87]])</f>
        <v/>
      </c>
      <c r="CT292" s="91" t="str">
        <f>IF(Table645[[#This Row],[Column97]]="","--",Table645[[#This Row],[Column97]]/$CS$3/60/24)</f>
        <v>--</v>
      </c>
      <c r="CU292" s="92">
        <f>IF(Table645[[#This Row],[Column98]]="--",0,Table645[[#This Row],[Column4]]*Table645[[#This Row],[Column98]])</f>
        <v>0</v>
      </c>
      <c r="CV292" s="93"/>
      <c r="CW292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92" s="91" t="str">
        <f>IF(OR(Table645[[#This Row],[Column74]]&gt;0,Table645[[#This Row],[Column87]]&gt;0),(Table645[[#This Row],[Column73]]+Table645[[#This Row],[Column86]]+1)*$CW$3/60/24,"--")</f>
        <v>--</v>
      </c>
      <c r="CY292" s="92">
        <f>IF(Table645[[#This Row],[Column102]]="--",0,Table645[[#This Row],[Column4]]*Table645[[#This Row],[Column102]])</f>
        <v>0</v>
      </c>
      <c r="CZ292" s="158" t="str">
        <f t="shared" si="156"/>
        <v>--</v>
      </c>
      <c r="DA292" s="153"/>
      <c r="DB292" s="160">
        <f>IF(Table645[[#This Row],[Column104]]="--",0,Table645[[#This Row],[Column4]]*Table645[[#This Row],[Column104]])</f>
        <v>0</v>
      </c>
      <c r="DC292" s="219"/>
      <c r="DD292" s="220" t="str">
        <f>IF(DC292=0,"--",1/$DC$3*1000/(60*60*24)*Table645[[#This Row],[Column107]])</f>
        <v>--</v>
      </c>
      <c r="DE292" s="160">
        <f>IF(Table645[[#This Row],[Column108]]="--",0,Table645[[#This Row],[Column4]]*Table645[[#This Row],[Column108]])</f>
        <v>0</v>
      </c>
      <c r="DF292" s="101" t="s">
        <v>70</v>
      </c>
      <c r="DG292" s="91" t="str">
        <f t="shared" si="157"/>
        <v>--</v>
      </c>
      <c r="DH292" s="89">
        <f>IF(Table645[[#This Row],[Column111]]="--",0,Table645[[#This Row],[Column4]]*Table645[[#This Row],[Column111]])</f>
        <v>0</v>
      </c>
      <c r="DI292" s="96"/>
      <c r="DJ292" s="96"/>
      <c r="DK292" s="96"/>
      <c r="DL292" s="96"/>
      <c r="DM292" s="96"/>
      <c r="DN292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92" s="89">
        <f>IF(Table645[[#This Row],[Column118]]="--",0,Table645[[#This Row],[Column4]]*Table645[[#This Row],[Column118]])</f>
        <v>0</v>
      </c>
      <c r="DP292" s="96"/>
      <c r="DQ292" s="96"/>
      <c r="DR292" s="91" t="str">
        <f t="shared" si="158"/>
        <v>--</v>
      </c>
      <c r="DS292" s="89">
        <f>IF(Table645[[#This Row],[Column122]]="--",0,Table645[[#This Row],[Column4]]*Table645[[#This Row],[Column122]])</f>
        <v>0</v>
      </c>
      <c r="DT292" t="str">
        <f>IF(Table645[[#This Row],[Column125]]=0,"--",Table645[[#This Row],[Column125]]*Table645[[#This Row],[Column126]]*Table645[[#This Row],[Column127]]/1000000000)</f>
        <v>--</v>
      </c>
      <c r="DU292" s="53"/>
      <c r="DV292" s="53"/>
      <c r="DW292" s="53"/>
      <c r="DX292" s="91" t="str">
        <f t="shared" si="159"/>
        <v>--</v>
      </c>
      <c r="DY292" s="89">
        <f>IF(Table645[[#This Row],[Column128]]="--",0,Table645[[#This Row],[Column4]]*Table645[[#This Row],[Column128]])</f>
        <v>0</v>
      </c>
      <c r="EA292" s="89">
        <f>IF(Table645[[#This Row],[Column128]]="--",0,Table645[[#This Row],[Column4]]*Table645[[#This Row],[Column128]])</f>
        <v>0</v>
      </c>
      <c r="EC292" s="89">
        <f>IF(Table645[[#This Row],[Column128]]="--",0,Table645[[#This Row],[Column4]]*Table645[[#This Row],[Column128]])</f>
        <v>0</v>
      </c>
      <c r="EE292" s="89">
        <f>IF(Table645[[#This Row],[Column128]]="--",0,Table645[[#This Row],[Column4]]*Table645[[#This Row],[Column128]])</f>
        <v>0</v>
      </c>
      <c r="EG292" s="89">
        <f>IF(Table645[[#This Row],[Column128]]="--",0,Table645[[#This Row],[Column4]]*Table645[[#This Row],[Column128]])</f>
        <v>0</v>
      </c>
      <c r="EI292" s="89">
        <f>IF(Table645[[#This Row],[Column128]]="--",0,Table645[[#This Row],[Column4]]*Table645[[#This Row],[Column128]])</f>
        <v>0</v>
      </c>
    </row>
    <row r="293" spans="1:139" x14ac:dyDescent="0.25">
      <c r="A293" s="140"/>
      <c r="B293" s="79"/>
      <c r="C293" s="140"/>
      <c r="D293" s="167"/>
      <c r="E293" s="52"/>
      <c r="F293" s="81"/>
      <c r="G293" s="81"/>
      <c r="H293" s="102" t="str">
        <f t="shared" si="150"/>
        <v>--</v>
      </c>
      <c r="I293" s="100">
        <f>IF(Table645[[#This Row],[Column8]]="--",0,Table645[[#This Row],[Column4]]*Table645[[#This Row],[Column8]])</f>
        <v>0</v>
      </c>
      <c r="J293" s="169"/>
      <c r="K293" s="85">
        <f>Table645[[#This Row],[Column4]]*Table645[[#This Row],[Column10]]</f>
        <v>0</v>
      </c>
      <c r="L293" s="170" t="str">
        <f t="shared" si="151"/>
        <v>--</v>
      </c>
      <c r="M293" s="214">
        <f>IF(Table645[[#This Row],[Column10]]=0,0,Table645[[#This Row],[Column4]]*Table645[[#This Row],[Column12]])</f>
        <v>0</v>
      </c>
      <c r="N293" s="87" t="str">
        <f t="shared" si="152"/>
        <v>--</v>
      </c>
      <c r="O293" s="138"/>
      <c r="AZ293" s="89">
        <f>IF(Table645[[#This Row],[Column14]]="--",0,Table645[[#This Row],[Column4]]*Table645[[#This Row],[Column14]])</f>
        <v>0</v>
      </c>
      <c r="BA293" s="90"/>
      <c r="BB293" s="91" t="str">
        <f>IF(BA293=0,"--",BA293*$BA$3*IF(Table645[[#This Row],[Column5]]&lt;4.1,1,2)/60/24)</f>
        <v>--</v>
      </c>
      <c r="BC293" s="92">
        <f>IF(Table645[[#This Row],[Column54]]="--",0,Table645[[#This Row],[Column4]]*Table645[[#This Row],[Column54]])</f>
        <v>0</v>
      </c>
      <c r="BD293" s="119"/>
      <c r="BE293" s="119"/>
      <c r="BF293" s="119"/>
      <c r="BG293" s="91" t="str">
        <f>IF(BD293+Table645[[#This Row],[Column58]]=0,"--",(BD293*$BF$3*Table645[[#This Row],[Column57]]+Table645[[#This Row],[Column58]]*$BF$4)/60/24)</f>
        <v>--</v>
      </c>
      <c r="BH293" s="92">
        <f>IF(Table645[[#This Row],[Column59]]="--",0,Table645[[#This Row],[Column4]]*Table645[[#This Row],[Column59]])</f>
        <v>0</v>
      </c>
      <c r="BI293" s="119"/>
      <c r="BJ293" s="91" t="str">
        <f t="shared" si="190"/>
        <v>--</v>
      </c>
      <c r="BK293" s="92">
        <f>IF(Table645[[#This Row],[Column62]]="--",0,Table645[[#This Row],[Column4]]*Table645[[#This Row],[Column62]])</f>
        <v>0</v>
      </c>
      <c r="BL293" s="93"/>
      <c r="BM293" s="91" t="str">
        <f t="shared" si="153"/>
        <v>--</v>
      </c>
      <c r="BN293" s="89">
        <f>IF(Table645[[#This Row],[Column65]]="--",0,Table645[[#This Row],[Column4]]*Table645[[#This Row],[Column65]])</f>
        <v>0</v>
      </c>
      <c r="BO293" s="163"/>
      <c r="BP293" s="164" t="str">
        <f t="shared" si="154"/>
        <v>--</v>
      </c>
      <c r="BQ293" s="160">
        <f>IF(Table645[[#This Row],[Column68]]="--",0,Table645[[#This Row],[Column4]]*Table645[[#This Row],[Column68]])</f>
        <v>0</v>
      </c>
      <c r="BR293" s="94"/>
      <c r="BS293" s="91" t="str">
        <f t="shared" si="155"/>
        <v>--</v>
      </c>
      <c r="BT293" s="92">
        <f>IF(Table645[[#This Row],[Column71]]="--",0,Table645[[#This Row],[Column4]]*Table645[[#This Row],[Column71]])</f>
        <v>0</v>
      </c>
      <c r="BU293" s="44"/>
      <c r="BV293" s="90"/>
      <c r="BW293" s="91" t="str">
        <f>IF(BV293=0,"--",(Table645[[#This Row],[Column73]]*$BV$4*(IF(J293&lt;0.5001,1,IF(J293&lt;2.0001,2,3)))+BV293/$BV$3)/60/24)</f>
        <v>--</v>
      </c>
      <c r="BX293" s="92">
        <f>IF(Table645[[#This Row],[Column75]]="--",0,Table645[[#This Row],[Column4]]*Table645[[#This Row],[Column75]])</f>
        <v>0</v>
      </c>
      <c r="BY293" s="95" t="s">
        <v>70</v>
      </c>
      <c r="BZ293" s="91" t="str">
        <f>IF(Table645[[#This Row],[Column74]]=0,"--",BW293*$BY$3)</f>
        <v>--</v>
      </c>
      <c r="CA293" s="89">
        <f>IF(Table645[[#This Row],[Column78]]="--",0,Table645[[#This Row],[Column4]]*Table645[[#This Row],[Column78]])</f>
        <v>0</v>
      </c>
      <c r="CB293" s="95" t="s">
        <v>70</v>
      </c>
      <c r="CC293" s="91" t="str">
        <f>IF(Table645[[#This Row],[Column10]]+Table645[[#This Row],[Column74]]=0,"--",J293*$CB$4*$CB$5/(24*60)+IF(Table645[[#This Row],[Column74]]=0,0,$CB$3*Table645[[#This Row],[Column75]]))</f>
        <v>--</v>
      </c>
      <c r="CD293" s="92">
        <f>IF(Table645[[#This Row],[Column81]]="--",0,Table645[[#This Row],[Column4]]*Table645[[#This Row],[Column81]])</f>
        <v>0</v>
      </c>
      <c r="CE293" s="215"/>
      <c r="CF293" s="91" t="str">
        <f t="shared" si="191"/>
        <v>--</v>
      </c>
      <c r="CG293" s="92">
        <f>IF(Table645[[#This Row],[Column84]]="--",0,Table645[[#This Row],[Column4]]*Table645[[#This Row],[Column84]])</f>
        <v>0</v>
      </c>
      <c r="CH293" s="226"/>
      <c r="CI293" s="216"/>
      <c r="CJ293" s="91" t="str">
        <f>IF(CI293=0,"--",(Table645[[#This Row],[Column86]]*$CI$4*(IF(W293&lt;0.5001,1,IF(W293&lt;2.0001,2,3)))+CI293/$CI$3)/60/24)</f>
        <v>--</v>
      </c>
      <c r="CK293" s="92">
        <f>IF(Table645[[#This Row],[Column88]]="--",0,Table645[[#This Row],[Column4]]*Table645[[#This Row],[Column88]])</f>
        <v>0</v>
      </c>
      <c r="CL293" s="217"/>
      <c r="CM293" s="91" t="str">
        <f>IF(Table645[[#This Row],[Column87]]=0,"--",CJ293*$CL$3)</f>
        <v>--</v>
      </c>
      <c r="CN293" s="92">
        <f>IF(Table645[[#This Row],[Column91]]="--",0,Table645[[#This Row],[Column4]]*Table645[[#This Row],[Column91]])</f>
        <v>0</v>
      </c>
      <c r="CO293" s="217"/>
      <c r="CP293" s="91" t="str">
        <f>IF(Table645[[#This Row],[Column10]]+Table645[[#This Row],[Column87]]=0, "--", IF($D293="", 1, $D293) * IF($J293="", 1, $J293) * $CO$3 * $CO$4 * IF(Table645[[#This Row],[Column95]]="", 1, Table645[[#This Row],[Column95]]) / (24 * 60))</f>
        <v>--</v>
      </c>
      <c r="CQ293" s="164"/>
      <c r="CR293" s="92">
        <f>IF(Table645[[#This Row],[Column94]]="--",0,Table645[[#This Row],[Column4]]*Table645[[#This Row],[Column94]])</f>
        <v>0</v>
      </c>
      <c r="CS293" s="218" t="str">
        <f>IF(Table645[[#This Row],[Column87]]="","",Table645[[#This Row],[Column87]])</f>
        <v/>
      </c>
      <c r="CT293" s="91" t="str">
        <f>IF(Table645[[#This Row],[Column97]]="","--",Table645[[#This Row],[Column97]]/$CS$3/60/24)</f>
        <v>--</v>
      </c>
      <c r="CU293" s="92">
        <f>IF(Table645[[#This Row],[Column98]]="--",0,Table645[[#This Row],[Column4]]*Table645[[#This Row],[Column98]])</f>
        <v>0</v>
      </c>
      <c r="CV293" s="93"/>
      <c r="CW293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93" s="91" t="str">
        <f>IF(OR(Table645[[#This Row],[Column74]]&gt;0,Table645[[#This Row],[Column87]]&gt;0),(Table645[[#This Row],[Column73]]+Table645[[#This Row],[Column86]]+1)*$CW$3/60/24,"--")</f>
        <v>--</v>
      </c>
      <c r="CY293" s="92">
        <f>IF(Table645[[#This Row],[Column102]]="--",0,Table645[[#This Row],[Column4]]*Table645[[#This Row],[Column102]])</f>
        <v>0</v>
      </c>
      <c r="CZ293" s="158" t="str">
        <f t="shared" si="156"/>
        <v>--</v>
      </c>
      <c r="DA293" s="153"/>
      <c r="DB293" s="160">
        <f>IF(Table645[[#This Row],[Column104]]="--",0,Table645[[#This Row],[Column4]]*Table645[[#This Row],[Column104]])</f>
        <v>0</v>
      </c>
      <c r="DC293" s="219"/>
      <c r="DD293" s="220" t="str">
        <f>IF(DC293=0,"--",1/$DC$3*1000/(60*60*24)*Table645[[#This Row],[Column107]])</f>
        <v>--</v>
      </c>
      <c r="DE293" s="160">
        <f>IF(Table645[[#This Row],[Column108]]="--",0,Table645[[#This Row],[Column4]]*Table645[[#This Row],[Column108]])</f>
        <v>0</v>
      </c>
      <c r="DF293" s="101" t="s">
        <v>70</v>
      </c>
      <c r="DG293" s="91" t="str">
        <f t="shared" si="157"/>
        <v>--</v>
      </c>
      <c r="DH293" s="89">
        <f>IF(Table645[[#This Row],[Column111]]="--",0,Table645[[#This Row],[Column4]]*Table645[[#This Row],[Column111]])</f>
        <v>0</v>
      </c>
      <c r="DI293" s="96"/>
      <c r="DJ293" s="96"/>
      <c r="DK293" s="96"/>
      <c r="DL293" s="96"/>
      <c r="DM293" s="96"/>
      <c r="DN293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93" s="89">
        <f>IF(Table645[[#This Row],[Column118]]="--",0,Table645[[#This Row],[Column4]]*Table645[[#This Row],[Column118]])</f>
        <v>0</v>
      </c>
      <c r="DP293" s="96"/>
      <c r="DQ293" s="96"/>
      <c r="DR293" s="91" t="str">
        <f t="shared" si="158"/>
        <v>--</v>
      </c>
      <c r="DS293" s="89">
        <f>IF(Table645[[#This Row],[Column122]]="--",0,Table645[[#This Row],[Column4]]*Table645[[#This Row],[Column122]])</f>
        <v>0</v>
      </c>
      <c r="DT293" t="str">
        <f>IF(Table645[[#This Row],[Column125]]=0,"--",Table645[[#This Row],[Column125]]*Table645[[#This Row],[Column126]]*Table645[[#This Row],[Column127]]/1000000000)</f>
        <v>--</v>
      </c>
      <c r="DU293" s="53"/>
      <c r="DV293" s="53"/>
      <c r="DW293" s="53"/>
      <c r="DX293" s="91" t="str">
        <f t="shared" si="159"/>
        <v>--</v>
      </c>
      <c r="DY293" s="89">
        <f>IF(Table645[[#This Row],[Column128]]="--",0,Table645[[#This Row],[Column4]]*Table645[[#This Row],[Column128]])</f>
        <v>0</v>
      </c>
      <c r="EA293" s="89">
        <f>IF(Table645[[#This Row],[Column128]]="--",0,Table645[[#This Row],[Column4]]*Table645[[#This Row],[Column128]])</f>
        <v>0</v>
      </c>
      <c r="EC293" s="89">
        <f>IF(Table645[[#This Row],[Column128]]="--",0,Table645[[#This Row],[Column4]]*Table645[[#This Row],[Column128]])</f>
        <v>0</v>
      </c>
      <c r="EE293" s="89">
        <f>IF(Table645[[#This Row],[Column128]]="--",0,Table645[[#This Row],[Column4]]*Table645[[#This Row],[Column128]])</f>
        <v>0</v>
      </c>
      <c r="EG293" s="89">
        <f>IF(Table645[[#This Row],[Column128]]="--",0,Table645[[#This Row],[Column4]]*Table645[[#This Row],[Column128]])</f>
        <v>0</v>
      </c>
      <c r="EI293" s="89">
        <f>IF(Table645[[#This Row],[Column128]]="--",0,Table645[[#This Row],[Column4]]*Table645[[#This Row],[Column128]])</f>
        <v>0</v>
      </c>
    </row>
    <row r="294" spans="1:139" x14ac:dyDescent="0.25">
      <c r="A294" s="140"/>
      <c r="B294" s="79"/>
      <c r="C294" s="140"/>
      <c r="D294" s="167"/>
      <c r="E294" s="52"/>
      <c r="F294" s="81"/>
      <c r="G294" s="81"/>
      <c r="H294" s="102" t="str">
        <f t="shared" si="150"/>
        <v>--</v>
      </c>
      <c r="I294" s="100">
        <f>IF(Table645[[#This Row],[Column8]]="--",0,Table645[[#This Row],[Column4]]*Table645[[#This Row],[Column8]])</f>
        <v>0</v>
      </c>
      <c r="J294" s="169"/>
      <c r="K294" s="85">
        <f>Table645[[#This Row],[Column4]]*Table645[[#This Row],[Column10]]</f>
        <v>0</v>
      </c>
      <c r="L294" s="170" t="str">
        <f t="shared" si="151"/>
        <v>--</v>
      </c>
      <c r="M294" s="214">
        <f>IF(Table645[[#This Row],[Column10]]=0,0,Table645[[#This Row],[Column4]]*Table645[[#This Row],[Column12]])</f>
        <v>0</v>
      </c>
      <c r="N294" s="87" t="str">
        <f t="shared" si="152"/>
        <v>--</v>
      </c>
      <c r="O294" s="138"/>
      <c r="AZ294" s="89">
        <f>IF(Table645[[#This Row],[Column14]]="--",0,Table645[[#This Row],[Column4]]*Table645[[#This Row],[Column14]])</f>
        <v>0</v>
      </c>
      <c r="BA294" s="90"/>
      <c r="BB294" s="91" t="str">
        <f>IF(BA294=0,"--",BA294*$BA$3*IF(Table645[[#This Row],[Column5]]&lt;4.1,1,2)/60/24)</f>
        <v>--</v>
      </c>
      <c r="BC294" s="92">
        <f>IF(Table645[[#This Row],[Column54]]="--",0,Table645[[#This Row],[Column4]]*Table645[[#This Row],[Column54]])</f>
        <v>0</v>
      </c>
      <c r="BD294" s="119"/>
      <c r="BE294" s="119"/>
      <c r="BF294" s="119"/>
      <c r="BG294" s="91" t="str">
        <f>IF(BD294+Table645[[#This Row],[Column58]]=0,"--",(BD294*$BF$3*Table645[[#This Row],[Column57]]+Table645[[#This Row],[Column58]]*$BF$4)/60/24)</f>
        <v>--</v>
      </c>
      <c r="BH294" s="92">
        <f>IF(Table645[[#This Row],[Column59]]="--",0,Table645[[#This Row],[Column4]]*Table645[[#This Row],[Column59]])</f>
        <v>0</v>
      </c>
      <c r="BI294" s="119"/>
      <c r="BJ294" s="91" t="str">
        <f t="shared" si="190"/>
        <v>--</v>
      </c>
      <c r="BK294" s="92">
        <f>IF(Table645[[#This Row],[Column62]]="--",0,Table645[[#This Row],[Column4]]*Table645[[#This Row],[Column62]])</f>
        <v>0</v>
      </c>
      <c r="BL294" s="93"/>
      <c r="BM294" s="91" t="str">
        <f t="shared" si="153"/>
        <v>--</v>
      </c>
      <c r="BN294" s="89">
        <f>IF(Table645[[#This Row],[Column65]]="--",0,Table645[[#This Row],[Column4]]*Table645[[#This Row],[Column65]])</f>
        <v>0</v>
      </c>
      <c r="BO294" s="163"/>
      <c r="BP294" s="164" t="str">
        <f t="shared" si="154"/>
        <v>--</v>
      </c>
      <c r="BQ294" s="160">
        <f>IF(Table645[[#This Row],[Column68]]="--",0,Table645[[#This Row],[Column4]]*Table645[[#This Row],[Column68]])</f>
        <v>0</v>
      </c>
      <c r="BR294" s="94"/>
      <c r="BS294" s="91" t="str">
        <f t="shared" si="155"/>
        <v>--</v>
      </c>
      <c r="BT294" s="92">
        <f>IF(Table645[[#This Row],[Column71]]="--",0,Table645[[#This Row],[Column4]]*Table645[[#This Row],[Column71]])</f>
        <v>0</v>
      </c>
      <c r="BU294" s="44"/>
      <c r="BV294" s="90"/>
      <c r="BW294" s="91" t="str">
        <f>IF(BV294=0,"--",(Table645[[#This Row],[Column73]]*$BV$4*(IF(J294&lt;0.5001,1,IF(J294&lt;2.0001,2,3)))+BV294/$BV$3)/60/24)</f>
        <v>--</v>
      </c>
      <c r="BX294" s="92">
        <f>IF(Table645[[#This Row],[Column75]]="--",0,Table645[[#This Row],[Column4]]*Table645[[#This Row],[Column75]])</f>
        <v>0</v>
      </c>
      <c r="BY294" s="95" t="s">
        <v>70</v>
      </c>
      <c r="BZ294" s="91" t="str">
        <f>IF(Table645[[#This Row],[Column74]]=0,"--",BW294*$BY$3)</f>
        <v>--</v>
      </c>
      <c r="CA294" s="89">
        <f>IF(Table645[[#This Row],[Column78]]="--",0,Table645[[#This Row],[Column4]]*Table645[[#This Row],[Column78]])</f>
        <v>0</v>
      </c>
      <c r="CB294" s="95" t="s">
        <v>70</v>
      </c>
      <c r="CC294" s="91" t="str">
        <f>IF(Table645[[#This Row],[Column10]]+Table645[[#This Row],[Column74]]=0,"--",J294*$CB$4*$CB$5/(24*60)+IF(Table645[[#This Row],[Column74]]=0,0,$CB$3*Table645[[#This Row],[Column75]]))</f>
        <v>--</v>
      </c>
      <c r="CD294" s="92">
        <f>IF(Table645[[#This Row],[Column81]]="--",0,Table645[[#This Row],[Column4]]*Table645[[#This Row],[Column81]])</f>
        <v>0</v>
      </c>
      <c r="CE294" s="215"/>
      <c r="CF294" s="91" t="str">
        <f t="shared" si="191"/>
        <v>--</v>
      </c>
      <c r="CG294" s="92">
        <f>IF(Table645[[#This Row],[Column84]]="--",0,Table645[[#This Row],[Column4]]*Table645[[#This Row],[Column84]])</f>
        <v>0</v>
      </c>
      <c r="CH294" s="226"/>
      <c r="CI294" s="216"/>
      <c r="CJ294" s="91" t="str">
        <f>IF(CI294=0,"--",(Table645[[#This Row],[Column86]]*$CI$4*(IF(W294&lt;0.5001,1,IF(W294&lt;2.0001,2,3)))+CI294/$CI$3)/60/24)</f>
        <v>--</v>
      </c>
      <c r="CK294" s="92">
        <f>IF(Table645[[#This Row],[Column88]]="--",0,Table645[[#This Row],[Column4]]*Table645[[#This Row],[Column88]])</f>
        <v>0</v>
      </c>
      <c r="CL294" s="217"/>
      <c r="CM294" s="91" t="str">
        <f>IF(Table645[[#This Row],[Column87]]=0,"--",CJ294*$CL$3)</f>
        <v>--</v>
      </c>
      <c r="CN294" s="92">
        <f>IF(Table645[[#This Row],[Column91]]="--",0,Table645[[#This Row],[Column4]]*Table645[[#This Row],[Column91]])</f>
        <v>0</v>
      </c>
      <c r="CO294" s="217"/>
      <c r="CP294" s="91" t="str">
        <f>IF(Table645[[#This Row],[Column10]]+Table645[[#This Row],[Column87]]=0, "--", IF($D294="", 1, $D294) * IF($J294="", 1, $J294) * $CO$3 * $CO$4 * IF(Table645[[#This Row],[Column95]]="", 1, Table645[[#This Row],[Column95]]) / (24 * 60))</f>
        <v>--</v>
      </c>
      <c r="CQ294" s="164"/>
      <c r="CR294" s="92">
        <f>IF(Table645[[#This Row],[Column94]]="--",0,Table645[[#This Row],[Column4]]*Table645[[#This Row],[Column94]])</f>
        <v>0</v>
      </c>
      <c r="CS294" s="218" t="str">
        <f>IF(Table645[[#This Row],[Column87]]="","",Table645[[#This Row],[Column87]])</f>
        <v/>
      </c>
      <c r="CT294" s="91" t="str">
        <f>IF(Table645[[#This Row],[Column97]]="","--",Table645[[#This Row],[Column97]]/$CS$3/60/24)</f>
        <v>--</v>
      </c>
      <c r="CU294" s="92">
        <f>IF(Table645[[#This Row],[Column98]]="--",0,Table645[[#This Row],[Column4]]*Table645[[#This Row],[Column98]])</f>
        <v>0</v>
      </c>
      <c r="CV294" s="93"/>
      <c r="CW294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94" s="91" t="str">
        <f>IF(OR(Table645[[#This Row],[Column74]]&gt;0,Table645[[#This Row],[Column87]]&gt;0),(Table645[[#This Row],[Column73]]+Table645[[#This Row],[Column86]]+1)*$CW$3/60/24,"--")</f>
        <v>--</v>
      </c>
      <c r="CY294" s="92">
        <f>IF(Table645[[#This Row],[Column102]]="--",0,Table645[[#This Row],[Column4]]*Table645[[#This Row],[Column102]])</f>
        <v>0</v>
      </c>
      <c r="CZ294" s="158" t="str">
        <f t="shared" si="156"/>
        <v>--</v>
      </c>
      <c r="DA294" s="153"/>
      <c r="DB294" s="160">
        <f>IF(Table645[[#This Row],[Column104]]="--",0,Table645[[#This Row],[Column4]]*Table645[[#This Row],[Column104]])</f>
        <v>0</v>
      </c>
      <c r="DC294" s="219"/>
      <c r="DD294" s="220" t="str">
        <f>IF(DC294=0,"--",1/$DC$3*1000/(60*60*24)*Table645[[#This Row],[Column107]])</f>
        <v>--</v>
      </c>
      <c r="DE294" s="160">
        <f>IF(Table645[[#This Row],[Column108]]="--",0,Table645[[#This Row],[Column4]]*Table645[[#This Row],[Column108]])</f>
        <v>0</v>
      </c>
      <c r="DF294" s="101" t="s">
        <v>70</v>
      </c>
      <c r="DG294" s="91" t="str">
        <f t="shared" si="157"/>
        <v>--</v>
      </c>
      <c r="DH294" s="89">
        <f>IF(Table645[[#This Row],[Column111]]="--",0,Table645[[#This Row],[Column4]]*Table645[[#This Row],[Column111]])</f>
        <v>0</v>
      </c>
      <c r="DI294" s="96"/>
      <c r="DJ294" s="96"/>
      <c r="DK294" s="96"/>
      <c r="DL294" s="96"/>
      <c r="DM294" s="96"/>
      <c r="DN294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94" s="89">
        <f>IF(Table645[[#This Row],[Column118]]="--",0,Table645[[#This Row],[Column4]]*Table645[[#This Row],[Column118]])</f>
        <v>0</v>
      </c>
      <c r="DP294" s="96"/>
      <c r="DQ294" s="96"/>
      <c r="DR294" s="91" t="str">
        <f t="shared" si="158"/>
        <v>--</v>
      </c>
      <c r="DS294" s="89">
        <f>IF(Table645[[#This Row],[Column122]]="--",0,Table645[[#This Row],[Column4]]*Table645[[#This Row],[Column122]])</f>
        <v>0</v>
      </c>
      <c r="DT294" t="str">
        <f>IF(Table645[[#This Row],[Column125]]=0,"--",Table645[[#This Row],[Column125]]*Table645[[#This Row],[Column126]]*Table645[[#This Row],[Column127]]/1000000000)</f>
        <v>--</v>
      </c>
      <c r="DU294" s="53"/>
      <c r="DV294" s="53"/>
      <c r="DW294" s="53"/>
      <c r="DX294" s="91" t="str">
        <f t="shared" si="159"/>
        <v>--</v>
      </c>
      <c r="DY294" s="89">
        <f>IF(Table645[[#This Row],[Column128]]="--",0,Table645[[#This Row],[Column4]]*Table645[[#This Row],[Column128]])</f>
        <v>0</v>
      </c>
      <c r="EA294" s="89">
        <f>IF(Table645[[#This Row],[Column128]]="--",0,Table645[[#This Row],[Column4]]*Table645[[#This Row],[Column128]])</f>
        <v>0</v>
      </c>
      <c r="EC294" s="89">
        <f>IF(Table645[[#This Row],[Column128]]="--",0,Table645[[#This Row],[Column4]]*Table645[[#This Row],[Column128]])</f>
        <v>0</v>
      </c>
      <c r="EE294" s="89">
        <f>IF(Table645[[#This Row],[Column128]]="--",0,Table645[[#This Row],[Column4]]*Table645[[#This Row],[Column128]])</f>
        <v>0</v>
      </c>
      <c r="EG294" s="89">
        <f>IF(Table645[[#This Row],[Column128]]="--",0,Table645[[#This Row],[Column4]]*Table645[[#This Row],[Column128]])</f>
        <v>0</v>
      </c>
      <c r="EI294" s="89">
        <f>IF(Table645[[#This Row],[Column128]]="--",0,Table645[[#This Row],[Column4]]*Table645[[#This Row],[Column128]])</f>
        <v>0</v>
      </c>
    </row>
    <row r="295" spans="1:139" x14ac:dyDescent="0.25">
      <c r="A295" s="140"/>
      <c r="B295" s="79"/>
      <c r="C295" s="140"/>
      <c r="D295" s="167"/>
      <c r="E295" s="52"/>
      <c r="F295" s="81"/>
      <c r="G295" s="81"/>
      <c r="H295" s="102" t="str">
        <f t="shared" si="150"/>
        <v>--</v>
      </c>
      <c r="I295" s="100">
        <f>IF(Table645[[#This Row],[Column8]]="--",0,Table645[[#This Row],[Column4]]*Table645[[#This Row],[Column8]])</f>
        <v>0</v>
      </c>
      <c r="J295" s="169"/>
      <c r="K295" s="85">
        <f>Table645[[#This Row],[Column4]]*Table645[[#This Row],[Column10]]</f>
        <v>0</v>
      </c>
      <c r="L295" s="170" t="str">
        <f t="shared" si="151"/>
        <v>--</v>
      </c>
      <c r="M295" s="214">
        <f>IF(Table645[[#This Row],[Column10]]=0,0,Table645[[#This Row],[Column4]]*Table645[[#This Row],[Column12]])</f>
        <v>0</v>
      </c>
      <c r="N295" s="87" t="str">
        <f t="shared" si="152"/>
        <v>--</v>
      </c>
      <c r="O295" s="138"/>
      <c r="AZ295" s="89">
        <f>IF(Table645[[#This Row],[Column14]]="--",0,Table645[[#This Row],[Column4]]*Table645[[#This Row],[Column14]])</f>
        <v>0</v>
      </c>
      <c r="BA295" s="90"/>
      <c r="BB295" s="91" t="str">
        <f>IF(BA295=0,"--",BA295*$BA$3*IF(Table645[[#This Row],[Column5]]&lt;4.1,1,2)/60/24)</f>
        <v>--</v>
      </c>
      <c r="BC295" s="92">
        <f>IF(Table645[[#This Row],[Column54]]="--",0,Table645[[#This Row],[Column4]]*Table645[[#This Row],[Column54]])</f>
        <v>0</v>
      </c>
      <c r="BD295" s="119"/>
      <c r="BE295" s="119"/>
      <c r="BF295" s="119"/>
      <c r="BG295" s="91" t="str">
        <f>IF(BD295+Table645[[#This Row],[Column58]]=0,"--",(BD295*$BF$3*Table645[[#This Row],[Column57]]+Table645[[#This Row],[Column58]]*$BF$4)/60/24)</f>
        <v>--</v>
      </c>
      <c r="BH295" s="92">
        <f>IF(Table645[[#This Row],[Column59]]="--",0,Table645[[#This Row],[Column4]]*Table645[[#This Row],[Column59]])</f>
        <v>0</v>
      </c>
      <c r="BI295" s="119"/>
      <c r="BJ295" s="91" t="str">
        <f t="shared" si="190"/>
        <v>--</v>
      </c>
      <c r="BK295" s="92">
        <f>IF(Table645[[#This Row],[Column62]]="--",0,Table645[[#This Row],[Column4]]*Table645[[#This Row],[Column62]])</f>
        <v>0</v>
      </c>
      <c r="BL295" s="93"/>
      <c r="BM295" s="91" t="str">
        <f t="shared" si="153"/>
        <v>--</v>
      </c>
      <c r="BN295" s="89">
        <f>IF(Table645[[#This Row],[Column65]]="--",0,Table645[[#This Row],[Column4]]*Table645[[#This Row],[Column65]])</f>
        <v>0</v>
      </c>
      <c r="BO295" s="163"/>
      <c r="BP295" s="164" t="str">
        <f t="shared" si="154"/>
        <v>--</v>
      </c>
      <c r="BQ295" s="160">
        <f>IF(Table645[[#This Row],[Column68]]="--",0,Table645[[#This Row],[Column4]]*Table645[[#This Row],[Column68]])</f>
        <v>0</v>
      </c>
      <c r="BR295" s="94"/>
      <c r="BS295" s="91" t="str">
        <f t="shared" si="155"/>
        <v>--</v>
      </c>
      <c r="BT295" s="92">
        <f>IF(Table645[[#This Row],[Column71]]="--",0,Table645[[#This Row],[Column4]]*Table645[[#This Row],[Column71]])</f>
        <v>0</v>
      </c>
      <c r="BU295" s="44"/>
      <c r="BV295" s="90"/>
      <c r="BW295" s="91" t="str">
        <f>IF(BV295=0,"--",(Table645[[#This Row],[Column73]]*$BV$4*(IF(J295&lt;0.5001,1,IF(J295&lt;2.0001,2,3)))+BV295/$BV$3)/60/24)</f>
        <v>--</v>
      </c>
      <c r="BX295" s="92">
        <f>IF(Table645[[#This Row],[Column75]]="--",0,Table645[[#This Row],[Column4]]*Table645[[#This Row],[Column75]])</f>
        <v>0</v>
      </c>
      <c r="BY295" s="95" t="s">
        <v>70</v>
      </c>
      <c r="BZ295" s="91" t="str">
        <f>IF(Table645[[#This Row],[Column74]]=0,"--",BW295*$BY$3)</f>
        <v>--</v>
      </c>
      <c r="CA295" s="89">
        <f>IF(Table645[[#This Row],[Column78]]="--",0,Table645[[#This Row],[Column4]]*Table645[[#This Row],[Column78]])</f>
        <v>0</v>
      </c>
      <c r="CB295" s="95" t="s">
        <v>70</v>
      </c>
      <c r="CC295" s="91" t="str">
        <f>IF(Table645[[#This Row],[Column10]]+Table645[[#This Row],[Column74]]=0,"--",J295*$CB$4*$CB$5/(24*60)+IF(Table645[[#This Row],[Column74]]=0,0,$CB$3*Table645[[#This Row],[Column75]]))</f>
        <v>--</v>
      </c>
      <c r="CD295" s="92">
        <f>IF(Table645[[#This Row],[Column81]]="--",0,Table645[[#This Row],[Column4]]*Table645[[#This Row],[Column81]])</f>
        <v>0</v>
      </c>
      <c r="CE295" s="215"/>
      <c r="CF295" s="91" t="str">
        <f t="shared" si="191"/>
        <v>--</v>
      </c>
      <c r="CG295" s="92">
        <f>IF(Table645[[#This Row],[Column84]]="--",0,Table645[[#This Row],[Column4]]*Table645[[#This Row],[Column84]])</f>
        <v>0</v>
      </c>
      <c r="CH295" s="226"/>
      <c r="CI295" s="216"/>
      <c r="CJ295" s="91" t="str">
        <f>IF(CI295=0,"--",(Table645[[#This Row],[Column86]]*$CI$4*(IF(W295&lt;0.5001,1,IF(W295&lt;2.0001,2,3)))+CI295/$CI$3)/60/24)</f>
        <v>--</v>
      </c>
      <c r="CK295" s="92">
        <f>IF(Table645[[#This Row],[Column88]]="--",0,Table645[[#This Row],[Column4]]*Table645[[#This Row],[Column88]])</f>
        <v>0</v>
      </c>
      <c r="CL295" s="217"/>
      <c r="CM295" s="91" t="str">
        <f>IF(Table645[[#This Row],[Column87]]=0,"--",CJ295*$CL$3)</f>
        <v>--</v>
      </c>
      <c r="CN295" s="92">
        <f>IF(Table645[[#This Row],[Column91]]="--",0,Table645[[#This Row],[Column4]]*Table645[[#This Row],[Column91]])</f>
        <v>0</v>
      </c>
      <c r="CO295" s="217"/>
      <c r="CP295" s="91" t="str">
        <f>IF(Table645[[#This Row],[Column10]]+Table645[[#This Row],[Column87]]=0, "--", IF($D295="", 1, $D295) * IF($J295="", 1, $J295) * $CO$3 * $CO$4 * IF(Table645[[#This Row],[Column95]]="", 1, Table645[[#This Row],[Column95]]) / (24 * 60))</f>
        <v>--</v>
      </c>
      <c r="CQ295" s="164"/>
      <c r="CR295" s="92">
        <f>IF(Table645[[#This Row],[Column94]]="--",0,Table645[[#This Row],[Column4]]*Table645[[#This Row],[Column94]])</f>
        <v>0</v>
      </c>
      <c r="CS295" s="218" t="str">
        <f>IF(Table645[[#This Row],[Column87]]="","",Table645[[#This Row],[Column87]])</f>
        <v/>
      </c>
      <c r="CT295" s="91" t="str">
        <f>IF(Table645[[#This Row],[Column97]]="","--",Table645[[#This Row],[Column97]]/$CS$3/60/24)</f>
        <v>--</v>
      </c>
      <c r="CU295" s="92">
        <f>IF(Table645[[#This Row],[Column98]]="--",0,Table645[[#This Row],[Column4]]*Table645[[#This Row],[Column98]])</f>
        <v>0</v>
      </c>
      <c r="CV295" s="93"/>
      <c r="CW295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95" s="91" t="str">
        <f>IF(OR(Table645[[#This Row],[Column74]]&gt;0,Table645[[#This Row],[Column87]]&gt;0),(Table645[[#This Row],[Column73]]+Table645[[#This Row],[Column86]]+1)*$CW$3/60/24,"--")</f>
        <v>--</v>
      </c>
      <c r="CY295" s="92">
        <f>IF(Table645[[#This Row],[Column102]]="--",0,Table645[[#This Row],[Column4]]*Table645[[#This Row],[Column102]])</f>
        <v>0</v>
      </c>
      <c r="CZ295" s="158" t="str">
        <f t="shared" si="156"/>
        <v>--</v>
      </c>
      <c r="DA295" s="153"/>
      <c r="DB295" s="160">
        <f>IF(Table645[[#This Row],[Column104]]="--",0,Table645[[#This Row],[Column4]]*Table645[[#This Row],[Column104]])</f>
        <v>0</v>
      </c>
      <c r="DC295" s="219"/>
      <c r="DD295" s="220" t="str">
        <f>IF(DC295=0,"--",1/$DC$3*1000/(60*60*24)*Table645[[#This Row],[Column107]])</f>
        <v>--</v>
      </c>
      <c r="DE295" s="160">
        <f>IF(Table645[[#This Row],[Column108]]="--",0,Table645[[#This Row],[Column4]]*Table645[[#This Row],[Column108]])</f>
        <v>0</v>
      </c>
      <c r="DF295" s="101" t="s">
        <v>70</v>
      </c>
      <c r="DG295" s="91" t="str">
        <f t="shared" si="157"/>
        <v>--</v>
      </c>
      <c r="DH295" s="89">
        <f>IF(Table645[[#This Row],[Column111]]="--",0,Table645[[#This Row],[Column4]]*Table645[[#This Row],[Column111]])</f>
        <v>0</v>
      </c>
      <c r="DI295" s="96"/>
      <c r="DJ295" s="96"/>
      <c r="DK295" s="96"/>
      <c r="DL295" s="96"/>
      <c r="DM295" s="96"/>
      <c r="DN295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95" s="89">
        <f>IF(Table645[[#This Row],[Column118]]="--",0,Table645[[#This Row],[Column4]]*Table645[[#This Row],[Column118]])</f>
        <v>0</v>
      </c>
      <c r="DP295" s="96"/>
      <c r="DQ295" s="96"/>
      <c r="DR295" s="91" t="str">
        <f t="shared" si="158"/>
        <v>--</v>
      </c>
      <c r="DS295" s="89">
        <f>IF(Table645[[#This Row],[Column122]]="--",0,Table645[[#This Row],[Column4]]*Table645[[#This Row],[Column122]])</f>
        <v>0</v>
      </c>
      <c r="DT295" t="str">
        <f>IF(Table645[[#This Row],[Column125]]=0,"--",Table645[[#This Row],[Column125]]*Table645[[#This Row],[Column126]]*Table645[[#This Row],[Column127]]/1000000000)</f>
        <v>--</v>
      </c>
      <c r="DU295" s="53"/>
      <c r="DV295" s="53"/>
      <c r="DW295" s="53"/>
      <c r="DX295" s="91" t="str">
        <f t="shared" si="159"/>
        <v>--</v>
      </c>
      <c r="DY295" s="89">
        <f>IF(Table645[[#This Row],[Column128]]="--",0,Table645[[#This Row],[Column4]]*Table645[[#This Row],[Column128]])</f>
        <v>0</v>
      </c>
      <c r="EA295" s="89">
        <f>IF(Table645[[#This Row],[Column128]]="--",0,Table645[[#This Row],[Column4]]*Table645[[#This Row],[Column128]])</f>
        <v>0</v>
      </c>
      <c r="EC295" s="89">
        <f>IF(Table645[[#This Row],[Column128]]="--",0,Table645[[#This Row],[Column4]]*Table645[[#This Row],[Column128]])</f>
        <v>0</v>
      </c>
      <c r="EE295" s="89">
        <f>IF(Table645[[#This Row],[Column128]]="--",0,Table645[[#This Row],[Column4]]*Table645[[#This Row],[Column128]])</f>
        <v>0</v>
      </c>
      <c r="EG295" s="89">
        <f>IF(Table645[[#This Row],[Column128]]="--",0,Table645[[#This Row],[Column4]]*Table645[[#This Row],[Column128]])</f>
        <v>0</v>
      </c>
      <c r="EI295" s="89">
        <f>IF(Table645[[#This Row],[Column128]]="--",0,Table645[[#This Row],[Column4]]*Table645[[#This Row],[Column128]])</f>
        <v>0</v>
      </c>
    </row>
    <row r="296" spans="1:139" x14ac:dyDescent="0.25">
      <c r="A296" s="140"/>
      <c r="B296" s="79"/>
      <c r="C296" s="140"/>
      <c r="D296" s="167"/>
      <c r="E296" s="52"/>
      <c r="F296" s="81"/>
      <c r="G296" s="81"/>
      <c r="H296" s="102" t="str">
        <f t="shared" si="150"/>
        <v>--</v>
      </c>
      <c r="I296" s="100">
        <f>IF(Table645[[#This Row],[Column8]]="--",0,Table645[[#This Row],[Column4]]*Table645[[#This Row],[Column8]])</f>
        <v>0</v>
      </c>
      <c r="J296" s="169"/>
      <c r="K296" s="85">
        <f>Table645[[#This Row],[Column4]]*Table645[[#This Row],[Column10]]</f>
        <v>0</v>
      </c>
      <c r="L296" s="170" t="str">
        <f t="shared" si="151"/>
        <v>--</v>
      </c>
      <c r="M296" s="214">
        <f>IF(Table645[[#This Row],[Column10]]=0,0,Table645[[#This Row],[Column4]]*Table645[[#This Row],[Column12]])</f>
        <v>0</v>
      </c>
      <c r="N296" s="87" t="str">
        <f t="shared" si="152"/>
        <v>--</v>
      </c>
      <c r="O296" s="138"/>
      <c r="AZ296" s="89">
        <f>IF(Table645[[#This Row],[Column14]]="--",0,Table645[[#This Row],[Column4]]*Table645[[#This Row],[Column14]])</f>
        <v>0</v>
      </c>
      <c r="BA296" s="90"/>
      <c r="BB296" s="91" t="str">
        <f>IF(BA296=0,"--",BA296*$BA$3*IF(Table645[[#This Row],[Column5]]&lt;4.1,1,2)/60/24)</f>
        <v>--</v>
      </c>
      <c r="BC296" s="92">
        <f>IF(Table645[[#This Row],[Column54]]="--",0,Table645[[#This Row],[Column4]]*Table645[[#This Row],[Column54]])</f>
        <v>0</v>
      </c>
      <c r="BD296" s="119"/>
      <c r="BE296" s="119"/>
      <c r="BF296" s="119"/>
      <c r="BG296" s="91" t="str">
        <f>IF(BD296+Table645[[#This Row],[Column58]]=0,"--",(BD296*$BF$3*Table645[[#This Row],[Column57]]+Table645[[#This Row],[Column58]]*$BF$4)/60/24)</f>
        <v>--</v>
      </c>
      <c r="BH296" s="92">
        <f>IF(Table645[[#This Row],[Column59]]="--",0,Table645[[#This Row],[Column4]]*Table645[[#This Row],[Column59]])</f>
        <v>0</v>
      </c>
      <c r="BI296" s="119"/>
      <c r="BJ296" s="91" t="str">
        <f t="shared" si="190"/>
        <v>--</v>
      </c>
      <c r="BK296" s="92">
        <f>IF(Table645[[#This Row],[Column62]]="--",0,Table645[[#This Row],[Column4]]*Table645[[#This Row],[Column62]])</f>
        <v>0</v>
      </c>
      <c r="BL296" s="93"/>
      <c r="BM296" s="91" t="str">
        <f t="shared" si="153"/>
        <v>--</v>
      </c>
      <c r="BN296" s="89">
        <f>IF(Table645[[#This Row],[Column65]]="--",0,Table645[[#This Row],[Column4]]*Table645[[#This Row],[Column65]])</f>
        <v>0</v>
      </c>
      <c r="BO296" s="163"/>
      <c r="BP296" s="164" t="str">
        <f t="shared" si="154"/>
        <v>--</v>
      </c>
      <c r="BQ296" s="160">
        <f>IF(Table645[[#This Row],[Column68]]="--",0,Table645[[#This Row],[Column4]]*Table645[[#This Row],[Column68]])</f>
        <v>0</v>
      </c>
      <c r="BR296" s="94"/>
      <c r="BS296" s="91" t="str">
        <f t="shared" si="155"/>
        <v>--</v>
      </c>
      <c r="BT296" s="92">
        <f>IF(Table645[[#This Row],[Column71]]="--",0,Table645[[#This Row],[Column4]]*Table645[[#This Row],[Column71]])</f>
        <v>0</v>
      </c>
      <c r="BU296" s="44"/>
      <c r="BV296" s="90"/>
      <c r="BW296" s="91" t="str">
        <f>IF(BV296=0,"--",(Table645[[#This Row],[Column73]]*$BV$4*(IF(J296&lt;0.5001,1,IF(J296&lt;2.0001,2,3)))+BV296/$BV$3)/60/24)</f>
        <v>--</v>
      </c>
      <c r="BX296" s="92">
        <f>IF(Table645[[#This Row],[Column75]]="--",0,Table645[[#This Row],[Column4]]*Table645[[#This Row],[Column75]])</f>
        <v>0</v>
      </c>
      <c r="BY296" s="95" t="s">
        <v>70</v>
      </c>
      <c r="BZ296" s="91" t="str">
        <f>IF(Table645[[#This Row],[Column74]]=0,"--",BW296*$BY$3)</f>
        <v>--</v>
      </c>
      <c r="CA296" s="89">
        <f>IF(Table645[[#This Row],[Column78]]="--",0,Table645[[#This Row],[Column4]]*Table645[[#This Row],[Column78]])</f>
        <v>0</v>
      </c>
      <c r="CB296" s="95" t="s">
        <v>70</v>
      </c>
      <c r="CC296" s="91" t="str">
        <f>IF(Table645[[#This Row],[Column10]]+Table645[[#This Row],[Column74]]=0,"--",J296*$CB$4*$CB$5/(24*60)+IF(Table645[[#This Row],[Column74]]=0,0,$CB$3*Table645[[#This Row],[Column75]]))</f>
        <v>--</v>
      </c>
      <c r="CD296" s="92">
        <f>IF(Table645[[#This Row],[Column81]]="--",0,Table645[[#This Row],[Column4]]*Table645[[#This Row],[Column81]])</f>
        <v>0</v>
      </c>
      <c r="CE296" s="215"/>
      <c r="CF296" s="91" t="str">
        <f t="shared" si="191"/>
        <v>--</v>
      </c>
      <c r="CG296" s="92">
        <f>IF(Table645[[#This Row],[Column84]]="--",0,Table645[[#This Row],[Column4]]*Table645[[#This Row],[Column84]])</f>
        <v>0</v>
      </c>
      <c r="CH296" s="226"/>
      <c r="CI296" s="216"/>
      <c r="CJ296" s="91" t="str">
        <f>IF(CI296=0,"--",(Table645[[#This Row],[Column86]]*$CI$4*(IF(W296&lt;0.5001,1,IF(W296&lt;2.0001,2,3)))+CI296/$CI$3)/60/24)</f>
        <v>--</v>
      </c>
      <c r="CK296" s="92">
        <f>IF(Table645[[#This Row],[Column88]]="--",0,Table645[[#This Row],[Column4]]*Table645[[#This Row],[Column88]])</f>
        <v>0</v>
      </c>
      <c r="CL296" s="217"/>
      <c r="CM296" s="91" t="str">
        <f>IF(Table645[[#This Row],[Column87]]=0,"--",CJ296*$CL$3)</f>
        <v>--</v>
      </c>
      <c r="CN296" s="92">
        <f>IF(Table645[[#This Row],[Column91]]="--",0,Table645[[#This Row],[Column4]]*Table645[[#This Row],[Column91]])</f>
        <v>0</v>
      </c>
      <c r="CO296" s="217"/>
      <c r="CP296" s="91" t="str">
        <f>IF(Table645[[#This Row],[Column10]]+Table645[[#This Row],[Column87]]=0, "--", IF($D296="", 1, $D296) * IF($J296="", 1, $J296) * $CO$3 * $CO$4 * IF(Table645[[#This Row],[Column95]]="", 1, Table645[[#This Row],[Column95]]) / (24 * 60))</f>
        <v>--</v>
      </c>
      <c r="CQ296" s="164"/>
      <c r="CR296" s="92">
        <f>IF(Table645[[#This Row],[Column94]]="--",0,Table645[[#This Row],[Column4]]*Table645[[#This Row],[Column94]])</f>
        <v>0</v>
      </c>
      <c r="CS296" s="218" t="str">
        <f>IF(Table645[[#This Row],[Column87]]="","",Table645[[#This Row],[Column87]])</f>
        <v/>
      </c>
      <c r="CT296" s="91" t="str">
        <f>IF(Table645[[#This Row],[Column97]]="","--",Table645[[#This Row],[Column97]]/$CS$3/60/24)</f>
        <v>--</v>
      </c>
      <c r="CU296" s="92">
        <f>IF(Table645[[#This Row],[Column98]]="--",0,Table645[[#This Row],[Column4]]*Table645[[#This Row],[Column98]])</f>
        <v>0</v>
      </c>
      <c r="CV296" s="93"/>
      <c r="CW296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96" s="91" t="str">
        <f>IF(OR(Table645[[#This Row],[Column74]]&gt;0,Table645[[#This Row],[Column87]]&gt;0),(Table645[[#This Row],[Column73]]+Table645[[#This Row],[Column86]]+1)*$CW$3/60/24,"--")</f>
        <v>--</v>
      </c>
      <c r="CY296" s="92">
        <f>IF(Table645[[#This Row],[Column102]]="--",0,Table645[[#This Row],[Column4]]*Table645[[#This Row],[Column102]])</f>
        <v>0</v>
      </c>
      <c r="CZ296" s="158" t="str">
        <f t="shared" si="156"/>
        <v>--</v>
      </c>
      <c r="DA296" s="153"/>
      <c r="DB296" s="160">
        <f>IF(Table645[[#This Row],[Column104]]="--",0,Table645[[#This Row],[Column4]]*Table645[[#This Row],[Column104]])</f>
        <v>0</v>
      </c>
      <c r="DC296" s="219"/>
      <c r="DD296" s="220" t="str">
        <f>IF(DC296=0,"--",1/$DC$3*1000/(60*60*24)*Table645[[#This Row],[Column107]])</f>
        <v>--</v>
      </c>
      <c r="DE296" s="160">
        <f>IF(Table645[[#This Row],[Column108]]="--",0,Table645[[#This Row],[Column4]]*Table645[[#This Row],[Column108]])</f>
        <v>0</v>
      </c>
      <c r="DF296" s="101" t="s">
        <v>70</v>
      </c>
      <c r="DG296" s="91" t="str">
        <f t="shared" si="157"/>
        <v>--</v>
      </c>
      <c r="DH296" s="89">
        <f>IF(Table645[[#This Row],[Column111]]="--",0,Table645[[#This Row],[Column4]]*Table645[[#This Row],[Column111]])</f>
        <v>0</v>
      </c>
      <c r="DI296" s="96"/>
      <c r="DJ296" s="96"/>
      <c r="DK296" s="96"/>
      <c r="DL296" s="96"/>
      <c r="DM296" s="96"/>
      <c r="DN296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96" s="89">
        <f>IF(Table645[[#This Row],[Column118]]="--",0,Table645[[#This Row],[Column4]]*Table645[[#This Row],[Column118]])</f>
        <v>0</v>
      </c>
      <c r="DP296" s="96"/>
      <c r="DQ296" s="96"/>
      <c r="DR296" s="91" t="str">
        <f t="shared" si="158"/>
        <v>--</v>
      </c>
      <c r="DS296" s="89">
        <f>IF(Table645[[#This Row],[Column122]]="--",0,Table645[[#This Row],[Column4]]*Table645[[#This Row],[Column122]])</f>
        <v>0</v>
      </c>
      <c r="DT296" t="str">
        <f>IF(Table645[[#This Row],[Column125]]=0,"--",Table645[[#This Row],[Column125]]*Table645[[#This Row],[Column126]]*Table645[[#This Row],[Column127]]/1000000000)</f>
        <v>--</v>
      </c>
      <c r="DU296" s="53"/>
      <c r="DV296" s="53"/>
      <c r="DW296" s="53"/>
      <c r="DX296" s="91" t="str">
        <f t="shared" si="159"/>
        <v>--</v>
      </c>
      <c r="DY296" s="89">
        <f>IF(Table645[[#This Row],[Column128]]="--",0,Table645[[#This Row],[Column4]]*Table645[[#This Row],[Column128]])</f>
        <v>0</v>
      </c>
      <c r="EA296" s="89">
        <f>IF(Table645[[#This Row],[Column128]]="--",0,Table645[[#This Row],[Column4]]*Table645[[#This Row],[Column128]])</f>
        <v>0</v>
      </c>
      <c r="EC296" s="89">
        <f>IF(Table645[[#This Row],[Column128]]="--",0,Table645[[#This Row],[Column4]]*Table645[[#This Row],[Column128]])</f>
        <v>0</v>
      </c>
      <c r="EE296" s="89">
        <f>IF(Table645[[#This Row],[Column128]]="--",0,Table645[[#This Row],[Column4]]*Table645[[#This Row],[Column128]])</f>
        <v>0</v>
      </c>
      <c r="EG296" s="89">
        <f>IF(Table645[[#This Row],[Column128]]="--",0,Table645[[#This Row],[Column4]]*Table645[[#This Row],[Column128]])</f>
        <v>0</v>
      </c>
      <c r="EI296" s="89">
        <f>IF(Table645[[#This Row],[Column128]]="--",0,Table645[[#This Row],[Column4]]*Table645[[#This Row],[Column128]])</f>
        <v>0</v>
      </c>
    </row>
    <row r="297" spans="1:139" x14ac:dyDescent="0.25">
      <c r="A297" s="140"/>
      <c r="B297" s="79"/>
      <c r="C297" s="140"/>
      <c r="D297" s="167"/>
      <c r="E297" s="52"/>
      <c r="F297" s="81"/>
      <c r="G297" s="81"/>
      <c r="H297" s="102" t="str">
        <f t="shared" si="150"/>
        <v>--</v>
      </c>
      <c r="I297" s="100">
        <f>IF(Table645[[#This Row],[Column8]]="--",0,Table645[[#This Row],[Column4]]*Table645[[#This Row],[Column8]])</f>
        <v>0</v>
      </c>
      <c r="J297" s="169"/>
      <c r="K297" s="85">
        <f>Table645[[#This Row],[Column4]]*Table645[[#This Row],[Column10]]</f>
        <v>0</v>
      </c>
      <c r="L297" s="170" t="str">
        <f t="shared" si="151"/>
        <v>--</v>
      </c>
      <c r="M297" s="214">
        <f>IF(Table645[[#This Row],[Column10]]=0,0,Table645[[#This Row],[Column4]]*Table645[[#This Row],[Column12]])</f>
        <v>0</v>
      </c>
      <c r="N297" s="87" t="str">
        <f t="shared" si="152"/>
        <v>--</v>
      </c>
      <c r="O297" s="138"/>
      <c r="AZ297" s="89">
        <f>IF(Table645[[#This Row],[Column14]]="--",0,Table645[[#This Row],[Column4]]*Table645[[#This Row],[Column14]])</f>
        <v>0</v>
      </c>
      <c r="BA297" s="90"/>
      <c r="BB297" s="91" t="str">
        <f>IF(BA297=0,"--",BA297*$BA$3*IF(Table645[[#This Row],[Column5]]&lt;4.1,1,2)/60/24)</f>
        <v>--</v>
      </c>
      <c r="BC297" s="92">
        <f>IF(Table645[[#This Row],[Column54]]="--",0,Table645[[#This Row],[Column4]]*Table645[[#This Row],[Column54]])</f>
        <v>0</v>
      </c>
      <c r="BD297" s="119"/>
      <c r="BE297" s="119"/>
      <c r="BF297" s="119"/>
      <c r="BG297" s="91" t="str">
        <f>IF(BD297+Table645[[#This Row],[Column58]]=0,"--",(BD297*$BF$3*Table645[[#This Row],[Column57]]+Table645[[#This Row],[Column58]]*$BF$4)/60/24)</f>
        <v>--</v>
      </c>
      <c r="BH297" s="92">
        <f>IF(Table645[[#This Row],[Column59]]="--",0,Table645[[#This Row],[Column4]]*Table645[[#This Row],[Column59]])</f>
        <v>0</v>
      </c>
      <c r="BI297" s="119"/>
      <c r="BJ297" s="91" t="str">
        <f t="shared" si="190"/>
        <v>--</v>
      </c>
      <c r="BK297" s="92">
        <f>IF(Table645[[#This Row],[Column62]]="--",0,Table645[[#This Row],[Column4]]*Table645[[#This Row],[Column62]])</f>
        <v>0</v>
      </c>
      <c r="BL297" s="93"/>
      <c r="BM297" s="91" t="str">
        <f t="shared" si="153"/>
        <v>--</v>
      </c>
      <c r="BN297" s="89">
        <f>IF(Table645[[#This Row],[Column65]]="--",0,Table645[[#This Row],[Column4]]*Table645[[#This Row],[Column65]])</f>
        <v>0</v>
      </c>
      <c r="BO297" s="163"/>
      <c r="BP297" s="164" t="str">
        <f t="shared" si="154"/>
        <v>--</v>
      </c>
      <c r="BQ297" s="160">
        <f>IF(Table645[[#This Row],[Column68]]="--",0,Table645[[#This Row],[Column4]]*Table645[[#This Row],[Column68]])</f>
        <v>0</v>
      </c>
      <c r="BR297" s="94"/>
      <c r="BS297" s="91" t="str">
        <f t="shared" si="155"/>
        <v>--</v>
      </c>
      <c r="BT297" s="92">
        <f>IF(Table645[[#This Row],[Column71]]="--",0,Table645[[#This Row],[Column4]]*Table645[[#This Row],[Column71]])</f>
        <v>0</v>
      </c>
      <c r="BU297" s="44"/>
      <c r="BV297" s="90"/>
      <c r="BW297" s="91" t="str">
        <f>IF(BV297=0,"--",(Table645[[#This Row],[Column73]]*$BV$4*(IF(J297&lt;0.5001,1,IF(J297&lt;2.0001,2,3)))+BV297/$BV$3)/60/24)</f>
        <v>--</v>
      </c>
      <c r="BX297" s="92">
        <f>IF(Table645[[#This Row],[Column75]]="--",0,Table645[[#This Row],[Column4]]*Table645[[#This Row],[Column75]])</f>
        <v>0</v>
      </c>
      <c r="BY297" s="95" t="s">
        <v>70</v>
      </c>
      <c r="BZ297" s="91" t="str">
        <f>IF(Table645[[#This Row],[Column74]]=0,"--",BW297*$BY$3)</f>
        <v>--</v>
      </c>
      <c r="CA297" s="89">
        <f>IF(Table645[[#This Row],[Column78]]="--",0,Table645[[#This Row],[Column4]]*Table645[[#This Row],[Column78]])</f>
        <v>0</v>
      </c>
      <c r="CB297" s="95" t="s">
        <v>70</v>
      </c>
      <c r="CC297" s="91" t="str">
        <f>IF(Table645[[#This Row],[Column10]]+Table645[[#This Row],[Column74]]=0,"--",J297*$CB$4*$CB$5/(24*60)+IF(Table645[[#This Row],[Column74]]=0,0,$CB$3*Table645[[#This Row],[Column75]]))</f>
        <v>--</v>
      </c>
      <c r="CD297" s="92">
        <f>IF(Table645[[#This Row],[Column81]]="--",0,Table645[[#This Row],[Column4]]*Table645[[#This Row],[Column81]])</f>
        <v>0</v>
      </c>
      <c r="CE297" s="215"/>
      <c r="CF297" s="91" t="str">
        <f t="shared" si="191"/>
        <v>--</v>
      </c>
      <c r="CG297" s="92">
        <f>IF(Table645[[#This Row],[Column84]]="--",0,Table645[[#This Row],[Column4]]*Table645[[#This Row],[Column84]])</f>
        <v>0</v>
      </c>
      <c r="CH297" s="226"/>
      <c r="CI297" s="216"/>
      <c r="CJ297" s="91" t="str">
        <f>IF(CI297=0,"--",(Table645[[#This Row],[Column86]]*$CI$4*(IF(W297&lt;0.5001,1,IF(W297&lt;2.0001,2,3)))+CI297/$CI$3)/60/24)</f>
        <v>--</v>
      </c>
      <c r="CK297" s="92">
        <f>IF(Table645[[#This Row],[Column88]]="--",0,Table645[[#This Row],[Column4]]*Table645[[#This Row],[Column88]])</f>
        <v>0</v>
      </c>
      <c r="CL297" s="217"/>
      <c r="CM297" s="91" t="str">
        <f>IF(Table645[[#This Row],[Column87]]=0,"--",CJ297*$CL$3)</f>
        <v>--</v>
      </c>
      <c r="CN297" s="92">
        <f>IF(Table645[[#This Row],[Column91]]="--",0,Table645[[#This Row],[Column4]]*Table645[[#This Row],[Column91]])</f>
        <v>0</v>
      </c>
      <c r="CO297" s="217"/>
      <c r="CP297" s="91" t="str">
        <f>IF(Table645[[#This Row],[Column10]]+Table645[[#This Row],[Column87]]=0, "--", IF($D297="", 1, $D297) * IF($J297="", 1, $J297) * $CO$3 * $CO$4 * IF(Table645[[#This Row],[Column95]]="", 1, Table645[[#This Row],[Column95]]) / (24 * 60))</f>
        <v>--</v>
      </c>
      <c r="CQ297" s="164"/>
      <c r="CR297" s="92">
        <f>IF(Table645[[#This Row],[Column94]]="--",0,Table645[[#This Row],[Column4]]*Table645[[#This Row],[Column94]])</f>
        <v>0</v>
      </c>
      <c r="CS297" s="218" t="str">
        <f>IF(Table645[[#This Row],[Column87]]="","",Table645[[#This Row],[Column87]])</f>
        <v/>
      </c>
      <c r="CT297" s="91" t="str">
        <f>IF(Table645[[#This Row],[Column97]]="","--",Table645[[#This Row],[Column97]]/$CS$3/60/24)</f>
        <v>--</v>
      </c>
      <c r="CU297" s="92">
        <f>IF(Table645[[#This Row],[Column98]]="--",0,Table645[[#This Row],[Column4]]*Table645[[#This Row],[Column98]])</f>
        <v>0</v>
      </c>
      <c r="CV297" s="93"/>
      <c r="CW297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97" s="91" t="str">
        <f>IF(OR(Table645[[#This Row],[Column74]]&gt;0,Table645[[#This Row],[Column87]]&gt;0),(Table645[[#This Row],[Column73]]+Table645[[#This Row],[Column86]]+1)*$CW$3/60/24,"--")</f>
        <v>--</v>
      </c>
      <c r="CY297" s="92">
        <f>IF(Table645[[#This Row],[Column102]]="--",0,Table645[[#This Row],[Column4]]*Table645[[#This Row],[Column102]])</f>
        <v>0</v>
      </c>
      <c r="CZ297" s="158" t="str">
        <f t="shared" si="156"/>
        <v>--</v>
      </c>
      <c r="DA297" s="153"/>
      <c r="DB297" s="160">
        <f>IF(Table645[[#This Row],[Column104]]="--",0,Table645[[#This Row],[Column4]]*Table645[[#This Row],[Column104]])</f>
        <v>0</v>
      </c>
      <c r="DC297" s="219"/>
      <c r="DD297" s="220" t="str">
        <f>IF(DC297=0,"--",1/$DC$3*1000/(60*60*24)*Table645[[#This Row],[Column107]])</f>
        <v>--</v>
      </c>
      <c r="DE297" s="160">
        <f>IF(Table645[[#This Row],[Column108]]="--",0,Table645[[#This Row],[Column4]]*Table645[[#This Row],[Column108]])</f>
        <v>0</v>
      </c>
      <c r="DF297" s="101" t="s">
        <v>70</v>
      </c>
      <c r="DG297" s="91" t="str">
        <f t="shared" si="157"/>
        <v>--</v>
      </c>
      <c r="DH297" s="89">
        <f>IF(Table645[[#This Row],[Column111]]="--",0,Table645[[#This Row],[Column4]]*Table645[[#This Row],[Column111]])</f>
        <v>0</v>
      </c>
      <c r="DI297" s="96"/>
      <c r="DJ297" s="96"/>
      <c r="DK297" s="96"/>
      <c r="DL297" s="96"/>
      <c r="DM297" s="96"/>
      <c r="DN297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97" s="89">
        <f>IF(Table645[[#This Row],[Column118]]="--",0,Table645[[#This Row],[Column4]]*Table645[[#This Row],[Column118]])</f>
        <v>0</v>
      </c>
      <c r="DP297" s="96"/>
      <c r="DQ297" s="96"/>
      <c r="DR297" s="91" t="str">
        <f t="shared" si="158"/>
        <v>--</v>
      </c>
      <c r="DS297" s="89">
        <f>IF(Table645[[#This Row],[Column122]]="--",0,Table645[[#This Row],[Column4]]*Table645[[#This Row],[Column122]])</f>
        <v>0</v>
      </c>
      <c r="DT297" t="str">
        <f>IF(Table645[[#This Row],[Column125]]=0,"--",Table645[[#This Row],[Column125]]*Table645[[#This Row],[Column126]]*Table645[[#This Row],[Column127]]/1000000000)</f>
        <v>--</v>
      </c>
      <c r="DU297" s="53"/>
      <c r="DV297" s="53"/>
      <c r="DW297" s="53"/>
      <c r="DX297" s="91" t="str">
        <f t="shared" si="159"/>
        <v>--</v>
      </c>
      <c r="DY297" s="89">
        <f>IF(Table645[[#This Row],[Column128]]="--",0,Table645[[#This Row],[Column4]]*Table645[[#This Row],[Column128]])</f>
        <v>0</v>
      </c>
      <c r="EA297" s="89">
        <f>IF(Table645[[#This Row],[Column128]]="--",0,Table645[[#This Row],[Column4]]*Table645[[#This Row],[Column128]])</f>
        <v>0</v>
      </c>
      <c r="EC297" s="89">
        <f>IF(Table645[[#This Row],[Column128]]="--",0,Table645[[#This Row],[Column4]]*Table645[[#This Row],[Column128]])</f>
        <v>0</v>
      </c>
      <c r="EE297" s="89">
        <f>IF(Table645[[#This Row],[Column128]]="--",0,Table645[[#This Row],[Column4]]*Table645[[#This Row],[Column128]])</f>
        <v>0</v>
      </c>
      <c r="EG297" s="89">
        <f>IF(Table645[[#This Row],[Column128]]="--",0,Table645[[#This Row],[Column4]]*Table645[[#This Row],[Column128]])</f>
        <v>0</v>
      </c>
      <c r="EI297" s="89">
        <f>IF(Table645[[#This Row],[Column128]]="--",0,Table645[[#This Row],[Column4]]*Table645[[#This Row],[Column128]])</f>
        <v>0</v>
      </c>
    </row>
    <row r="298" spans="1:139" x14ac:dyDescent="0.25">
      <c r="A298" s="140"/>
      <c r="B298" s="79"/>
      <c r="C298" s="140"/>
      <c r="D298" s="167"/>
      <c r="E298" s="52"/>
      <c r="F298" s="81"/>
      <c r="G298" s="81"/>
      <c r="H298" s="102" t="str">
        <f t="shared" si="34"/>
        <v>--</v>
      </c>
      <c r="I298" s="100">
        <f>IF(Table645[[#This Row],[Column8]]="--",0,Table645[[#This Row],[Column4]]*Table645[[#This Row],[Column8]])</f>
        <v>0</v>
      </c>
      <c r="J298" s="169"/>
      <c r="K298" s="85">
        <f>Table645[[#This Row],[Column4]]*Table645[[#This Row],[Column10]]</f>
        <v>0</v>
      </c>
      <c r="L298" s="170" t="str">
        <f t="shared" si="35"/>
        <v>--</v>
      </c>
      <c r="M298" s="214">
        <f>IF(Table645[[#This Row],[Column10]]=0,0,Table645[[#This Row],[Column4]]*Table645[[#This Row],[Column12]])</f>
        <v>0</v>
      </c>
      <c r="N298" s="87" t="str">
        <f t="shared" si="36"/>
        <v>--</v>
      </c>
      <c r="O298" s="138"/>
      <c r="AZ298" s="89">
        <f>IF(Table645[[#This Row],[Column14]]="--",0,Table645[[#This Row],[Column4]]*Table645[[#This Row],[Column14]])</f>
        <v>0</v>
      </c>
      <c r="BA298" s="90"/>
      <c r="BB298" s="91" t="str">
        <f>IF(BA298=0,"--",BA298*$BA$3*IF(Table645[[#This Row],[Column5]]&lt;4.1,1,2)/60/24)</f>
        <v>--</v>
      </c>
      <c r="BC298" s="92">
        <f>IF(Table645[[#This Row],[Column54]]="--",0,Table645[[#This Row],[Column4]]*Table645[[#This Row],[Column54]])</f>
        <v>0</v>
      </c>
      <c r="BD298" s="119"/>
      <c r="BE298" s="119"/>
      <c r="BF298" s="119"/>
      <c r="BG298" s="91" t="str">
        <f>IF(BD298+Table645[[#This Row],[Column58]]=0,"--",(BD298*$BF$3*Table645[[#This Row],[Column57]]+Table645[[#This Row],[Column58]]*$BF$4)/60/24)</f>
        <v>--</v>
      </c>
      <c r="BH298" s="92">
        <f>IF(Table645[[#This Row],[Column59]]="--",0,Table645[[#This Row],[Column4]]*Table645[[#This Row],[Column59]])</f>
        <v>0</v>
      </c>
      <c r="BI298" s="119"/>
      <c r="BJ298" s="91" t="str">
        <f t="shared" si="190"/>
        <v>--</v>
      </c>
      <c r="BK298" s="92">
        <f>IF(Table645[[#This Row],[Column62]]="--",0,Table645[[#This Row],[Column4]]*Table645[[#This Row],[Column62]])</f>
        <v>0</v>
      </c>
      <c r="BL298" s="93"/>
      <c r="BM298" s="91" t="str">
        <f t="shared" si="37"/>
        <v>--</v>
      </c>
      <c r="BN298" s="89">
        <f>IF(Table645[[#This Row],[Column65]]="--",0,Table645[[#This Row],[Column4]]*Table645[[#This Row],[Column65]])</f>
        <v>0</v>
      </c>
      <c r="BO298" s="163"/>
      <c r="BP298" s="164" t="str">
        <f t="shared" si="38"/>
        <v>--</v>
      </c>
      <c r="BQ298" s="160">
        <f>IF(Table645[[#This Row],[Column68]]="--",0,Table645[[#This Row],[Column4]]*Table645[[#This Row],[Column68]])</f>
        <v>0</v>
      </c>
      <c r="BR298" s="94"/>
      <c r="BS298" s="91" t="str">
        <f t="shared" si="39"/>
        <v>--</v>
      </c>
      <c r="BT298" s="92">
        <f>IF(Table645[[#This Row],[Column71]]="--",0,Table645[[#This Row],[Column4]]*Table645[[#This Row],[Column71]])</f>
        <v>0</v>
      </c>
      <c r="BU298" s="44"/>
      <c r="BV298" s="90"/>
      <c r="BW298" s="91" t="str">
        <f>IF(BV298=0,"--",(Table645[[#This Row],[Column73]]*$BV$4*(IF(J298&lt;0.5001,1,IF(J298&lt;2.0001,2,3)))+BV298/$BV$3)/60/24)</f>
        <v>--</v>
      </c>
      <c r="BX298" s="92">
        <f>IF(Table645[[#This Row],[Column75]]="--",0,Table645[[#This Row],[Column4]]*Table645[[#This Row],[Column75]])</f>
        <v>0</v>
      </c>
      <c r="BY298" s="95" t="s">
        <v>70</v>
      </c>
      <c r="BZ298" s="91" t="str">
        <f>IF(Table645[[#This Row],[Column74]]=0,"--",BW298*$BY$3)</f>
        <v>--</v>
      </c>
      <c r="CA298" s="89">
        <f>IF(Table645[[#This Row],[Column78]]="--",0,Table645[[#This Row],[Column4]]*Table645[[#This Row],[Column78]])</f>
        <v>0</v>
      </c>
      <c r="CB298" s="95" t="s">
        <v>70</v>
      </c>
      <c r="CC298" s="91" t="str">
        <f>IF(Table645[[#This Row],[Column10]]+Table645[[#This Row],[Column74]]=0,"--",J298*$CB$4*$CB$5/(24*60)+IF(Table645[[#This Row],[Column74]]=0,0,$CB$3*Table645[[#This Row],[Column75]]))</f>
        <v>--</v>
      </c>
      <c r="CD298" s="92">
        <f>IF(Table645[[#This Row],[Column81]]="--",0,Table645[[#This Row],[Column4]]*Table645[[#This Row],[Column81]])</f>
        <v>0</v>
      </c>
      <c r="CE298" s="215"/>
      <c r="CF298" s="91" t="str">
        <f t="shared" si="191"/>
        <v>--</v>
      </c>
      <c r="CG298" s="92">
        <f>IF(Table645[[#This Row],[Column84]]="--",0,Table645[[#This Row],[Column4]]*Table645[[#This Row],[Column84]])</f>
        <v>0</v>
      </c>
      <c r="CH298" s="226"/>
      <c r="CI298" s="216"/>
      <c r="CJ298" s="91" t="str">
        <f>IF(CI298=0,"--",(Table645[[#This Row],[Column86]]*$CI$4*(IF(W298&lt;0.5001,1,IF(W298&lt;2.0001,2,3)))+CI298/$CI$3)/60/24)</f>
        <v>--</v>
      </c>
      <c r="CK298" s="92">
        <f>IF(Table645[[#This Row],[Column88]]="--",0,Table645[[#This Row],[Column4]]*Table645[[#This Row],[Column88]])</f>
        <v>0</v>
      </c>
      <c r="CL298" s="217"/>
      <c r="CM298" s="91" t="str">
        <f>IF(Table645[[#This Row],[Column87]]=0,"--",CJ298*$CL$3)</f>
        <v>--</v>
      </c>
      <c r="CN298" s="92">
        <f>IF(Table645[[#This Row],[Column91]]="--",0,Table645[[#This Row],[Column4]]*Table645[[#This Row],[Column91]])</f>
        <v>0</v>
      </c>
      <c r="CO298" s="217"/>
      <c r="CP298" s="91" t="str">
        <f>IF(Table645[[#This Row],[Column10]]+Table645[[#This Row],[Column87]]=0, "--", IF($D298="", 1, $D298) * IF($J298="", 1, $J298) * $CO$3 * $CO$4 * IF(Table645[[#This Row],[Column95]]="", 1, Table645[[#This Row],[Column95]]) / (24 * 60))</f>
        <v>--</v>
      </c>
      <c r="CQ298" s="164"/>
      <c r="CR298" s="92">
        <f>IF(Table645[[#This Row],[Column94]]="--",0,Table645[[#This Row],[Column4]]*Table645[[#This Row],[Column94]])</f>
        <v>0</v>
      </c>
      <c r="CS298" s="218" t="str">
        <f>IF(Table645[[#This Row],[Column87]]="","",Table645[[#This Row],[Column87]])</f>
        <v/>
      </c>
      <c r="CT298" s="91" t="str">
        <f>IF(Table645[[#This Row],[Column97]]="","--",Table645[[#This Row],[Column97]]/$CS$3/60/24)</f>
        <v>--</v>
      </c>
      <c r="CU298" s="92">
        <f>IF(Table645[[#This Row],[Column98]]="--",0,Table645[[#This Row],[Column4]]*Table645[[#This Row],[Column98]])</f>
        <v>0</v>
      </c>
      <c r="CV298" s="93"/>
      <c r="CW298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98" s="91" t="str">
        <f>IF(OR(Table645[[#This Row],[Column74]]&gt;0,Table645[[#This Row],[Column87]]&gt;0),(Table645[[#This Row],[Column73]]+Table645[[#This Row],[Column86]]+1)*$CW$3/60/24,"--")</f>
        <v>--</v>
      </c>
      <c r="CY298" s="92">
        <f>IF(Table645[[#This Row],[Column102]]="--",0,Table645[[#This Row],[Column4]]*Table645[[#This Row],[Column102]])</f>
        <v>0</v>
      </c>
      <c r="CZ298" s="158" t="str">
        <f t="shared" si="40"/>
        <v>--</v>
      </c>
      <c r="DA298" s="153"/>
      <c r="DB298" s="160">
        <f>IF(Table645[[#This Row],[Column104]]="--",0,Table645[[#This Row],[Column4]]*Table645[[#This Row],[Column104]])</f>
        <v>0</v>
      </c>
      <c r="DC298" s="219"/>
      <c r="DD298" s="220" t="str">
        <f>IF(DC298=0,"--",1/$DC$3*1000/(60*60*24)*Table645[[#This Row],[Column107]])</f>
        <v>--</v>
      </c>
      <c r="DE298" s="160">
        <f>IF(Table645[[#This Row],[Column108]]="--",0,Table645[[#This Row],[Column4]]*Table645[[#This Row],[Column108]])</f>
        <v>0</v>
      </c>
      <c r="DF298" s="101" t="s">
        <v>70</v>
      </c>
      <c r="DG298" s="91" t="str">
        <f t="shared" si="41"/>
        <v>--</v>
      </c>
      <c r="DH298" s="89">
        <f>IF(Table645[[#This Row],[Column111]]="--",0,Table645[[#This Row],[Column4]]*Table645[[#This Row],[Column111]])</f>
        <v>0</v>
      </c>
      <c r="DI298" s="96"/>
      <c r="DJ298" s="96"/>
      <c r="DK298" s="96"/>
      <c r="DL298" s="96"/>
      <c r="DM298" s="96"/>
      <c r="DN298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98" s="89">
        <f>IF(Table645[[#This Row],[Column118]]="--",0,Table645[[#This Row],[Column4]]*Table645[[#This Row],[Column118]])</f>
        <v>0</v>
      </c>
      <c r="DP298" s="96"/>
      <c r="DQ298" s="96"/>
      <c r="DR298" s="91" t="str">
        <f t="shared" si="42"/>
        <v>--</v>
      </c>
      <c r="DS298" s="89">
        <f>IF(Table645[[#This Row],[Column122]]="--",0,Table645[[#This Row],[Column4]]*Table645[[#This Row],[Column122]])</f>
        <v>0</v>
      </c>
      <c r="DT298" t="str">
        <f>IF(Table645[[#This Row],[Column125]]=0,"--",Table645[[#This Row],[Column125]]*Table645[[#This Row],[Column126]]*Table645[[#This Row],[Column127]]/1000000000)</f>
        <v>--</v>
      </c>
      <c r="DU298" s="53"/>
      <c r="DV298" s="53"/>
      <c r="DW298" s="53"/>
      <c r="DX298" s="91" t="str">
        <f t="shared" si="43"/>
        <v>--</v>
      </c>
      <c r="DY298" s="89">
        <f>IF(Table645[[#This Row],[Column128]]="--",0,Table645[[#This Row],[Column4]]*Table645[[#This Row],[Column128]])</f>
        <v>0</v>
      </c>
      <c r="EA298" s="89">
        <f>IF(Table645[[#This Row],[Column128]]="--",0,Table645[[#This Row],[Column4]]*Table645[[#This Row],[Column128]])</f>
        <v>0</v>
      </c>
      <c r="EC298" s="89">
        <f>IF(Table645[[#This Row],[Column128]]="--",0,Table645[[#This Row],[Column4]]*Table645[[#This Row],[Column128]])</f>
        <v>0</v>
      </c>
      <c r="EE298" s="89">
        <f>IF(Table645[[#This Row],[Column128]]="--",0,Table645[[#This Row],[Column4]]*Table645[[#This Row],[Column128]])</f>
        <v>0</v>
      </c>
      <c r="EG298" s="89">
        <f>IF(Table645[[#This Row],[Column128]]="--",0,Table645[[#This Row],[Column4]]*Table645[[#This Row],[Column128]])</f>
        <v>0</v>
      </c>
      <c r="EI298" s="89">
        <f>IF(Table645[[#This Row],[Column128]]="--",0,Table645[[#This Row],[Column4]]*Table645[[#This Row],[Column128]])</f>
        <v>0</v>
      </c>
    </row>
    <row r="299" spans="1:139" x14ac:dyDescent="0.25">
      <c r="A299" s="140"/>
      <c r="B299" s="79"/>
      <c r="C299" s="140"/>
      <c r="D299" s="167"/>
      <c r="E299" s="52"/>
      <c r="F299" s="81"/>
      <c r="G299" s="81"/>
      <c r="H299" s="102" t="str">
        <f t="shared" ref="H299:H300" si="192">IF(E299&gt;0,E299*F299*G299/1000000*8*(1+$H$4),"--")</f>
        <v>--</v>
      </c>
      <c r="I299" s="100">
        <f>IF(Table645[[#This Row],[Column8]]="--",0,Table645[[#This Row],[Column4]]*Table645[[#This Row],[Column8]])</f>
        <v>0</v>
      </c>
      <c r="J299" s="169"/>
      <c r="K299" s="85">
        <f>Table645[[#This Row],[Column4]]*Table645[[#This Row],[Column10]]</f>
        <v>0</v>
      </c>
      <c r="L299" s="170" t="str">
        <f t="shared" ref="L299:L300" si="193">IF(J299=0,"--",J299/$J$3)</f>
        <v>--</v>
      </c>
      <c r="M299" s="214">
        <f>IF(Table645[[#This Row],[Column10]]=0,0,Table645[[#This Row],[Column4]]*Table645[[#This Row],[Column12]])</f>
        <v>0</v>
      </c>
      <c r="N299" s="87" t="str">
        <f t="shared" ref="N299:N300" si="194">IF(SUM(Q299:AX299)=0,"--",(Q299/$Q$4+T299/$T$4+W299/$W$4+Z299/$Z$4+AC299/$AC$4+AF299/$AF$4+AI299/$AI$4+AL299/$AL$4+AO299/$AO$4+AR299/$AR$4+AU299/$AU$4+AX299/$AX$4)/60/24)</f>
        <v>--</v>
      </c>
      <c r="O299" s="138"/>
      <c r="AZ299" s="89">
        <f>IF(Table645[[#This Row],[Column14]]="--",0,Table645[[#This Row],[Column4]]*Table645[[#This Row],[Column14]])</f>
        <v>0</v>
      </c>
      <c r="BA299" s="90"/>
      <c r="BB299" s="91" t="str">
        <f>IF(BA299=0,"--",BA299*$BA$3*IF(Table645[[#This Row],[Column5]]&lt;4.1,1,2)/60/24)</f>
        <v>--</v>
      </c>
      <c r="BC299" s="92">
        <f>IF(Table645[[#This Row],[Column54]]="--",0,Table645[[#This Row],[Column4]]*Table645[[#This Row],[Column54]])</f>
        <v>0</v>
      </c>
      <c r="BD299" s="119"/>
      <c r="BE299" s="119"/>
      <c r="BF299" s="119"/>
      <c r="BG299" s="91" t="str">
        <f>IF(BD299+Table645[[#This Row],[Column58]]=0,"--",(BD299*$BF$3*Table645[[#This Row],[Column57]]+Table645[[#This Row],[Column58]]*$BF$4)/60/24)</f>
        <v>--</v>
      </c>
      <c r="BH299" s="92">
        <f>IF(Table645[[#This Row],[Column59]]="--",0,Table645[[#This Row],[Column4]]*Table645[[#This Row],[Column59]])</f>
        <v>0</v>
      </c>
      <c r="BI299" s="119"/>
      <c r="BJ299" s="91" t="str">
        <f t="shared" si="190"/>
        <v>--</v>
      </c>
      <c r="BK299" s="92">
        <f>IF(Table645[[#This Row],[Column62]]="--",0,Table645[[#This Row],[Column4]]*Table645[[#This Row],[Column62]])</f>
        <v>0</v>
      </c>
      <c r="BL299" s="93"/>
      <c r="BM299" s="91" t="str">
        <f t="shared" ref="BM299:BM300" si="195">IF(BL299=0,"--",BL299*$BL$3/60/60/24)</f>
        <v>--</v>
      </c>
      <c r="BN299" s="89">
        <f>IF(Table645[[#This Row],[Column65]]="--",0,Table645[[#This Row],[Column4]]*Table645[[#This Row],[Column65]])</f>
        <v>0</v>
      </c>
      <c r="BO299" s="163"/>
      <c r="BP299" s="164" t="str">
        <f t="shared" ref="BP299:BP300" si="196">IF(BO299=0,"--",BO299*$BO$3/60/60/24)</f>
        <v>--</v>
      </c>
      <c r="BQ299" s="160">
        <f>IF(Table645[[#This Row],[Column68]]="--",0,Table645[[#This Row],[Column4]]*Table645[[#This Row],[Column68]])</f>
        <v>0</v>
      </c>
      <c r="BR299" s="94"/>
      <c r="BS299" s="91" t="str">
        <f t="shared" ref="BS299:BS300" si="197">IF(BR299=0,"--",BR299*$BR$3/60/60/24)</f>
        <v>--</v>
      </c>
      <c r="BT299" s="92">
        <f>IF(Table645[[#This Row],[Column71]]="--",0,Table645[[#This Row],[Column4]]*Table645[[#This Row],[Column71]])</f>
        <v>0</v>
      </c>
      <c r="BU299" s="44"/>
      <c r="BV299" s="90"/>
      <c r="BW299" s="91" t="str">
        <f>IF(BV299=0,"--",(Table645[[#This Row],[Column73]]*$BV$4*(IF(J299&lt;0.5001,1,IF(J299&lt;2.0001,2,3)))+BV299/$BV$3)/60/24)</f>
        <v>--</v>
      </c>
      <c r="BX299" s="92">
        <f>IF(Table645[[#This Row],[Column75]]="--",0,Table645[[#This Row],[Column4]]*Table645[[#This Row],[Column75]])</f>
        <v>0</v>
      </c>
      <c r="BY299" s="95" t="s">
        <v>70</v>
      </c>
      <c r="BZ299" s="91" t="str">
        <f>IF(Table645[[#This Row],[Column74]]=0,"--",BW299*$BY$3)</f>
        <v>--</v>
      </c>
      <c r="CA299" s="89">
        <f>IF(Table645[[#This Row],[Column78]]="--",0,Table645[[#This Row],[Column4]]*Table645[[#This Row],[Column78]])</f>
        <v>0</v>
      </c>
      <c r="CB299" s="95" t="s">
        <v>70</v>
      </c>
      <c r="CC299" s="91" t="str">
        <f>IF(Table645[[#This Row],[Column10]]+Table645[[#This Row],[Column74]]=0,"--",J299*$CB$4*$CB$5/(24*60)+IF(Table645[[#This Row],[Column74]]=0,0,$CB$3*Table645[[#This Row],[Column75]]))</f>
        <v>--</v>
      </c>
      <c r="CD299" s="92">
        <f>IF(Table645[[#This Row],[Column81]]="--",0,Table645[[#This Row],[Column4]]*Table645[[#This Row],[Column81]])</f>
        <v>0</v>
      </c>
      <c r="CE299" s="215"/>
      <c r="CF299" s="91" t="str">
        <f t="shared" si="191"/>
        <v>--</v>
      </c>
      <c r="CG299" s="92">
        <f>IF(Table645[[#This Row],[Column84]]="--",0,Table645[[#This Row],[Column4]]*Table645[[#This Row],[Column84]])</f>
        <v>0</v>
      </c>
      <c r="CH299" s="226"/>
      <c r="CI299" s="216"/>
      <c r="CJ299" s="91" t="str">
        <f>IF(CI299=0,"--",(Table645[[#This Row],[Column86]]*$CI$4*(IF(W299&lt;0.5001,1,IF(W299&lt;2.0001,2,3)))+CI299/$CI$3)/60/24)</f>
        <v>--</v>
      </c>
      <c r="CK299" s="92">
        <f>IF(Table645[[#This Row],[Column88]]="--",0,Table645[[#This Row],[Column4]]*Table645[[#This Row],[Column88]])</f>
        <v>0</v>
      </c>
      <c r="CL299" s="217"/>
      <c r="CM299" s="91" t="str">
        <f>IF(Table645[[#This Row],[Column87]]=0,"--",CJ299*$CL$3)</f>
        <v>--</v>
      </c>
      <c r="CN299" s="92">
        <f>IF(Table645[[#This Row],[Column91]]="--",0,Table645[[#This Row],[Column4]]*Table645[[#This Row],[Column91]])</f>
        <v>0</v>
      </c>
      <c r="CO299" s="217"/>
      <c r="CP299" s="91" t="str">
        <f>IF(Table645[[#This Row],[Column10]]+Table645[[#This Row],[Column87]]=0, "--", IF($D299="", 1, $D299) * IF($J299="", 1, $J299) * $CO$3 * $CO$4 * IF(Table645[[#This Row],[Column95]]="", 1, Table645[[#This Row],[Column95]]) / (24 * 60))</f>
        <v>--</v>
      </c>
      <c r="CQ299" s="164"/>
      <c r="CR299" s="92">
        <f>IF(Table645[[#This Row],[Column94]]="--",0,Table645[[#This Row],[Column4]]*Table645[[#This Row],[Column94]])</f>
        <v>0</v>
      </c>
      <c r="CS299" s="218" t="str">
        <f>IF(Table645[[#This Row],[Column87]]="","",Table645[[#This Row],[Column87]])</f>
        <v/>
      </c>
      <c r="CT299" s="91" t="str">
        <f>IF(Table645[[#This Row],[Column97]]="","--",Table645[[#This Row],[Column97]]/$CS$3/60/24)</f>
        <v>--</v>
      </c>
      <c r="CU299" s="92">
        <f>IF(Table645[[#This Row],[Column98]]="--",0,Table645[[#This Row],[Column4]]*Table645[[#This Row],[Column98]])</f>
        <v>0</v>
      </c>
      <c r="CV299" s="93"/>
      <c r="CW299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299" s="91" t="str">
        <f>IF(OR(Table645[[#This Row],[Column74]]&gt;0,Table645[[#This Row],[Column87]]&gt;0),(Table645[[#This Row],[Column73]]+Table645[[#This Row],[Column86]]+1)*$CW$3/60/24,"--")</f>
        <v>--</v>
      </c>
      <c r="CY299" s="92">
        <f>IF(Table645[[#This Row],[Column102]]="--",0,Table645[[#This Row],[Column4]]*Table645[[#This Row],[Column102]])</f>
        <v>0</v>
      </c>
      <c r="CZ299" s="158" t="str">
        <f t="shared" ref="CZ299:CZ300" si="198">IF(J299=0,"--",J299/$CZ$3/(24)*DA299)</f>
        <v>--</v>
      </c>
      <c r="DA299" s="153"/>
      <c r="DB299" s="160">
        <f>IF(Table645[[#This Row],[Column104]]="--",0,Table645[[#This Row],[Column4]]*Table645[[#This Row],[Column104]])</f>
        <v>0</v>
      </c>
      <c r="DC299" s="219"/>
      <c r="DD299" s="220" t="str">
        <f>IF(DC299=0,"--",1/$DC$3*1000/(60*60*24)*Table645[[#This Row],[Column107]])</f>
        <v>--</v>
      </c>
      <c r="DE299" s="160">
        <f>IF(Table645[[#This Row],[Column108]]="--",0,Table645[[#This Row],[Column4]]*Table645[[#This Row],[Column108]])</f>
        <v>0</v>
      </c>
      <c r="DF299" s="101" t="s">
        <v>70</v>
      </c>
      <c r="DG299" s="91" t="str">
        <f t="shared" ref="DG299:DG300" si="199">IF(DA299=0,"--",(J299*$DF$3)/60/24)</f>
        <v>--</v>
      </c>
      <c r="DH299" s="89">
        <f>IF(Table645[[#This Row],[Column111]]="--",0,Table645[[#This Row],[Column4]]*Table645[[#This Row],[Column111]])</f>
        <v>0</v>
      </c>
      <c r="DI299" s="96"/>
      <c r="DJ299" s="96"/>
      <c r="DK299" s="96"/>
      <c r="DL299" s="96"/>
      <c r="DM299" s="96"/>
      <c r="DN299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299" s="89">
        <f>IF(Table645[[#This Row],[Column118]]="--",0,Table645[[#This Row],[Column4]]*Table645[[#This Row],[Column118]])</f>
        <v>0</v>
      </c>
      <c r="DP299" s="96"/>
      <c r="DQ299" s="96"/>
      <c r="DR299" s="91" t="str">
        <f t="shared" ref="DR299:DR300" si="200">IF(DP299+DQ299&gt;0,(DP299*$DQ$3+DQ299*$DQ$4)/60/24,IF(DN299="--","--",(DP299*$DQ$3+DQ299*$DQ$4)/60/24))</f>
        <v>--</v>
      </c>
      <c r="DS299" s="89">
        <f>IF(Table645[[#This Row],[Column122]]="--",0,Table645[[#This Row],[Column4]]*Table645[[#This Row],[Column122]])</f>
        <v>0</v>
      </c>
      <c r="DT299" t="str">
        <f>IF(Table645[[#This Row],[Column125]]=0,"--",Table645[[#This Row],[Column125]]*Table645[[#This Row],[Column126]]*Table645[[#This Row],[Column127]]/1000000000)</f>
        <v>--</v>
      </c>
      <c r="DU299" s="53"/>
      <c r="DV299" s="53"/>
      <c r="DW299" s="53"/>
      <c r="DX299" s="91" t="str">
        <f t="shared" ref="DX299:DX300" si="201">IF(DT299="--","--",(1+DT299*$DT$3)/60/24)</f>
        <v>--</v>
      </c>
      <c r="DY299" s="89">
        <f>IF(Table645[[#This Row],[Column128]]="--",0,Table645[[#This Row],[Column4]]*Table645[[#This Row],[Column128]])</f>
        <v>0</v>
      </c>
      <c r="EA299" s="89">
        <f>IF(Table645[[#This Row],[Column128]]="--",0,Table645[[#This Row],[Column4]]*Table645[[#This Row],[Column128]])</f>
        <v>0</v>
      </c>
      <c r="EC299" s="89">
        <f>IF(Table645[[#This Row],[Column128]]="--",0,Table645[[#This Row],[Column4]]*Table645[[#This Row],[Column128]])</f>
        <v>0</v>
      </c>
      <c r="EE299" s="89">
        <f>IF(Table645[[#This Row],[Column128]]="--",0,Table645[[#This Row],[Column4]]*Table645[[#This Row],[Column128]])</f>
        <v>0</v>
      </c>
      <c r="EG299" s="89">
        <f>IF(Table645[[#This Row],[Column128]]="--",0,Table645[[#This Row],[Column4]]*Table645[[#This Row],[Column128]])</f>
        <v>0</v>
      </c>
      <c r="EI299" s="89">
        <f>IF(Table645[[#This Row],[Column128]]="--",0,Table645[[#This Row],[Column4]]*Table645[[#This Row],[Column128]])</f>
        <v>0</v>
      </c>
    </row>
    <row r="300" spans="1:139" x14ac:dyDescent="0.25">
      <c r="A300" s="140"/>
      <c r="B300" s="79"/>
      <c r="C300" s="140"/>
      <c r="D300" s="167"/>
      <c r="E300" s="52"/>
      <c r="F300" s="81"/>
      <c r="G300" s="81"/>
      <c r="H300" s="102" t="str">
        <f t="shared" si="192"/>
        <v>--</v>
      </c>
      <c r="I300" s="100">
        <f>IF(Table645[[#This Row],[Column8]]="--",0,Table645[[#This Row],[Column4]]*Table645[[#This Row],[Column8]])</f>
        <v>0</v>
      </c>
      <c r="J300" s="169"/>
      <c r="K300" s="85">
        <f>Table645[[#This Row],[Column4]]*Table645[[#This Row],[Column10]]</f>
        <v>0</v>
      </c>
      <c r="L300" s="170" t="str">
        <f t="shared" si="193"/>
        <v>--</v>
      </c>
      <c r="M300" s="214">
        <f>IF(Table645[[#This Row],[Column10]]=0,0,Table645[[#This Row],[Column4]]*Table645[[#This Row],[Column12]])</f>
        <v>0</v>
      </c>
      <c r="N300" s="87" t="str">
        <f t="shared" si="194"/>
        <v>--</v>
      </c>
      <c r="O300" s="138"/>
      <c r="AZ300" s="89">
        <f>IF(Table645[[#This Row],[Column14]]="--",0,Table645[[#This Row],[Column4]]*Table645[[#This Row],[Column14]])</f>
        <v>0</v>
      </c>
      <c r="BA300" s="90"/>
      <c r="BB300" s="91" t="str">
        <f>IF(BA300=0,"--",BA300*$BA$3*IF(Table645[[#This Row],[Column5]]&lt;4.1,1,2)/60/24)</f>
        <v>--</v>
      </c>
      <c r="BC300" s="92">
        <f>IF(Table645[[#This Row],[Column54]]="--",0,Table645[[#This Row],[Column4]]*Table645[[#This Row],[Column54]])</f>
        <v>0</v>
      </c>
      <c r="BD300" s="119"/>
      <c r="BE300" s="119"/>
      <c r="BF300" s="119"/>
      <c r="BG300" s="91" t="str">
        <f>IF(BD300+Table645[[#This Row],[Column58]]=0,"--",(BD300*$BF$3*Table645[[#This Row],[Column57]]+Table645[[#This Row],[Column58]]*$BF$4)/60/24)</f>
        <v>--</v>
      </c>
      <c r="BH300" s="92">
        <f>IF(Table645[[#This Row],[Column59]]="--",0,Table645[[#This Row],[Column4]]*Table645[[#This Row],[Column59]])</f>
        <v>0</v>
      </c>
      <c r="BI300" s="119"/>
      <c r="BJ300" s="91" t="str">
        <f t="shared" si="190"/>
        <v>--</v>
      </c>
      <c r="BK300" s="92">
        <f>IF(Table645[[#This Row],[Column62]]="--",0,Table645[[#This Row],[Column4]]*Table645[[#This Row],[Column62]])</f>
        <v>0</v>
      </c>
      <c r="BL300" s="93"/>
      <c r="BM300" s="91" t="str">
        <f t="shared" si="195"/>
        <v>--</v>
      </c>
      <c r="BN300" s="89">
        <f>IF(Table645[[#This Row],[Column65]]="--",0,Table645[[#This Row],[Column4]]*Table645[[#This Row],[Column65]])</f>
        <v>0</v>
      </c>
      <c r="BO300" s="163"/>
      <c r="BP300" s="164" t="str">
        <f t="shared" si="196"/>
        <v>--</v>
      </c>
      <c r="BQ300" s="160">
        <f>IF(Table645[[#This Row],[Column68]]="--",0,Table645[[#This Row],[Column4]]*Table645[[#This Row],[Column68]])</f>
        <v>0</v>
      </c>
      <c r="BR300" s="94"/>
      <c r="BS300" s="91" t="str">
        <f t="shared" si="197"/>
        <v>--</v>
      </c>
      <c r="BT300" s="92">
        <f>IF(Table645[[#This Row],[Column71]]="--",0,Table645[[#This Row],[Column4]]*Table645[[#This Row],[Column71]])</f>
        <v>0</v>
      </c>
      <c r="BU300" s="44"/>
      <c r="BV300" s="90"/>
      <c r="BW300" s="91" t="str">
        <f>IF(BV300=0,"--",(Table645[[#This Row],[Column73]]*$BV$4*(IF(J300&lt;0.5001,1,IF(J300&lt;2.0001,2,3)))+BV300/$BV$3)/60/24)</f>
        <v>--</v>
      </c>
      <c r="BX300" s="92">
        <f>IF(Table645[[#This Row],[Column75]]="--",0,Table645[[#This Row],[Column4]]*Table645[[#This Row],[Column75]])</f>
        <v>0</v>
      </c>
      <c r="BY300" s="95" t="s">
        <v>70</v>
      </c>
      <c r="BZ300" s="91" t="str">
        <f>IF(Table645[[#This Row],[Column74]]=0,"--",BW300*$BY$3)</f>
        <v>--</v>
      </c>
      <c r="CA300" s="89">
        <f>IF(Table645[[#This Row],[Column78]]="--",0,Table645[[#This Row],[Column4]]*Table645[[#This Row],[Column78]])</f>
        <v>0</v>
      </c>
      <c r="CB300" s="95" t="s">
        <v>70</v>
      </c>
      <c r="CC300" s="91" t="str">
        <f>IF(Table645[[#This Row],[Column10]]+Table645[[#This Row],[Column74]]=0,"--",J300*$CB$4*$CB$5/(24*60)+IF(Table645[[#This Row],[Column74]]=0,0,$CB$3*Table645[[#This Row],[Column75]]))</f>
        <v>--</v>
      </c>
      <c r="CD300" s="92">
        <f>IF(Table645[[#This Row],[Column81]]="--",0,Table645[[#This Row],[Column4]]*Table645[[#This Row],[Column81]])</f>
        <v>0</v>
      </c>
      <c r="CE300" s="215"/>
      <c r="CF300" s="91" t="str">
        <f t="shared" si="191"/>
        <v>--</v>
      </c>
      <c r="CG300" s="92">
        <f>IF(Table645[[#This Row],[Column84]]="--",0,Table645[[#This Row],[Column4]]*Table645[[#This Row],[Column84]])</f>
        <v>0</v>
      </c>
      <c r="CH300" s="226"/>
      <c r="CI300" s="216"/>
      <c r="CJ300" s="91" t="str">
        <f>IF(CI300=0,"--",(Table645[[#This Row],[Column86]]*$CI$4*(IF(W300&lt;0.5001,1,IF(W300&lt;2.0001,2,3)))+CI300/$CI$3)/60/24)</f>
        <v>--</v>
      </c>
      <c r="CK300" s="92">
        <f>IF(Table645[[#This Row],[Column88]]="--",0,Table645[[#This Row],[Column4]]*Table645[[#This Row],[Column88]])</f>
        <v>0</v>
      </c>
      <c r="CL300" s="217"/>
      <c r="CM300" s="91" t="str">
        <f>IF(Table645[[#This Row],[Column87]]=0,"--",CJ300*$CL$3)</f>
        <v>--</v>
      </c>
      <c r="CN300" s="92">
        <f>IF(Table645[[#This Row],[Column91]]="--",0,Table645[[#This Row],[Column4]]*Table645[[#This Row],[Column91]])</f>
        <v>0</v>
      </c>
      <c r="CO300" s="217"/>
      <c r="CP300" s="91" t="str">
        <f>IF(Table645[[#This Row],[Column10]]+Table645[[#This Row],[Column87]]=0, "--", IF($D300="", 1, $D300) * IF($J300="", 1, $J300) * $CO$3 * $CO$4 * IF(Table645[[#This Row],[Column95]]="", 1, Table645[[#This Row],[Column95]]) / (24 * 60))</f>
        <v>--</v>
      </c>
      <c r="CQ300" s="164"/>
      <c r="CR300" s="92">
        <f>IF(Table645[[#This Row],[Column94]]="--",0,Table645[[#This Row],[Column4]]*Table645[[#This Row],[Column94]])</f>
        <v>0</v>
      </c>
      <c r="CS300" s="218" t="str">
        <f>IF(Table645[[#This Row],[Column87]]="","",Table645[[#This Row],[Column87]])</f>
        <v/>
      </c>
      <c r="CT300" s="91" t="str">
        <f>IF(Table645[[#This Row],[Column97]]="","--",Table645[[#This Row],[Column97]]/$CS$3/60/24)</f>
        <v>--</v>
      </c>
      <c r="CU300" s="92">
        <f>IF(Table645[[#This Row],[Column98]]="--",0,Table645[[#This Row],[Column4]]*Table645[[#This Row],[Column98]])</f>
        <v>0</v>
      </c>
      <c r="CV300" s="93"/>
      <c r="CW300" s="96" t="str">
        <f>IF(AND(Table645[[#This Row],[Column88]]="--", Table645[[#This Row],[Column75]]="--"), "--", IF(Table645[[#This Row],[Column88]]="--", 0, Table645[[#This Row],[Column86]]) + IF(Table645[[#This Row],[Column75]]="--", 0, Table645[[#This Row],[Column73]]) + 1)</f>
        <v>--</v>
      </c>
      <c r="CX300" s="91" t="str">
        <f>IF(OR(Table645[[#This Row],[Column74]]&gt;0,Table645[[#This Row],[Column87]]&gt;0),(Table645[[#This Row],[Column73]]+Table645[[#This Row],[Column86]]+1)*$CW$3/60/24,"--")</f>
        <v>--</v>
      </c>
      <c r="CY300" s="92">
        <f>IF(Table645[[#This Row],[Column102]]="--",0,Table645[[#This Row],[Column4]]*Table645[[#This Row],[Column102]])</f>
        <v>0</v>
      </c>
      <c r="CZ300" s="158" t="str">
        <f t="shared" si="198"/>
        <v>--</v>
      </c>
      <c r="DA300" s="153"/>
      <c r="DB300" s="160">
        <f>IF(Table645[[#This Row],[Column104]]="--",0,Table645[[#This Row],[Column4]]*Table645[[#This Row],[Column104]])</f>
        <v>0</v>
      </c>
      <c r="DC300" s="219"/>
      <c r="DD300" s="220" t="str">
        <f>IF(DC300=0,"--",1/$DC$3*1000/(60*60*24)*Table645[[#This Row],[Column107]])</f>
        <v>--</v>
      </c>
      <c r="DE300" s="160">
        <f>IF(Table645[[#This Row],[Column108]]="--",0,Table645[[#This Row],[Column4]]*Table645[[#This Row],[Column108]])</f>
        <v>0</v>
      </c>
      <c r="DF300" s="101" t="s">
        <v>70</v>
      </c>
      <c r="DG300" s="91" t="str">
        <f t="shared" si="199"/>
        <v>--</v>
      </c>
      <c r="DH300" s="89">
        <f>IF(Table645[[#This Row],[Column111]]="--",0,Table645[[#This Row],[Column4]]*Table645[[#This Row],[Column111]])</f>
        <v>0</v>
      </c>
      <c r="DI300" s="96"/>
      <c r="DJ300" s="96"/>
      <c r="DK300" s="96"/>
      <c r="DL300" s="96"/>
      <c r="DM300" s="96"/>
      <c r="DN300" s="101" t="str">
        <f>IF(Table645[[#This Row],[Column113]]+Table645[[#This Row],[Column114]]+Table645[[#This Row],[Column115]]+Table645[[#This Row],[Column116]]+Table645[[#This Row],[Column117]]=0,"--",((Table645[[#This Row],[Column113]]*2+Table645[[#This Row],[Column114]]+Table645[[#This Row],[Column115]])*$DM$3+Table645[[#This Row],[Column116]]*$DM$4+Table645[[#This Row],[Column117]]*$DM$5)/60/24)</f>
        <v>--</v>
      </c>
      <c r="DO300" s="89">
        <f>IF(Table645[[#This Row],[Column118]]="--",0,Table645[[#This Row],[Column4]]*Table645[[#This Row],[Column118]])</f>
        <v>0</v>
      </c>
      <c r="DP300" s="96"/>
      <c r="DQ300" s="96"/>
      <c r="DR300" s="91" t="str">
        <f t="shared" si="200"/>
        <v>--</v>
      </c>
      <c r="DS300" s="89">
        <f>IF(Table645[[#This Row],[Column122]]="--",0,Table645[[#This Row],[Column4]]*Table645[[#This Row],[Column122]])</f>
        <v>0</v>
      </c>
      <c r="DT300" t="str">
        <f>IF(Table645[[#This Row],[Column125]]=0,"--",Table645[[#This Row],[Column125]]*Table645[[#This Row],[Column126]]*Table645[[#This Row],[Column127]]/1000000000)</f>
        <v>--</v>
      </c>
      <c r="DU300" s="53"/>
      <c r="DV300" s="53"/>
      <c r="DW300" s="53"/>
      <c r="DX300" s="91" t="str">
        <f t="shared" si="201"/>
        <v>--</v>
      </c>
      <c r="DY300" s="89">
        <f>IF(Table645[[#This Row],[Column128]]="--",0,Table645[[#This Row],[Column4]]*Table645[[#This Row],[Column128]])</f>
        <v>0</v>
      </c>
      <c r="EA300" s="89">
        <f>IF(Table645[[#This Row],[Column128]]="--",0,Table645[[#This Row],[Column4]]*Table645[[#This Row],[Column128]])</f>
        <v>0</v>
      </c>
      <c r="EC300" s="89">
        <f>IF(Table645[[#This Row],[Column128]]="--",0,Table645[[#This Row],[Column4]]*Table645[[#This Row],[Column128]])</f>
        <v>0</v>
      </c>
      <c r="EE300" s="89">
        <f>IF(Table645[[#This Row],[Column128]]="--",0,Table645[[#This Row],[Column4]]*Table645[[#This Row],[Column128]])</f>
        <v>0</v>
      </c>
      <c r="EG300" s="89">
        <f>IF(Table645[[#This Row],[Column128]]="--",0,Table645[[#This Row],[Column4]]*Table645[[#This Row],[Column128]])</f>
        <v>0</v>
      </c>
      <c r="EI300" s="89">
        <f>IF(Table645[[#This Row],[Column128]]="--",0,Table645[[#This Row],[Column4]]*Table645[[#This Row],[Column128]])</f>
        <v>0</v>
      </c>
    </row>
    <row r="301" spans="1:139" s="128" customFormat="1" ht="12.75" x14ac:dyDescent="0.2">
      <c r="A301" s="122" t="s">
        <v>79</v>
      </c>
      <c r="B301" s="122"/>
      <c r="C301" s="122"/>
      <c r="D301" s="123"/>
      <c r="E301" s="123"/>
      <c r="F301" s="124"/>
      <c r="G301" s="124"/>
      <c r="H301" s="125"/>
      <c r="I301" s="125"/>
      <c r="J301" s="126"/>
      <c r="K301" s="127"/>
      <c r="N301" s="129">
        <f>SUBTOTAL(102,Table645[[#All],[Column14]])</f>
        <v>0</v>
      </c>
      <c r="BA301" s="130"/>
      <c r="BB301" s="129">
        <f>SUBTOTAL(102,Table645[[#All],[Column54]])</f>
        <v>0</v>
      </c>
      <c r="BC301" s="131"/>
      <c r="BD301" s="130"/>
      <c r="BE301" s="132"/>
      <c r="BF301" s="132"/>
      <c r="BG301" s="129">
        <f>SUBTOTAL(102,Table645[[#All],[Column59]])</f>
        <v>0</v>
      </c>
      <c r="BH301" s="131"/>
      <c r="BI301" s="130"/>
      <c r="BJ301" s="129">
        <f>SUBTOTAL(102,BJ10:BJ300)</f>
        <v>0</v>
      </c>
      <c r="BK301" s="131"/>
      <c r="BL301" s="130"/>
      <c r="BM301" s="129">
        <f>SUBTOTAL(102,BM10:BM300)</f>
        <v>0</v>
      </c>
      <c r="BN301" s="131"/>
      <c r="BO301" s="130"/>
      <c r="BP301" s="129">
        <f>SUBTOTAL(102,BP10:BP300)</f>
        <v>0</v>
      </c>
      <c r="BQ301" s="131"/>
      <c r="BR301" s="130"/>
      <c r="BS301" s="129">
        <f>SUBTOTAL(102,BS10:BS300)</f>
        <v>0</v>
      </c>
      <c r="BT301" s="131"/>
      <c r="BU301" s="122"/>
      <c r="BV301" s="130"/>
      <c r="BW301" s="129">
        <f>SUBTOTAL(102,BW10:BW300)</f>
        <v>0</v>
      </c>
      <c r="BX301" s="133"/>
      <c r="BZ301" s="129">
        <f>SUBTOTAL(102,BZ10:BZ300)</f>
        <v>0</v>
      </c>
      <c r="CA301" s="131"/>
      <c r="CC301" s="129">
        <f>SUBTOTAL(102,CC10:CC300)</f>
        <v>0</v>
      </c>
      <c r="CD301" s="131"/>
      <c r="CE301" s="130"/>
      <c r="CF301" s="129">
        <f>SUBTOTAL(102,CF10:CF300)</f>
        <v>0</v>
      </c>
      <c r="CG301" s="131"/>
      <c r="CH301" s="122"/>
      <c r="CI301" s="130"/>
      <c r="CJ301" s="129">
        <f>SUBTOTAL(102,CJ10:CJ300)</f>
        <v>0</v>
      </c>
      <c r="CK301" s="133"/>
      <c r="CM301" s="129">
        <f>SUBTOTAL(102,CM10:CM300)</f>
        <v>0</v>
      </c>
      <c r="CN301" s="131"/>
      <c r="CP301" s="129">
        <f>SUBTOTAL(102,CP10:CP300)</f>
        <v>0</v>
      </c>
      <c r="CQ301" s="122"/>
      <c r="CR301" s="131"/>
      <c r="CT301" s="129">
        <f>SUBTOTAL(102,CT10:CT300)</f>
        <v>0</v>
      </c>
      <c r="CU301" s="131"/>
      <c r="CV301" s="134"/>
      <c r="CW301" s="134"/>
      <c r="CX301" s="129">
        <f>SUBTOTAL(102,CX10:CX300)</f>
        <v>0</v>
      </c>
      <c r="CY301" s="131"/>
      <c r="CZ301" s="129">
        <f>SUBTOTAL(102,CZ10:CZ300)</f>
        <v>0</v>
      </c>
      <c r="DA301" s="122"/>
      <c r="DB301" s="131"/>
      <c r="DD301" s="129">
        <f>SUBTOTAL(102,DD10:DD300)</f>
        <v>0</v>
      </c>
      <c r="DE301" s="131"/>
      <c r="DG301" s="129">
        <f>SUBTOTAL(102,DG10:DG300)</f>
        <v>0</v>
      </c>
      <c r="DH301" s="131"/>
      <c r="DI301" s="122"/>
      <c r="DJ301" s="122"/>
      <c r="DK301" s="122"/>
      <c r="DL301" s="122"/>
      <c r="DM301" s="122"/>
      <c r="DN301" s="129">
        <f>SUBTOTAL(102,DN10:DN300)</f>
        <v>0</v>
      </c>
      <c r="DO301" s="131"/>
      <c r="DP301" s="122"/>
      <c r="DR301" s="129">
        <f>SUBTOTAL(102,DR10:DR300)</f>
        <v>0</v>
      </c>
      <c r="DS301" s="131"/>
      <c r="DU301" s="122"/>
      <c r="DV301" s="122"/>
      <c r="DW301" s="122"/>
      <c r="DX301" s="129">
        <f>SUBTOTAL(102,DX10:DX300)</f>
        <v>0</v>
      </c>
      <c r="DY301" s="135"/>
      <c r="EA301" s="135"/>
      <c r="EC301" s="135"/>
      <c r="EE301" s="135"/>
      <c r="EG301" s="135"/>
      <c r="EI301" s="135"/>
    </row>
    <row r="302" spans="1:139" s="128" customFormat="1" ht="12.75" x14ac:dyDescent="0.2">
      <c r="D302" s="125"/>
      <c r="E302" s="125"/>
      <c r="F302" s="139"/>
      <c r="G302" s="139"/>
      <c r="H302" s="125"/>
      <c r="I302" s="125"/>
      <c r="J302" s="126"/>
      <c r="K302" s="127"/>
      <c r="N302" s="129"/>
      <c r="BA302" s="130"/>
      <c r="BB302" s="129"/>
      <c r="BC302" s="131"/>
      <c r="BD302" s="130"/>
      <c r="BE302" s="130"/>
      <c r="BF302" s="130"/>
      <c r="BG302" s="129"/>
      <c r="BH302" s="131"/>
      <c r="BI302" s="130"/>
      <c r="BJ302" s="129"/>
      <c r="BK302" s="131"/>
      <c r="BL302" s="130"/>
      <c r="BM302" s="129"/>
      <c r="BN302" s="131"/>
      <c r="BO302" s="130"/>
      <c r="BP302" s="129"/>
      <c r="BQ302" s="131"/>
      <c r="BR302" s="130"/>
      <c r="BS302" s="129"/>
      <c r="BT302" s="131"/>
      <c r="BV302" s="130"/>
      <c r="BW302" s="129"/>
      <c r="BX302" s="133"/>
      <c r="BZ302" s="129"/>
      <c r="CA302" s="131"/>
      <c r="CC302" s="129"/>
      <c r="CD302" s="131"/>
      <c r="CE302" s="130"/>
      <c r="CF302" s="129"/>
      <c r="CG302" s="131"/>
      <c r="CI302" s="130"/>
      <c r="CJ302" s="129"/>
      <c r="CK302" s="133"/>
      <c r="CM302" s="129"/>
      <c r="CN302" s="131"/>
      <c r="CP302" s="129"/>
      <c r="CQ302" s="129"/>
      <c r="CR302" s="131"/>
      <c r="CT302" s="129"/>
      <c r="CU302" s="131"/>
      <c r="CV302" s="134"/>
      <c r="CW302" s="134"/>
      <c r="CX302" s="129"/>
      <c r="CY302" s="131"/>
      <c r="CZ302" s="129"/>
      <c r="DB302" s="131"/>
      <c r="DD302" s="129"/>
      <c r="DE302" s="131"/>
      <c r="DG302" s="129"/>
      <c r="DH302" s="131"/>
      <c r="DN302" s="129"/>
      <c r="DO302" s="131"/>
      <c r="DR302" s="129"/>
      <c r="DS302" s="131"/>
      <c r="DX302" s="129"/>
      <c r="DY302" s="131"/>
      <c r="EA302" s="131"/>
      <c r="EC302" s="131"/>
      <c r="EE302" s="131"/>
      <c r="EG302" s="131"/>
      <c r="EI302" s="131"/>
    </row>
    <row r="303" spans="1:139" x14ac:dyDescent="0.25">
      <c r="A303" s="114" t="s">
        <v>80</v>
      </c>
      <c r="B303" s="114"/>
      <c r="D303" s="252">
        <f>SUBTOTAL(3,A10:A300)</f>
        <v>0</v>
      </c>
      <c r="E303" s="252"/>
      <c r="F303" s="252"/>
      <c r="G303" s="252"/>
      <c r="H303" s="252"/>
    </row>
    <row r="304" spans="1:139" ht="15.75" x14ac:dyDescent="0.25">
      <c r="A304" t="s">
        <v>77</v>
      </c>
      <c r="D304" s="251">
        <f>N7+BA7+BD7+BI7+BL7+BO7+BS7+BY7+CB7+CV7+CZ7+DF7+DK7+DP7+DT7</f>
        <v>0</v>
      </c>
      <c r="E304" s="251"/>
      <c r="F304" s="251"/>
      <c r="G304" s="251"/>
      <c r="H304" s="251"/>
    </row>
    <row r="306" spans="1:53" x14ac:dyDescent="0.25">
      <c r="A306" s="168" t="s">
        <v>212</v>
      </c>
    </row>
    <row r="307" spans="1:53" x14ac:dyDescent="0.25">
      <c r="N307" s="115"/>
      <c r="O307" s="116"/>
    </row>
    <row r="309" spans="1:53" x14ac:dyDescent="0.25">
      <c r="BA309" s="117"/>
    </row>
    <row r="314" spans="1:53" x14ac:dyDescent="0.25">
      <c r="J314" s="58"/>
      <c r="K314" s="82"/>
    </row>
    <row r="315" spans="1:53" x14ac:dyDescent="0.25">
      <c r="J315" s="58"/>
      <c r="K315" s="82"/>
    </row>
    <row r="999" spans="148:151" x14ac:dyDescent="0.25">
      <c r="ER999">
        <v>1</v>
      </c>
      <c r="ES999">
        <v>2</v>
      </c>
    </row>
    <row r="1000" spans="148:151" x14ac:dyDescent="0.25">
      <c r="ER1000" s="224">
        <v>1</v>
      </c>
      <c r="ES1000" s="224">
        <v>1.33</v>
      </c>
      <c r="ET1000" s="224">
        <v>1.67</v>
      </c>
      <c r="EU1000" s="224">
        <v>2</v>
      </c>
    </row>
  </sheetData>
  <autoFilter ref="DZ9:DZ300" xr:uid="{AFB5C675-237A-4494-B5C5-9AB8142D9815}"/>
  <mergeCells count="91">
    <mergeCell ref="DP7:DR7"/>
    <mergeCell ref="DT7:DX7"/>
    <mergeCell ref="BY2:CA2"/>
    <mergeCell ref="CB2:CD2"/>
    <mergeCell ref="EE1:EE7"/>
    <mergeCell ref="EA1:EA7"/>
    <mergeCell ref="EC1:EC7"/>
    <mergeCell ref="BY7:BZ7"/>
    <mergeCell ref="CB7:CC7"/>
    <mergeCell ref="CV7:CX7"/>
    <mergeCell ref="CZ7:DA7"/>
    <mergeCell ref="DC7:DD7"/>
    <mergeCell ref="CO7:CP7"/>
    <mergeCell ref="CS7:CT7"/>
    <mergeCell ref="CF7:CI7"/>
    <mergeCell ref="CL7:CM7"/>
    <mergeCell ref="DF2:DH2"/>
    <mergeCell ref="CZ2:DB2"/>
    <mergeCell ref="E2:G2"/>
    <mergeCell ref="J2:K2"/>
    <mergeCell ref="BA2:BC2"/>
    <mergeCell ref="BD2:BH2"/>
    <mergeCell ref="CS2:CU2"/>
    <mergeCell ref="DI1:DO1"/>
    <mergeCell ref="J1:K1"/>
    <mergeCell ref="BA1:BC1"/>
    <mergeCell ref="BO2:BQ2"/>
    <mergeCell ref="BR2:BT2"/>
    <mergeCell ref="BI2:BK2"/>
    <mergeCell ref="BL2:BN2"/>
    <mergeCell ref="BR1:BX1"/>
    <mergeCell ref="BY1:CA1"/>
    <mergeCell ref="CB1:CD1"/>
    <mergeCell ref="CV1:CY1"/>
    <mergeCell ref="CO2:CR2"/>
    <mergeCell ref="N1:P1"/>
    <mergeCell ref="CO1:CR1"/>
    <mergeCell ref="CV2:CY2"/>
    <mergeCell ref="CS1:CU1"/>
    <mergeCell ref="BS7:BV7"/>
    <mergeCell ref="BU2:BX2"/>
    <mergeCell ref="N6:O6"/>
    <mergeCell ref="BA6:BB6"/>
    <mergeCell ref="BD6:BG6"/>
    <mergeCell ref="BI6:BJ6"/>
    <mergeCell ref="BL6:BM6"/>
    <mergeCell ref="BO6:BP6"/>
    <mergeCell ref="DF6:DG6"/>
    <mergeCell ref="DK6:DM6"/>
    <mergeCell ref="D304:H304"/>
    <mergeCell ref="N7:O7"/>
    <mergeCell ref="BA7:BB7"/>
    <mergeCell ref="BD7:BG7"/>
    <mergeCell ref="BL7:BM7"/>
    <mergeCell ref="D303:H303"/>
    <mergeCell ref="BO7:BP7"/>
    <mergeCell ref="BI7:BJ7"/>
    <mergeCell ref="BS6:BV6"/>
    <mergeCell ref="BY6:BZ6"/>
    <mergeCell ref="CB6:CC6"/>
    <mergeCell ref="CV6:CX6"/>
    <mergeCell ref="CO6:CP6"/>
    <mergeCell ref="CS6:CT6"/>
    <mergeCell ref="DC6:DD6"/>
    <mergeCell ref="CF6:CI6"/>
    <mergeCell ref="CL6:CM6"/>
    <mergeCell ref="BD1:BH1"/>
    <mergeCell ref="BI1:BK1"/>
    <mergeCell ref="BL1:BN1"/>
    <mergeCell ref="BO1:BQ1"/>
    <mergeCell ref="CE1:CK1"/>
    <mergeCell ref="CL1:CN1"/>
    <mergeCell ref="CE2:CG2"/>
    <mergeCell ref="CH2:CK2"/>
    <mergeCell ref="CL2:CN2"/>
    <mergeCell ref="EI1:EI7"/>
    <mergeCell ref="EG1:EG7"/>
    <mergeCell ref="DZ1:DZ5"/>
    <mergeCell ref="CZ1:DB1"/>
    <mergeCell ref="DF1:DH1"/>
    <mergeCell ref="DC2:DE2"/>
    <mergeCell ref="DC1:DE1"/>
    <mergeCell ref="DP1:DS1"/>
    <mergeCell ref="DT1:DY1"/>
    <mergeCell ref="DT2:DY2"/>
    <mergeCell ref="DP2:DR2"/>
    <mergeCell ref="DI2:DO2"/>
    <mergeCell ref="DP6:DR6"/>
    <mergeCell ref="CZ6:DA6"/>
    <mergeCell ref="DF7:DG7"/>
    <mergeCell ref="DK7:DM7"/>
  </mergeCells>
  <phoneticPr fontId="41" type="noConversion"/>
  <conditionalFormatting sqref="H7">
    <cfRule type="cellIs" dxfId="39" priority="30" operator="greaterThan">
      <formula>0</formula>
    </cfRule>
  </conditionalFormatting>
  <conditionalFormatting sqref="J5:J6">
    <cfRule type="cellIs" dxfId="38" priority="29" operator="greaterThan">
      <formula>0</formula>
    </cfRule>
  </conditionalFormatting>
  <conditionalFormatting sqref="J7:K7 N7 BA7 BD7:BF7 BL7 BO7 BS7 BY7 CB7 CZ7">
    <cfRule type="cellIs" dxfId="37" priority="36" operator="greaterThan">
      <formula>0</formula>
    </cfRule>
  </conditionalFormatting>
  <conditionalFormatting sqref="N6">
    <cfRule type="cellIs" dxfId="36" priority="27" operator="notEqual">
      <formula>"--"</formula>
    </cfRule>
  </conditionalFormatting>
  <conditionalFormatting sqref="BA6">
    <cfRule type="cellIs" dxfId="35" priority="26" operator="notEqual">
      <formula>"--"</formula>
    </cfRule>
  </conditionalFormatting>
  <conditionalFormatting sqref="BD6">
    <cfRule type="cellIs" dxfId="34" priority="25" operator="notEqual">
      <formula>"--"</formula>
    </cfRule>
  </conditionalFormatting>
  <conditionalFormatting sqref="BI6">
    <cfRule type="cellIs" dxfId="33" priority="24" operator="notEqual">
      <formula>"--"</formula>
    </cfRule>
  </conditionalFormatting>
  <conditionalFormatting sqref="BI7">
    <cfRule type="cellIs" dxfId="32" priority="28" operator="greaterThan">
      <formula>0</formula>
    </cfRule>
  </conditionalFormatting>
  <conditionalFormatting sqref="BL6">
    <cfRule type="cellIs" dxfId="31" priority="23" operator="notEqual">
      <formula>"--"</formula>
    </cfRule>
  </conditionalFormatting>
  <conditionalFormatting sqref="BO6">
    <cfRule type="cellIs" dxfId="30" priority="21" operator="notEqual">
      <formula>"--"</formula>
    </cfRule>
  </conditionalFormatting>
  <conditionalFormatting sqref="BS6">
    <cfRule type="cellIs" dxfId="29" priority="20" operator="notEqual">
      <formula>"--"</formula>
    </cfRule>
  </conditionalFormatting>
  <conditionalFormatting sqref="BY6">
    <cfRule type="cellIs" dxfId="28" priority="19" operator="notEqual">
      <formula>"--"</formula>
    </cfRule>
  </conditionalFormatting>
  <conditionalFormatting sqref="CB6">
    <cfRule type="cellIs" dxfId="27" priority="18" operator="notEqual">
      <formula>"--"</formula>
    </cfRule>
  </conditionalFormatting>
  <conditionalFormatting sqref="CF6">
    <cfRule type="cellIs" dxfId="26" priority="7" operator="notEqual">
      <formula>"--"</formula>
    </cfRule>
  </conditionalFormatting>
  <conditionalFormatting sqref="CF7 CL7 CO7">
    <cfRule type="cellIs" dxfId="25" priority="8" operator="greaterThan">
      <formula>0</formula>
    </cfRule>
  </conditionalFormatting>
  <conditionalFormatting sqref="CL6">
    <cfRule type="cellIs" dxfId="24" priority="6" operator="notEqual">
      <formula>"--"</formula>
    </cfRule>
  </conditionalFormatting>
  <conditionalFormatting sqref="CO6">
    <cfRule type="cellIs" dxfId="23" priority="5" operator="notEqual">
      <formula>"--"</formula>
    </cfRule>
  </conditionalFormatting>
  <conditionalFormatting sqref="CS6">
    <cfRule type="cellIs" dxfId="22" priority="1" operator="notEqual">
      <formula>"--"</formula>
    </cfRule>
  </conditionalFormatting>
  <conditionalFormatting sqref="CS7">
    <cfRule type="cellIs" dxfId="21" priority="2" operator="greaterThan">
      <formula>0</formula>
    </cfRule>
  </conditionalFormatting>
  <conditionalFormatting sqref="CV6">
    <cfRule type="cellIs" dxfId="20" priority="17" operator="notEqual">
      <formula>"--"</formula>
    </cfRule>
  </conditionalFormatting>
  <conditionalFormatting sqref="CV7">
    <cfRule type="cellIs" dxfId="19" priority="35" operator="greaterThan">
      <formula>0</formula>
    </cfRule>
  </conditionalFormatting>
  <conditionalFormatting sqref="CZ6">
    <cfRule type="cellIs" dxfId="18" priority="16" operator="notEqual">
      <formula>"--"</formula>
    </cfRule>
  </conditionalFormatting>
  <conditionalFormatting sqref="DC6">
    <cfRule type="cellIs" dxfId="17" priority="9" operator="notEqual">
      <formula>"--"</formula>
    </cfRule>
  </conditionalFormatting>
  <conditionalFormatting sqref="DC7">
    <cfRule type="cellIs" dxfId="16" priority="11" operator="greaterThan">
      <formula>0</formula>
    </cfRule>
  </conditionalFormatting>
  <conditionalFormatting sqref="DF6">
    <cfRule type="cellIs" dxfId="15" priority="12" operator="notEqual">
      <formula>"--"</formula>
    </cfRule>
  </conditionalFormatting>
  <conditionalFormatting sqref="DF7">
    <cfRule type="cellIs" dxfId="14" priority="34" operator="greaterThan">
      <formula>0</formula>
    </cfRule>
  </conditionalFormatting>
  <conditionalFormatting sqref="DK6">
    <cfRule type="cellIs" dxfId="13" priority="15" operator="notEqual">
      <formula>"--"</formula>
    </cfRule>
  </conditionalFormatting>
  <conditionalFormatting sqref="DK7">
    <cfRule type="cellIs" dxfId="12" priority="33" operator="greaterThan">
      <formula>0</formula>
    </cfRule>
  </conditionalFormatting>
  <conditionalFormatting sqref="DP6">
    <cfRule type="cellIs" dxfId="11" priority="14" operator="notEqual">
      <formula>"--"</formula>
    </cfRule>
  </conditionalFormatting>
  <conditionalFormatting sqref="DP7:DQ7">
    <cfRule type="cellIs" dxfId="10" priority="32" operator="greaterThan">
      <formula>0</formula>
    </cfRule>
  </conditionalFormatting>
  <conditionalFormatting sqref="DT7:DW7">
    <cfRule type="cellIs" dxfId="9" priority="31" operator="greaterThan">
      <formula>0</formula>
    </cfRule>
  </conditionalFormatting>
  <conditionalFormatting sqref="DX6">
    <cfRule type="cellIs" dxfId="8" priority="13" operator="notEqual">
      <formula>"--"</formula>
    </cfRule>
  </conditionalFormatting>
  <dataValidations count="2">
    <dataValidation type="list" allowBlank="1" showInputMessage="1" showErrorMessage="1" sqref="CQ10:CQ301 DA10:DA302" xr:uid="{03604E26-A0AD-49D4-91A9-0F0023B7B29D}">
      <mc:AlternateContent xmlns:x12ac="http://schemas.microsoft.com/office/spreadsheetml/2011/1/ac" xmlns:mc="http://schemas.openxmlformats.org/markup-compatibility/2006">
        <mc:Choice Requires="x12ac">
          <x12ac:list>1,"1,33","1,67",2</x12ac:list>
        </mc:Choice>
        <mc:Fallback>
          <formula1>"1,1,33,1,67,2"</formula1>
        </mc:Fallback>
      </mc:AlternateContent>
    </dataValidation>
    <dataValidation type="list" allowBlank="1" showInputMessage="1" showErrorMessage="1" sqref="BE10:BE300" xr:uid="{E4F97D73-5F46-4773-B20B-B37B7127ECDB}">
      <formula1>"1,2"</formula1>
    </dataValidation>
  </dataValidations>
  <hyperlinks>
    <hyperlink ref="L1" r:id="rId1" xr:uid="{26981C69-7B23-44D0-92AC-191726E8C8F4}"/>
  </hyperlinks>
  <pageMargins left="0.43307086614173229" right="0.23622047244094491" top="0.74803149606299213" bottom="0.74803149606299213" header="0.31496062992125984" footer="0.31496062992125984"/>
  <pageSetup paperSize="8" scale="88" fitToWidth="0" pageOrder="overThenDown" orientation="landscape" r:id="rId2"/>
  <headerFooter>
    <oddHeader>&amp;C&amp;"-,Bold"&amp;14&amp;F</oddHeader>
    <oddFooter>&amp;C&amp;D</oddFooter>
  </headerFooter>
  <drawing r:id="rId3"/>
  <legacyDrawing r:id="rId4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77655-DCE9-462B-9B5D-9E9EF1321B94}">
  <sheetPr>
    <outlinePr summaryRight="0"/>
    <pageSetUpPr fitToPage="1"/>
  </sheetPr>
  <dimension ref="A1:CW52"/>
  <sheetViews>
    <sheetView zoomScale="90" zoomScaleNormal="90"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E43" sqref="E43"/>
    </sheetView>
  </sheetViews>
  <sheetFormatPr defaultRowHeight="15" outlineLevelCol="1" x14ac:dyDescent="0.25"/>
  <cols>
    <col min="1" max="1" width="26.42578125" customWidth="1" collapsed="1"/>
    <col min="2" max="2" width="9.7109375" hidden="1" customWidth="1" outlineLevel="1"/>
    <col min="3" max="3" width="28.7109375" hidden="1" customWidth="1" outlineLevel="1"/>
    <col min="4" max="4" width="3.140625" style="44" customWidth="1"/>
    <col min="5" max="5" width="4.28515625" style="44" customWidth="1" collapsed="1"/>
    <col min="6" max="6" width="6.5703125" style="44" hidden="1" customWidth="1" outlineLevel="1"/>
    <col min="7" max="7" width="6.28515625" hidden="1" customWidth="1" outlineLevel="1"/>
    <col min="8" max="8" width="7.42578125" style="44" customWidth="1"/>
    <col min="9" max="9" width="0.85546875" style="44" customWidth="1"/>
    <col min="10" max="10" width="7.42578125" customWidth="1"/>
    <col min="11" max="11" width="0.85546875" style="27" customWidth="1"/>
    <col min="12" max="12" width="6" customWidth="1"/>
    <col min="13" max="13" width="0.85546875" customWidth="1"/>
    <col min="14" max="14" width="9.85546875" customWidth="1"/>
    <col min="15" max="15" width="5.42578125" customWidth="1" collapsed="1"/>
    <col min="16" max="16" width="1.42578125" hidden="1" customWidth="1" outlineLevel="1"/>
    <col min="17" max="17" width="7.7109375" hidden="1" customWidth="1" outlineLevel="1"/>
    <col min="18" max="18" width="8.28515625" hidden="1" customWidth="1" outlineLevel="1"/>
    <col min="19" max="19" width="1.42578125" hidden="1" customWidth="1" outlineLevel="1"/>
    <col min="20" max="20" width="7.7109375" hidden="1" customWidth="1" outlineLevel="1"/>
    <col min="21" max="21" width="8.28515625" hidden="1" customWidth="1" outlineLevel="1"/>
    <col min="22" max="22" width="1.42578125" hidden="1" customWidth="1" outlineLevel="1"/>
    <col min="23" max="23" width="7.7109375" hidden="1" customWidth="1" outlineLevel="1"/>
    <col min="24" max="24" width="8.28515625" hidden="1" customWidth="1" outlineLevel="1"/>
    <col min="25" max="25" width="1.42578125" hidden="1" customWidth="1" outlineLevel="1"/>
    <col min="26" max="26" width="7.7109375" hidden="1" customWidth="1" outlineLevel="1"/>
    <col min="27" max="27" width="8.28515625" hidden="1" customWidth="1" outlineLevel="1"/>
    <col min="28" max="28" width="1.42578125" hidden="1" customWidth="1" outlineLevel="1"/>
    <col min="29" max="29" width="7.7109375" hidden="1" customWidth="1" outlineLevel="1"/>
    <col min="30" max="30" width="8.28515625" hidden="1" customWidth="1" outlineLevel="1"/>
    <col min="31" max="31" width="1.42578125" hidden="1" customWidth="1" outlineLevel="1"/>
    <col min="32" max="32" width="7.7109375" hidden="1" customWidth="1" outlineLevel="1"/>
    <col min="33" max="33" width="8.28515625" hidden="1" customWidth="1" outlineLevel="1"/>
    <col min="34" max="34" width="1.42578125" hidden="1" customWidth="1" outlineLevel="1"/>
    <col min="35" max="35" width="7.7109375" hidden="1" customWidth="1" outlineLevel="1"/>
    <col min="36" max="36" width="8.28515625" hidden="1" customWidth="1" outlineLevel="1"/>
    <col min="37" max="37" width="1.42578125" hidden="1" customWidth="1" outlineLevel="1"/>
    <col min="38" max="38" width="7.7109375" hidden="1" customWidth="1" outlineLevel="1"/>
    <col min="39" max="39" width="8.28515625" hidden="1" customWidth="1" outlineLevel="1"/>
    <col min="40" max="40" width="1.42578125" hidden="1" customWidth="1" outlineLevel="1"/>
    <col min="41" max="41" width="7.7109375" hidden="1" customWidth="1" outlineLevel="1"/>
    <col min="42" max="42" width="8.28515625" hidden="1" customWidth="1" outlineLevel="1"/>
    <col min="43" max="43" width="1.42578125" hidden="1" customWidth="1" outlineLevel="1"/>
    <col min="44" max="44" width="7.7109375" hidden="1" customWidth="1" outlineLevel="1"/>
    <col min="45" max="45" width="8.28515625" hidden="1" customWidth="1" outlineLevel="1"/>
    <col min="46" max="46" width="1.42578125" hidden="1" customWidth="1" outlineLevel="1"/>
    <col min="47" max="47" width="7.7109375" hidden="1" customWidth="1" outlineLevel="1"/>
    <col min="48" max="48" width="8.28515625" hidden="1" customWidth="1" outlineLevel="1"/>
    <col min="49" max="49" width="0.85546875" customWidth="1"/>
    <col min="50" max="50" width="4" customWidth="1"/>
    <col min="51" max="51" width="8.7109375" customWidth="1"/>
    <col min="52" max="52" width="0.85546875" style="27" customWidth="1"/>
    <col min="53" max="53" width="3.85546875" customWidth="1"/>
    <col min="54" max="54" width="8.7109375" customWidth="1"/>
    <col min="55" max="55" width="0.85546875" style="27" customWidth="1"/>
    <col min="56" max="56" width="4.42578125" customWidth="1"/>
    <col min="57" max="57" width="8.7109375" customWidth="1"/>
    <col min="58" max="58" width="0.85546875" style="27" customWidth="1"/>
    <col min="59" max="59" width="4.42578125" customWidth="1"/>
    <col min="60" max="60" width="8.7109375" customWidth="1"/>
    <col min="61" max="61" width="0.85546875" style="27" customWidth="1"/>
    <col min="62" max="62" width="4.28515625" customWidth="1"/>
    <col min="63" max="63" width="7.42578125" customWidth="1"/>
    <col min="64" max="64" width="0.85546875" style="27" customWidth="1"/>
    <col min="65" max="65" width="3.7109375" customWidth="1"/>
    <col min="66" max="66" width="5.7109375" customWidth="1"/>
    <col min="67" max="67" width="8.7109375" customWidth="1"/>
    <col min="68" max="68" width="0.85546875" style="27" customWidth="1"/>
    <col min="69" max="69" width="4.28515625" customWidth="1"/>
    <col min="70" max="70" width="7.28515625" customWidth="1"/>
    <col min="71" max="71" width="0.85546875" style="27" customWidth="1"/>
    <col min="72" max="72" width="4.28515625" customWidth="1"/>
    <col min="73" max="73" width="7.42578125" customWidth="1"/>
    <col min="74" max="74" width="0.85546875" style="27" customWidth="1"/>
    <col min="75" max="76" width="3.7109375" customWidth="1"/>
    <col min="77" max="77" width="6.85546875" customWidth="1"/>
    <col min="78" max="78" width="0.85546875" style="27" customWidth="1"/>
    <col min="79" max="79" width="8" customWidth="1"/>
    <col min="80" max="80" width="5.85546875" customWidth="1"/>
    <col min="81" max="81" width="0.85546875" style="27" customWidth="1"/>
    <col min="82" max="82" width="4.28515625" customWidth="1"/>
    <col min="83" max="83" width="8" customWidth="1"/>
    <col min="84" max="84" width="0.85546875" style="27" customWidth="1"/>
    <col min="85" max="87" width="3.28515625" customWidth="1"/>
    <col min="88" max="89" width="4" customWidth="1"/>
    <col min="90" max="90" width="7.85546875" customWidth="1"/>
    <col min="91" max="91" width="0.85546875" style="27" customWidth="1"/>
    <col min="92" max="92" width="3.140625" customWidth="1"/>
    <col min="93" max="93" width="8.42578125" customWidth="1"/>
    <col min="94" max="94" width="0.85546875" style="27" customWidth="1"/>
    <col min="95" max="95" width="5" customWidth="1" collapsed="1"/>
    <col min="96" max="98" width="5" hidden="1" customWidth="1" outlineLevel="1"/>
    <col min="99" max="99" width="7" customWidth="1"/>
    <col min="100" max="100" width="0.85546875" style="27" customWidth="1"/>
    <col min="101" max="101" width="11.140625" customWidth="1"/>
  </cols>
  <sheetData>
    <row r="1" spans="1:101" s="7" customFormat="1" ht="21" customHeight="1" x14ac:dyDescent="0.25">
      <c r="A1" s="1" t="s">
        <v>71</v>
      </c>
      <c r="B1" s="1"/>
      <c r="C1" s="1"/>
      <c r="D1" s="1"/>
      <c r="E1" s="1"/>
      <c r="F1" s="1"/>
      <c r="G1" s="1"/>
      <c r="H1" s="1"/>
      <c r="I1" s="1"/>
      <c r="J1" s="255"/>
      <c r="K1" s="255"/>
      <c r="L1" s="118" t="s">
        <v>0</v>
      </c>
      <c r="M1" s="2"/>
      <c r="N1" s="3">
        <f>IF(N6=0,"",51)</f>
        <v>51</v>
      </c>
      <c r="O1" s="4"/>
      <c r="P1" s="4"/>
      <c r="Q1" s="4"/>
      <c r="R1" s="4"/>
      <c r="S1" s="4"/>
      <c r="T1" s="5" t="s">
        <v>1</v>
      </c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6"/>
      <c r="AX1" s="230">
        <f>IF(AX6=0,"",54)</f>
        <v>54</v>
      </c>
      <c r="AY1" s="231"/>
      <c r="AZ1" s="232"/>
      <c r="BA1" s="230">
        <f>IF(BA6=0,"",54)</f>
        <v>54</v>
      </c>
      <c r="BB1" s="231"/>
      <c r="BC1" s="232"/>
      <c r="BD1" s="230">
        <f>IF(BD6=0,"",60)</f>
        <v>60</v>
      </c>
      <c r="BE1" s="231"/>
      <c r="BF1" s="232"/>
      <c r="BG1" s="230">
        <f>IF(BG6=0,"",57)</f>
        <v>57</v>
      </c>
      <c r="BH1" s="231"/>
      <c r="BI1" s="232"/>
      <c r="BJ1" s="230">
        <f>IF(BK6+BO6=0,"",58)</f>
        <v>58</v>
      </c>
      <c r="BK1" s="231"/>
      <c r="BL1" s="231"/>
      <c r="BM1" s="231"/>
      <c r="BN1" s="231"/>
      <c r="BO1" s="231"/>
      <c r="BP1" s="232"/>
      <c r="BQ1" s="230">
        <f>IF(BQ6=0,"",59)</f>
        <v>59</v>
      </c>
      <c r="BR1" s="231"/>
      <c r="BS1" s="232"/>
      <c r="BT1" s="230">
        <f>IF(BT6=0,"",60)</f>
        <v>60</v>
      </c>
      <c r="BU1" s="231"/>
      <c r="BV1" s="232"/>
      <c r="BW1" s="230">
        <f>IF(N6=0,"",64)</f>
        <v>64</v>
      </c>
      <c r="BX1" s="231"/>
      <c r="BY1" s="231"/>
      <c r="BZ1" s="232"/>
      <c r="CA1" s="230">
        <f>IF(CA6=0,"",61)</f>
        <v>61</v>
      </c>
      <c r="CB1" s="231"/>
      <c r="CC1" s="232"/>
      <c r="CD1" s="230">
        <f>IF(N6=0,"",64)</f>
        <v>64</v>
      </c>
      <c r="CE1" s="231"/>
      <c r="CF1" s="232"/>
      <c r="CG1" s="230">
        <f>IF(N6=0,"",63)</f>
        <v>63</v>
      </c>
      <c r="CH1" s="231"/>
      <c r="CI1" s="231"/>
      <c r="CJ1" s="231"/>
      <c r="CK1" s="231"/>
      <c r="CL1" s="231"/>
      <c r="CM1" s="232"/>
      <c r="CN1" s="230">
        <f>IF(CN8=0,"",65)</f>
        <v>65</v>
      </c>
      <c r="CO1" s="231"/>
      <c r="CP1" s="232"/>
      <c r="CQ1" s="230" t="str">
        <f>IF(N6=0,"","ILOP30")</f>
        <v>ILOP30</v>
      </c>
      <c r="CR1" s="231"/>
      <c r="CS1" s="231"/>
      <c r="CT1" s="231"/>
      <c r="CU1" s="231"/>
      <c r="CV1" s="232"/>
      <c r="CW1" s="229" t="s">
        <v>2</v>
      </c>
    </row>
    <row r="2" spans="1:101" ht="15.75" x14ac:dyDescent="0.25">
      <c r="A2" t="s">
        <v>3</v>
      </c>
      <c r="C2" s="8"/>
      <c r="D2" s="9" t="s">
        <v>4</v>
      </c>
      <c r="E2" s="282" t="s">
        <v>5</v>
      </c>
      <c r="F2" s="283"/>
      <c r="G2" s="284"/>
      <c r="H2" s="10" t="s">
        <v>6</v>
      </c>
      <c r="I2" s="11"/>
      <c r="J2" s="285" t="s">
        <v>7</v>
      </c>
      <c r="K2" s="286"/>
      <c r="L2" s="12"/>
      <c r="M2" s="13"/>
      <c r="N2" s="14" t="s">
        <v>8</v>
      </c>
      <c r="O2" s="15"/>
      <c r="Q2" t="s">
        <v>9</v>
      </c>
      <c r="AW2" s="16"/>
      <c r="AX2" s="279" t="s">
        <v>10</v>
      </c>
      <c r="AY2" s="280"/>
      <c r="AZ2" s="281"/>
      <c r="BA2" s="279" t="s">
        <v>11</v>
      </c>
      <c r="BB2" s="280"/>
      <c r="BC2" s="281"/>
      <c r="BD2" s="269" t="s">
        <v>12</v>
      </c>
      <c r="BE2" s="270"/>
      <c r="BF2" s="271"/>
      <c r="BG2" s="269" t="s">
        <v>13</v>
      </c>
      <c r="BH2" s="270"/>
      <c r="BI2" s="271"/>
      <c r="BJ2" s="269" t="s">
        <v>14</v>
      </c>
      <c r="BK2" s="270"/>
      <c r="BL2" s="270"/>
      <c r="BM2" s="270" t="s">
        <v>15</v>
      </c>
      <c r="BN2" s="270"/>
      <c r="BO2" s="270"/>
      <c r="BP2" s="271"/>
      <c r="BQ2" s="269" t="s">
        <v>16</v>
      </c>
      <c r="BR2" s="270"/>
      <c r="BS2" s="271"/>
      <c r="BT2" s="269" t="s">
        <v>17</v>
      </c>
      <c r="BU2" s="270"/>
      <c r="BV2" s="271"/>
      <c r="BW2" s="269" t="s">
        <v>18</v>
      </c>
      <c r="BX2" s="270"/>
      <c r="BY2" s="270"/>
      <c r="BZ2" s="271"/>
      <c r="CA2" s="269" t="s">
        <v>19</v>
      </c>
      <c r="CB2" s="270"/>
      <c r="CC2" s="271"/>
      <c r="CD2" s="279" t="s">
        <v>20</v>
      </c>
      <c r="CE2" s="280"/>
      <c r="CF2" s="281"/>
      <c r="CG2" s="269" t="s">
        <v>21</v>
      </c>
      <c r="CH2" s="270"/>
      <c r="CI2" s="270"/>
      <c r="CJ2" s="270"/>
      <c r="CK2" s="270"/>
      <c r="CL2" s="270"/>
      <c r="CM2" s="271"/>
      <c r="CN2" s="17" t="s">
        <v>22</v>
      </c>
      <c r="CO2" s="18"/>
      <c r="CP2" s="19"/>
      <c r="CQ2" s="272" t="s">
        <v>23</v>
      </c>
      <c r="CR2" s="273"/>
      <c r="CS2" s="273"/>
      <c r="CT2" s="273"/>
      <c r="CU2" s="273"/>
      <c r="CV2" s="274"/>
      <c r="CW2" s="229"/>
    </row>
    <row r="3" spans="1:101" ht="17.25" customHeight="1" x14ac:dyDescent="0.25">
      <c r="A3" s="8" t="s">
        <v>24</v>
      </c>
      <c r="B3" s="8"/>
      <c r="D3" s="20"/>
      <c r="E3" s="21" t="s">
        <v>25</v>
      </c>
      <c r="F3" s="22" t="s">
        <v>26</v>
      </c>
      <c r="G3" s="23" t="s">
        <v>27</v>
      </c>
      <c r="H3" s="24"/>
      <c r="I3" s="25"/>
      <c r="J3" s="26">
        <v>4</v>
      </c>
      <c r="L3" s="16" t="s">
        <v>28</v>
      </c>
      <c r="N3" s="28"/>
      <c r="Q3" s="29">
        <v>1</v>
      </c>
      <c r="R3" t="s">
        <v>29</v>
      </c>
      <c r="T3" s="29">
        <v>1.5</v>
      </c>
      <c r="U3" t="s">
        <v>29</v>
      </c>
      <c r="W3" s="29">
        <v>2</v>
      </c>
      <c r="X3" t="s">
        <v>29</v>
      </c>
      <c r="Z3" s="29">
        <v>3</v>
      </c>
      <c r="AA3" t="s">
        <v>29</v>
      </c>
      <c r="AC3" s="29">
        <v>4</v>
      </c>
      <c r="AD3" t="s">
        <v>29</v>
      </c>
      <c r="AF3" s="29">
        <v>5</v>
      </c>
      <c r="AG3" t="s">
        <v>29</v>
      </c>
      <c r="AI3" s="29">
        <v>6</v>
      </c>
      <c r="AJ3" t="s">
        <v>29</v>
      </c>
      <c r="AL3" s="29">
        <v>8</v>
      </c>
      <c r="AM3" t="s">
        <v>29</v>
      </c>
      <c r="AO3" s="29">
        <v>10</v>
      </c>
      <c r="AP3" t="s">
        <v>29</v>
      </c>
      <c r="AR3" s="29">
        <v>12</v>
      </c>
      <c r="AS3" t="s">
        <v>29</v>
      </c>
      <c r="AU3" s="29">
        <v>20</v>
      </c>
      <c r="AV3" t="s">
        <v>29</v>
      </c>
      <c r="AW3" s="16"/>
      <c r="AX3" s="26">
        <v>0.5</v>
      </c>
      <c r="AY3" t="s">
        <v>30</v>
      </c>
      <c r="AZ3" s="30"/>
      <c r="BA3" s="26">
        <v>30</v>
      </c>
      <c r="BB3" t="s">
        <v>31</v>
      </c>
      <c r="BC3" s="30"/>
      <c r="BD3" s="26">
        <v>30</v>
      </c>
      <c r="BE3" t="s">
        <v>32</v>
      </c>
      <c r="BF3" s="30"/>
      <c r="BG3" s="26">
        <v>30</v>
      </c>
      <c r="BH3" t="s">
        <v>32</v>
      </c>
      <c r="BI3" s="30"/>
      <c r="BJ3" s="26">
        <v>30</v>
      </c>
      <c r="BK3" t="s">
        <v>32</v>
      </c>
      <c r="BN3">
        <v>60</v>
      </c>
      <c r="BO3" t="s">
        <v>33</v>
      </c>
      <c r="BP3" s="30"/>
      <c r="BQ3" s="31">
        <v>0.5</v>
      </c>
      <c r="BR3" s="32" t="s">
        <v>34</v>
      </c>
      <c r="BS3" s="33"/>
      <c r="BT3" s="31">
        <v>0.5</v>
      </c>
      <c r="BU3" s="32" t="s">
        <v>34</v>
      </c>
      <c r="BV3" s="34"/>
      <c r="BW3" s="275">
        <v>15</v>
      </c>
      <c r="BX3" s="276"/>
      <c r="BY3" s="35" t="s">
        <v>35</v>
      </c>
      <c r="BZ3" s="36"/>
      <c r="CA3" s="26">
        <v>20</v>
      </c>
      <c r="CB3" s="37" t="s">
        <v>36</v>
      </c>
      <c r="CC3" s="30"/>
      <c r="CD3" s="38">
        <v>1</v>
      </c>
      <c r="CE3" s="39" t="s">
        <v>37</v>
      </c>
      <c r="CF3" s="30"/>
      <c r="CG3" s="40"/>
      <c r="CH3" s="39"/>
      <c r="CI3" s="39"/>
      <c r="CJ3" s="39"/>
      <c r="CK3" s="41">
        <v>1</v>
      </c>
      <c r="CL3" s="42" t="s">
        <v>38</v>
      </c>
      <c r="CM3" s="43"/>
      <c r="CN3" s="26">
        <v>2</v>
      </c>
      <c r="CO3" t="s">
        <v>38</v>
      </c>
      <c r="CP3" s="30"/>
      <c r="CQ3" s="26">
        <v>10</v>
      </c>
      <c r="CU3" t="s">
        <v>39</v>
      </c>
      <c r="CV3" s="30"/>
      <c r="CW3" s="229"/>
    </row>
    <row r="4" spans="1:101" x14ac:dyDescent="0.25">
      <c r="D4" s="20"/>
      <c r="E4" s="24"/>
      <c r="G4" s="16"/>
      <c r="H4" s="45">
        <v>0.19</v>
      </c>
      <c r="I4" s="46"/>
      <c r="J4" s="47"/>
      <c r="K4" s="48"/>
      <c r="L4" s="16"/>
      <c r="N4" s="26"/>
      <c r="Q4">
        <v>2200</v>
      </c>
      <c r="R4" t="s">
        <v>33</v>
      </c>
      <c r="T4">
        <v>2000</v>
      </c>
      <c r="U4" t="s">
        <v>33</v>
      </c>
      <c r="W4">
        <v>1700</v>
      </c>
      <c r="X4" t="s">
        <v>33</v>
      </c>
      <c r="Z4">
        <v>1500</v>
      </c>
      <c r="AA4" t="s">
        <v>33</v>
      </c>
      <c r="AC4">
        <v>1000</v>
      </c>
      <c r="AD4" t="s">
        <v>33</v>
      </c>
      <c r="AF4">
        <v>800</v>
      </c>
      <c r="AG4" t="s">
        <v>33</v>
      </c>
      <c r="AI4">
        <v>600</v>
      </c>
      <c r="AJ4" t="s">
        <v>33</v>
      </c>
      <c r="AL4">
        <v>300</v>
      </c>
      <c r="AM4" t="s">
        <v>33</v>
      </c>
      <c r="AO4">
        <v>200</v>
      </c>
      <c r="AP4" t="s">
        <v>33</v>
      </c>
      <c r="AR4">
        <v>100</v>
      </c>
      <c r="AS4" t="s">
        <v>33</v>
      </c>
      <c r="AU4">
        <v>50</v>
      </c>
      <c r="AV4" t="s">
        <v>33</v>
      </c>
      <c r="AW4" s="16"/>
      <c r="AX4" s="26"/>
      <c r="AZ4" s="30"/>
      <c r="BA4" s="26"/>
      <c r="BC4" s="30"/>
      <c r="BD4" s="26"/>
      <c r="BF4" s="30"/>
      <c r="BG4" s="49"/>
      <c r="BI4" s="30"/>
      <c r="BJ4" s="49"/>
      <c r="BN4">
        <v>0.5</v>
      </c>
      <c r="BO4" t="s">
        <v>38</v>
      </c>
      <c r="BP4" s="30"/>
      <c r="BS4" s="30"/>
      <c r="BT4" s="50">
        <v>0.5</v>
      </c>
      <c r="BU4" s="51" t="s">
        <v>40</v>
      </c>
      <c r="BV4" s="30"/>
      <c r="BW4" s="277">
        <v>4</v>
      </c>
      <c r="BX4" s="278"/>
      <c r="BY4" s="53" t="s">
        <v>38</v>
      </c>
      <c r="BZ4" s="33"/>
      <c r="CA4" s="54"/>
      <c r="CC4" s="30"/>
      <c r="CD4" s="55"/>
      <c r="CE4" s="53"/>
      <c r="CF4" s="33"/>
      <c r="CG4" s="55"/>
      <c r="CH4" s="53"/>
      <c r="CI4" s="53"/>
      <c r="CJ4" s="53"/>
      <c r="CK4" s="56">
        <v>1</v>
      </c>
      <c r="CL4" s="42" t="s">
        <v>41</v>
      </c>
      <c r="CM4" s="43"/>
      <c r="CN4" s="26"/>
      <c r="CP4" s="30"/>
      <c r="CQ4" s="26"/>
      <c r="CV4" s="30"/>
      <c r="CW4" s="229"/>
    </row>
    <row r="5" spans="1:101" ht="17.25" x14ac:dyDescent="0.25">
      <c r="A5" t="s">
        <v>42</v>
      </c>
      <c r="D5" s="20"/>
      <c r="E5" s="24"/>
      <c r="G5" s="25"/>
      <c r="H5" s="24"/>
      <c r="J5" s="54">
        <f>SUM(Table63[[#All],[Column100]])</f>
        <v>0.25</v>
      </c>
      <c r="K5" s="57"/>
      <c r="L5" s="16" t="s">
        <v>43</v>
      </c>
      <c r="N5" s="49"/>
      <c r="Q5">
        <f>Q6/Q4</f>
        <v>0</v>
      </c>
      <c r="R5" t="s">
        <v>44</v>
      </c>
      <c r="T5">
        <f>T6/T4</f>
        <v>0</v>
      </c>
      <c r="U5" t="s">
        <v>44</v>
      </c>
      <c r="W5">
        <f>W6/W4</f>
        <v>1</v>
      </c>
      <c r="X5" t="s">
        <v>44</v>
      </c>
      <c r="Z5">
        <f>Z6/Z4</f>
        <v>0</v>
      </c>
      <c r="AA5" t="s">
        <v>44</v>
      </c>
      <c r="AC5">
        <f>AC6/AC4</f>
        <v>0</v>
      </c>
      <c r="AD5" t="s">
        <v>44</v>
      </c>
      <c r="AF5">
        <f>AF6/AF4</f>
        <v>0</v>
      </c>
      <c r="AG5" t="s">
        <v>44</v>
      </c>
      <c r="AI5">
        <f>AI6/AI4</f>
        <v>0</v>
      </c>
      <c r="AJ5" t="s">
        <v>44</v>
      </c>
      <c r="AL5">
        <f>AL6/AL4</f>
        <v>0</v>
      </c>
      <c r="AM5" t="s">
        <v>44</v>
      </c>
      <c r="AO5">
        <f>AO6/AO4</f>
        <v>0</v>
      </c>
      <c r="AP5" t="s">
        <v>44</v>
      </c>
      <c r="AR5">
        <f>AR6/AR4</f>
        <v>0</v>
      </c>
      <c r="AS5" t="s">
        <v>44</v>
      </c>
      <c r="AU5">
        <f>AU6/AU4</f>
        <v>0</v>
      </c>
      <c r="AV5" t="s">
        <v>44</v>
      </c>
      <c r="AW5" s="16"/>
      <c r="AX5" s="49"/>
      <c r="AZ5" s="30"/>
      <c r="BA5" s="49"/>
      <c r="BC5" s="30"/>
      <c r="BD5" s="49"/>
      <c r="BF5" s="30"/>
      <c r="BG5" s="26"/>
      <c r="BI5" s="30"/>
      <c r="BJ5" s="26"/>
      <c r="BN5" s="58"/>
      <c r="BP5" s="30"/>
      <c r="BQ5" s="28"/>
      <c r="BS5" s="30"/>
      <c r="BT5" s="26">
        <v>5</v>
      </c>
      <c r="BU5" t="s">
        <v>45</v>
      </c>
      <c r="BV5" s="30"/>
      <c r="BW5" s="26"/>
      <c r="BZ5" s="30"/>
      <c r="CA5" s="26"/>
      <c r="CC5" s="30"/>
      <c r="CD5" s="26"/>
      <c r="CF5" s="30"/>
      <c r="CG5" s="26"/>
      <c r="CK5" s="56">
        <v>1</v>
      </c>
      <c r="CL5" s="42" t="s">
        <v>46</v>
      </c>
      <c r="CM5" s="43"/>
      <c r="CN5" s="26"/>
      <c r="CP5" s="30"/>
      <c r="CQ5" s="26"/>
      <c r="CV5" s="30"/>
      <c r="CW5" s="229"/>
    </row>
    <row r="6" spans="1:101" ht="17.25" x14ac:dyDescent="0.25">
      <c r="D6" s="59"/>
      <c r="E6" s="60"/>
      <c r="F6" s="61"/>
      <c r="G6" s="62"/>
      <c r="H6" s="63">
        <f>SUM(Table63[[#All],[Column3]])</f>
        <v>38.08</v>
      </c>
      <c r="I6" s="64"/>
      <c r="J6" s="65">
        <f>SUM(Table63[[#All],[Column42]])</f>
        <v>1</v>
      </c>
      <c r="K6" s="66"/>
      <c r="L6" s="62" t="s">
        <v>47</v>
      </c>
      <c r="M6" s="67"/>
      <c r="N6" s="244">
        <f>SUM(Table63[[#All],[Column27]])</f>
        <v>1.3888888888888889E-3</v>
      </c>
      <c r="O6" s="245"/>
      <c r="P6" s="67"/>
      <c r="Q6" s="67">
        <f>SUM(Q8:Q38)</f>
        <v>0</v>
      </c>
      <c r="R6" s="67" t="s">
        <v>29</v>
      </c>
      <c r="S6" s="67"/>
      <c r="T6" s="67">
        <f>SUM(T8:T38)</f>
        <v>0</v>
      </c>
      <c r="U6" s="67" t="s">
        <v>29</v>
      </c>
      <c r="V6" s="67"/>
      <c r="W6" s="67">
        <f>SUM(W8:W38)</f>
        <v>1700</v>
      </c>
      <c r="X6" s="67" t="s">
        <v>29</v>
      </c>
      <c r="Y6" s="67"/>
      <c r="Z6" s="67">
        <f>SUM(Z8:Z38)</f>
        <v>0</v>
      </c>
      <c r="AA6" s="67" t="s">
        <v>29</v>
      </c>
      <c r="AB6" s="67"/>
      <c r="AC6" s="67">
        <f>SUM(AC8:AC38)</f>
        <v>0</v>
      </c>
      <c r="AD6" s="67" t="s">
        <v>29</v>
      </c>
      <c r="AE6" s="67"/>
      <c r="AF6" s="67">
        <f>SUM(AF8:AF38)</f>
        <v>0</v>
      </c>
      <c r="AG6" s="67" t="s">
        <v>29</v>
      </c>
      <c r="AH6" s="67"/>
      <c r="AI6" s="67">
        <f>SUM(AI8:AI38)</f>
        <v>0</v>
      </c>
      <c r="AJ6" s="67" t="s">
        <v>29</v>
      </c>
      <c r="AK6" s="67"/>
      <c r="AL6" s="67">
        <f>SUM(AL8:AL38)</f>
        <v>0</v>
      </c>
      <c r="AM6" s="67" t="s">
        <v>29</v>
      </c>
      <c r="AN6" s="67"/>
      <c r="AO6" s="67">
        <f>SUM(AO8:AO38)</f>
        <v>0</v>
      </c>
      <c r="AP6" s="67" t="s">
        <v>29</v>
      </c>
      <c r="AQ6" s="67"/>
      <c r="AR6" s="67">
        <f>SUM(AR8:AR38)</f>
        <v>0</v>
      </c>
      <c r="AS6" s="67" t="s">
        <v>29</v>
      </c>
      <c r="AT6" s="67"/>
      <c r="AU6" s="67">
        <f>SUM(AU8:AU38)</f>
        <v>0</v>
      </c>
      <c r="AV6" s="67" t="s">
        <v>29</v>
      </c>
      <c r="AW6" s="62"/>
      <c r="AX6" s="244">
        <f>SUM(Table63[[#All],[Column86]])</f>
        <v>1.3888888888888889E-3</v>
      </c>
      <c r="AY6" s="245"/>
      <c r="AZ6" s="68"/>
      <c r="BA6" s="244">
        <f>SUM(Table63[[#All],[Column30]])</f>
        <v>1.3888888888888889E-3</v>
      </c>
      <c r="BB6" s="245"/>
      <c r="BC6" s="68"/>
      <c r="BD6" s="244">
        <f>SUM(Table63[[#All],[Column36]])</f>
        <v>6.9444444444444447E-4</v>
      </c>
      <c r="BE6" s="245"/>
      <c r="BF6" s="68"/>
      <c r="BG6" s="244">
        <f>SUM(Table63[[#All],[Column39]])</f>
        <v>3.472222222222222E-3</v>
      </c>
      <c r="BH6" s="245"/>
      <c r="BI6" s="68"/>
      <c r="BJ6" s="69"/>
      <c r="BK6" s="245" cm="1">
        <f t="array" ref="BK6">SUM(Table63[[#All],[Column33]]+Table63[[#All],[Column87]])</f>
        <v>4.8611111111111112E-3</v>
      </c>
      <c r="BL6" s="245"/>
      <c r="BM6" s="245"/>
      <c r="BN6" s="245"/>
      <c r="BO6" s="67"/>
      <c r="BP6" s="68"/>
      <c r="BQ6" s="244">
        <f>SUM(Table63[[#All],[Column96]])</f>
        <v>1.736111111111111E-3</v>
      </c>
      <c r="BR6" s="245"/>
      <c r="BS6" s="68"/>
      <c r="BT6" s="244">
        <f>SUM(Table63[[#All],[Column95]])</f>
        <v>3.472222222222222E-3</v>
      </c>
      <c r="BU6" s="245"/>
      <c r="BV6" s="68"/>
      <c r="BW6" s="244">
        <f>SUM(Table63[[#All],[Column94]])</f>
        <v>1.2847222222222223E-2</v>
      </c>
      <c r="BX6" s="245"/>
      <c r="BY6" s="245"/>
      <c r="BZ6" s="68"/>
      <c r="CA6" s="244">
        <f>SUM(Table63[[#All],[Column76]])</f>
        <v>2.0833333333333333E-3</v>
      </c>
      <c r="CB6" s="245"/>
      <c r="CC6" s="68"/>
      <c r="CD6" s="244">
        <f>SUM(Table63[[#All],[Column93]])</f>
        <v>6.9444444444444447E-4</v>
      </c>
      <c r="CE6" s="245"/>
      <c r="CF6" s="68"/>
      <c r="CG6" s="69"/>
      <c r="CH6" s="67"/>
      <c r="CI6" s="245">
        <f>SUM(Table63[[#All],[Column91]])</f>
        <v>2.4999999999999998E-2</v>
      </c>
      <c r="CJ6" s="245"/>
      <c r="CK6" s="245"/>
      <c r="CL6" s="67" t="s">
        <v>48</v>
      </c>
      <c r="CM6" s="68"/>
      <c r="CN6" s="244">
        <f>SUM(Table63[[#All],[Column90]])</f>
        <v>5.5555555555555558E-3</v>
      </c>
      <c r="CO6" s="245"/>
      <c r="CP6" s="68"/>
      <c r="CQ6" s="244">
        <f>SUM(Table63[[#All],[Column89]])</f>
        <v>5.5555555555555558E-3</v>
      </c>
      <c r="CR6" s="245"/>
      <c r="CS6" s="245"/>
      <c r="CT6" s="245"/>
      <c r="CU6" s="245"/>
      <c r="CV6" s="68"/>
      <c r="CW6" t="s">
        <v>49</v>
      </c>
    </row>
    <row r="7" spans="1:101" s="78" customFormat="1" ht="10.5" customHeight="1" x14ac:dyDescent="0.25">
      <c r="A7" s="70" t="s">
        <v>50</v>
      </c>
      <c r="B7" s="70" t="s">
        <v>51</v>
      </c>
      <c r="C7" s="70" t="s">
        <v>52</v>
      </c>
      <c r="D7" s="70" t="s">
        <v>53</v>
      </c>
      <c r="E7" s="70" t="s">
        <v>29</v>
      </c>
      <c r="F7" s="70" t="s">
        <v>29</v>
      </c>
      <c r="G7" s="70" t="s">
        <v>29</v>
      </c>
      <c r="H7" s="70" t="s">
        <v>43</v>
      </c>
      <c r="I7" s="71"/>
      <c r="J7" s="72" t="s">
        <v>54</v>
      </c>
      <c r="K7" s="73"/>
      <c r="L7" s="70" t="s">
        <v>43</v>
      </c>
      <c r="M7" s="73"/>
      <c r="N7" s="74" t="s">
        <v>48</v>
      </c>
      <c r="O7" s="70"/>
      <c r="P7" s="70"/>
      <c r="Q7" s="70" t="s">
        <v>29</v>
      </c>
      <c r="R7" s="70"/>
      <c r="S7" s="70"/>
      <c r="T7" s="70" t="s">
        <v>29</v>
      </c>
      <c r="U7" s="70"/>
      <c r="V7" s="70"/>
      <c r="W7" s="70" t="s">
        <v>29</v>
      </c>
      <c r="X7" s="70"/>
      <c r="Y7" s="70"/>
      <c r="Z7" s="70" t="s">
        <v>29</v>
      </c>
      <c r="AA7" s="70"/>
      <c r="AB7" s="70"/>
      <c r="AC7" s="70" t="s">
        <v>29</v>
      </c>
      <c r="AD7" s="70"/>
      <c r="AE7" s="70"/>
      <c r="AF7" s="70" t="s">
        <v>29</v>
      </c>
      <c r="AG7" s="70"/>
      <c r="AH7" s="70"/>
      <c r="AI7" s="70" t="s">
        <v>29</v>
      </c>
      <c r="AJ7" s="70"/>
      <c r="AK7" s="70"/>
      <c r="AL7" s="70" t="s">
        <v>29</v>
      </c>
      <c r="AM7" s="70"/>
      <c r="AN7" s="70"/>
      <c r="AO7" s="70" t="s">
        <v>29</v>
      </c>
      <c r="AP7" s="70"/>
      <c r="AQ7" s="70"/>
      <c r="AR7" s="70" t="s">
        <v>29</v>
      </c>
      <c r="AS7" s="70"/>
      <c r="AT7" s="70"/>
      <c r="AU7" s="70" t="s">
        <v>29</v>
      </c>
      <c r="AV7" s="70"/>
      <c r="AW7" s="71"/>
      <c r="AX7" s="74" t="s">
        <v>55</v>
      </c>
      <c r="AY7" s="70" t="s">
        <v>48</v>
      </c>
      <c r="AZ7" s="75"/>
      <c r="BA7" s="74" t="s">
        <v>55</v>
      </c>
      <c r="BB7" s="70" t="s">
        <v>48</v>
      </c>
      <c r="BC7" s="75"/>
      <c r="BD7" s="74" t="s">
        <v>55</v>
      </c>
      <c r="BE7" s="70" t="s">
        <v>48</v>
      </c>
      <c r="BF7" s="75"/>
      <c r="BG7" s="76" t="s">
        <v>56</v>
      </c>
      <c r="BH7" s="70" t="s">
        <v>48</v>
      </c>
      <c r="BI7" s="75"/>
      <c r="BJ7" s="74" t="s">
        <v>55</v>
      </c>
      <c r="BK7" s="70" t="s">
        <v>48</v>
      </c>
      <c r="BL7" s="77"/>
      <c r="BM7" s="70" t="s">
        <v>57</v>
      </c>
      <c r="BN7" s="74" t="s">
        <v>29</v>
      </c>
      <c r="BO7" s="70" t="s">
        <v>48</v>
      </c>
      <c r="BP7" s="75"/>
      <c r="BQ7" s="70"/>
      <c r="BR7" s="74" t="s">
        <v>48</v>
      </c>
      <c r="BS7" s="75"/>
      <c r="BT7" s="70"/>
      <c r="BU7" s="74" t="s">
        <v>48</v>
      </c>
      <c r="BV7" s="75"/>
      <c r="BW7" s="70" t="s">
        <v>58</v>
      </c>
      <c r="BX7" s="70" t="s">
        <v>53</v>
      </c>
      <c r="BY7" s="74" t="s">
        <v>48</v>
      </c>
      <c r="BZ7" s="75"/>
      <c r="CA7" s="74" t="s">
        <v>48</v>
      </c>
      <c r="CB7" s="70" t="s">
        <v>59</v>
      </c>
      <c r="CC7" s="75"/>
      <c r="CE7" s="74" t="s">
        <v>48</v>
      </c>
      <c r="CF7" s="75"/>
      <c r="CG7" s="70" t="s">
        <v>60</v>
      </c>
      <c r="CH7" s="70" t="s">
        <v>61</v>
      </c>
      <c r="CI7" s="70" t="s">
        <v>62</v>
      </c>
      <c r="CJ7" s="70" t="s">
        <v>63</v>
      </c>
      <c r="CK7" s="70" t="s">
        <v>43</v>
      </c>
      <c r="CL7" s="70" t="s">
        <v>48</v>
      </c>
      <c r="CM7" s="75"/>
      <c r="CN7" s="70" t="s">
        <v>53</v>
      </c>
      <c r="CO7" s="74" t="s">
        <v>48</v>
      </c>
      <c r="CP7" s="75"/>
      <c r="CQ7" s="70" t="s">
        <v>64</v>
      </c>
      <c r="CR7" s="70" t="s">
        <v>65</v>
      </c>
      <c r="CS7" s="70" t="s">
        <v>66</v>
      </c>
      <c r="CT7" s="70" t="s">
        <v>67</v>
      </c>
      <c r="CU7" s="70" t="s">
        <v>48</v>
      </c>
      <c r="CV7" s="75"/>
    </row>
    <row r="8" spans="1:101" x14ac:dyDescent="0.25">
      <c r="A8" t="s">
        <v>68</v>
      </c>
      <c r="B8" s="79" t="s">
        <v>69</v>
      </c>
      <c r="C8" s="80"/>
      <c r="D8" s="44">
        <v>2</v>
      </c>
      <c r="E8" s="52">
        <v>2</v>
      </c>
      <c r="F8" s="81">
        <v>1000</v>
      </c>
      <c r="G8" s="81">
        <v>1000</v>
      </c>
      <c r="H8" s="82">
        <f t="shared" ref="H8:H38" si="0">IF(E8&gt;0,E8*F8*G8/1000000*8*(1+$H$4),"--")</f>
        <v>19.04</v>
      </c>
      <c r="I8" s="83">
        <f>IF(Table63[[#This Row],[Column75]]="--",0,Table63[[#This Row],[Column2]]*Table63[[#This Row],[Column75]])</f>
        <v>38.08</v>
      </c>
      <c r="J8" s="84">
        <v>0.5</v>
      </c>
      <c r="K8" s="85">
        <f>Table63[[#This Row],[Column2]]*Table63[[#This Row],[Column7]]</f>
        <v>1</v>
      </c>
      <c r="L8" s="86">
        <f t="shared" ref="L8:L38" si="1">IF(J8=0,"--",J8/$J$3)</f>
        <v>0.125</v>
      </c>
      <c r="M8" s="85">
        <f>IF(Table63[[#This Row],[Column7]]=0,0,Table63[[#This Row],[Column2]]*Table63[[#This Row],[Column8]])</f>
        <v>0.25</v>
      </c>
      <c r="N8" s="87">
        <f t="shared" ref="N8:N38" si="2">IF(SUM(Q8:AU8)=0,"--",(Q8/$Q$4+T8/$T$4+W8/$W$4+Z8/$Z$4+AC8/$AC$4+AF8/$AF$4+AI8/$AI$4+AL8/$AL$4+AO8/$AO$4+AR8/$AR$4+AU8/$AU$4)/60/24)</f>
        <v>6.9444444444444447E-4</v>
      </c>
      <c r="O8" s="88" t="s">
        <v>70</v>
      </c>
      <c r="W8">
        <v>1700</v>
      </c>
      <c r="AW8" s="89">
        <f>IF(Table63[[#This Row],[Column9]]="--",0,Table63[[#This Row],[Column2]]*Table63[[#This Row],[Column9]])</f>
        <v>1.3888888888888889E-3</v>
      </c>
      <c r="AX8" s="90">
        <v>2</v>
      </c>
      <c r="AY8" s="91">
        <f>IF(AX8=0,"--",AX8*$AX$3*IF(Table63[[#This Row],[Column4]]&lt;4.1,1,2)/60/24)</f>
        <v>6.9444444444444447E-4</v>
      </c>
      <c r="AZ8" s="92">
        <f>IF(Table63[[#This Row],[Column29]]="--",0,Table63[[#This Row],[Column2]]*Table63[[#This Row],[Column29]])</f>
        <v>1.3888888888888889E-3</v>
      </c>
      <c r="BA8" s="93">
        <v>2</v>
      </c>
      <c r="BB8" s="91">
        <f t="shared" ref="BB8:BB38" si="3">IF(BA8=0,"--",BA8*$BA$3/60/60/24)</f>
        <v>6.9444444444444447E-4</v>
      </c>
      <c r="BC8" s="92">
        <f>IF(Table63[[#This Row],[Column32]]="--",0,Table63[[#This Row],[Column2]]*Table63[[#This Row],[Column32]])</f>
        <v>1.3888888888888889E-3</v>
      </c>
      <c r="BD8" s="93">
        <v>1</v>
      </c>
      <c r="BE8" s="91">
        <f t="shared" ref="BE8:BE38" si="4">IF(BD8=0,"--",BD8*$BD$3/60/60/24)</f>
        <v>3.4722222222222224E-4</v>
      </c>
      <c r="BF8" s="92">
        <f>IF(Table63[[#This Row],[Column35]]="--",0,Table63[[#This Row],[Column2]]*Table63[[#This Row],[Column35]])</f>
        <v>6.9444444444444447E-4</v>
      </c>
      <c r="BG8" s="93">
        <v>5</v>
      </c>
      <c r="BH8" s="91">
        <f t="shared" ref="BH8:BH38" si="5">IF(BG8=0,"--",BG8*$BG$3/60/60/24)</f>
        <v>1.736111111111111E-3</v>
      </c>
      <c r="BI8" s="92">
        <f>IF(Table63[[#This Row],[Column38]]="--",0,Table63[[#This Row],[Column2]]*Table63[[#This Row],[Column38]])</f>
        <v>3.472222222222222E-3</v>
      </c>
      <c r="BJ8" s="94">
        <v>2</v>
      </c>
      <c r="BK8" s="91">
        <f>IF(BJ8=0,"--",BJ8*$BJ$3/60/60/24)</f>
        <v>6.9444444444444447E-4</v>
      </c>
      <c r="BL8" s="92">
        <f>IF(Table63[[#This Row],[Column41]]="--",0,Table63[[#This Row],[Column2]]*Table63[[#This Row],[Column41]])</f>
        <v>1.3888888888888889E-3</v>
      </c>
      <c r="BM8" s="44">
        <v>1</v>
      </c>
      <c r="BN8" s="90">
        <v>120</v>
      </c>
      <c r="BO8" s="91">
        <f>IF(BN8=0,"--",(Table63[[#This Row],[Column84]]*$BN$4*(IF(J8&lt;0.5001,1,IF(J8&lt;2.0001,2,3)))+BN8/$BN$3)/60/24)</f>
        <v>1.736111111111111E-3</v>
      </c>
      <c r="BP8" s="92">
        <f>IF(Table63[[#This Row],[Column44]]="--",0,Table63[[#This Row],[Column2]]*Table63[[#This Row],[Column44]])</f>
        <v>3.472222222222222E-3</v>
      </c>
      <c r="BQ8" s="95" t="s">
        <v>70</v>
      </c>
      <c r="BR8" s="91">
        <f>IF(Table63[[#This Row],[Column43]]=0,"--",BO8*$BQ$3)</f>
        <v>8.6805555555555551E-4</v>
      </c>
      <c r="BS8" s="92">
        <f>IF(Table63[[#This Row],[Column45]]="--",0,Table63[[#This Row],[Column2]]*Table63[[#This Row],[Column45]])</f>
        <v>1.736111111111111E-3</v>
      </c>
      <c r="BT8" s="95" t="s">
        <v>70</v>
      </c>
      <c r="BU8" s="91">
        <f>IF(Table63[[#This Row],[Column7]]+Table63[[#This Row],[Column43]]=0,"--",J8*$BT$4*$BT$5/(24*60)+IF(Table63[[#This Row],[Column43]]=0,0,BT3*Table63[[#This Row],[Column44]]))</f>
        <v>1.736111111111111E-3</v>
      </c>
      <c r="BV8" s="92">
        <f>IF(Table63[[#This Row],[Column48]]="--",0,Table63[[#This Row],[Column2]]*Table63[[#This Row],[Column48]])</f>
        <v>3.472222222222222E-3</v>
      </c>
      <c r="BW8" s="93">
        <f>IF(Table63[[#This Row],[Column37]]="","--",Table63[[#This Row],[Column37]])</f>
        <v>5</v>
      </c>
      <c r="BX8" s="96">
        <f>IF(Table63[[#This Row],[Column44]]="--","--",Table63[[#This Row],[Column84]]+1)</f>
        <v>2</v>
      </c>
      <c r="BY8" s="91">
        <f>IF(Table63[[#This Row],[Column37]]+Table63[[#This Row],[Column84]]+Table63[[#This Row],[Column43]]=0,"--",(BG8*$BW$3/60+IF(Table63[[#This Row],[Column43]]=0,0,(BM8+1)*$BW$4))/60/24)</f>
        <v>6.4236111111111117E-3</v>
      </c>
      <c r="BZ8" s="92">
        <f>IF(Table63[[#This Row],[Column73]]="--",0,Table63[[#This Row],[Column2]]*Table63[[#This Row],[Column73]])</f>
        <v>1.2847222222222223E-2</v>
      </c>
      <c r="CA8" s="97">
        <f>IF(J8=0,"--",J8/$CA$3/(24)*CB8)</f>
        <v>1.0416666666666667E-3</v>
      </c>
      <c r="CB8">
        <v>1</v>
      </c>
      <c r="CC8" s="92">
        <f>IF(Table63[[#This Row],[Column49]]="--",0,Table63[[#This Row],[Column2]]*Table63[[#This Row],[Column49]])</f>
        <v>2.0833333333333333E-3</v>
      </c>
      <c r="CD8" s="98" t="s">
        <v>70</v>
      </c>
      <c r="CE8" s="91">
        <f t="shared" ref="CE8:CE38" si="6">IF(J8=0,"--",(J8*$CD$3)/60/24)</f>
        <v>3.4722222222222224E-4</v>
      </c>
      <c r="CF8" s="92">
        <f>IF(Table63[[#This Row],[Column88]]="--",0,Table63[[#This Row],[Column2]]*Table63[[#This Row],[Column88]])</f>
        <v>6.9444444444444447E-4</v>
      </c>
      <c r="CG8" s="99">
        <v>4</v>
      </c>
      <c r="CH8" s="99"/>
      <c r="CI8" s="99">
        <v>4</v>
      </c>
      <c r="CJ8" s="99">
        <v>2.5</v>
      </c>
      <c r="CK8" s="99">
        <v>3.5</v>
      </c>
      <c r="CL8" s="91">
        <f>IF(Table63[[#This Row],[Column78]]+Table63[[#This Row],[Column79]]+Table63[[#This Row],[Column81]]+Table63[[#This Row],[Column80]]+Table63[[#This Row],[Column82]]=0,"--",((Table63[[#This Row],[Column78]]*2+Table63[[#This Row],[Column79]]+Table63[[#This Row],[Column81]])*$CK$3+Table63[[#This Row],[Column80]]*$CK$4+Table63[[#This Row],[Column82]]*$CK$5)/60/24)</f>
        <v>1.2499999999999999E-2</v>
      </c>
      <c r="CM8" s="92">
        <f>IF(Table63[[#This Row],[Column52]]="--",0,Table63[[#This Row],[Column2]]*Table63[[#This Row],[Column52]])</f>
        <v>2.4999999999999998E-2</v>
      </c>
      <c r="CN8" s="96">
        <v>2</v>
      </c>
      <c r="CO8" s="91">
        <f>IF(Table63[[#This Row],[Column52]]="--","--",Table63[[#This Row],[Column77]]*$CN$3/60/24)</f>
        <v>2.7777777777777779E-3</v>
      </c>
      <c r="CP8" s="92">
        <f>IF(Table63[[#This Row],[Column51]]="--",0,Table63[[#This Row],[Column2]]*Table63[[#This Row],[Column51]])</f>
        <v>5.5555555555555558E-3</v>
      </c>
      <c r="CQ8">
        <f>IF(Table63[[#This Row],[Column85]]=0,"--",Table63[[#This Row],[Column85]]*Table63[[#This Row],[Column98]]*Table63[[#This Row],[Column97]]/1000000000)</f>
        <v>0.3</v>
      </c>
      <c r="CR8" s="53">
        <v>1000</v>
      </c>
      <c r="CS8" s="53">
        <v>1000</v>
      </c>
      <c r="CT8" s="53">
        <v>300</v>
      </c>
      <c r="CU8" s="91">
        <f>IF(CQ8="--","--",(1+CQ8*$CQ$3)/60/24)</f>
        <v>2.7777777777777779E-3</v>
      </c>
      <c r="CV8" s="92">
        <f>IF(Table63[[#This Row],[Column53]]="--",0,Table63[[#This Row],[Column2]]*Table63[[#This Row],[Column53]])</f>
        <v>5.5555555555555558E-3</v>
      </c>
    </row>
    <row r="9" spans="1:101" x14ac:dyDescent="0.25">
      <c r="B9" s="79"/>
      <c r="C9" s="80"/>
      <c r="E9" s="52"/>
      <c r="F9" s="81"/>
      <c r="G9" s="81"/>
      <c r="H9" s="82" t="str">
        <f t="shared" si="0"/>
        <v>--</v>
      </c>
      <c r="I9" s="100">
        <f>IF(Table63[[#This Row],[Column75]]="--",0,Table63[[#This Row],[Column2]]*Table63[[#This Row],[Column75]])</f>
        <v>0</v>
      </c>
      <c r="J9" s="84"/>
      <c r="K9" s="85">
        <f>Table63[[#This Row],[Column2]]*Table63[[#This Row],[Column7]]</f>
        <v>0</v>
      </c>
      <c r="L9" s="86" t="str">
        <f t="shared" si="1"/>
        <v>--</v>
      </c>
      <c r="M9" s="85">
        <f>IF(Table63[[#This Row],[Column7]]=0,0,Table63[[#This Row],[Column2]]*Table63[[#This Row],[Column8]])</f>
        <v>0</v>
      </c>
      <c r="N9" s="87" t="str">
        <f t="shared" si="2"/>
        <v>--</v>
      </c>
      <c r="O9" s="88" t="s">
        <v>70</v>
      </c>
      <c r="AW9" s="89">
        <f>IF(Table63[[#This Row],[Column9]]="--",0,Table63[[#This Row],[Column2]]*Table63[[#This Row],[Column9]])</f>
        <v>0</v>
      </c>
      <c r="AX9" s="90"/>
      <c r="AY9" s="91" t="str">
        <f>IF(AX9=0,"--",AX9*$AX$3*IF(Table63[[#This Row],[Column4]]&lt;4.1,1,2)/60/24)</f>
        <v>--</v>
      </c>
      <c r="AZ9" s="92">
        <f>IF(Table63[[#This Row],[Column29]]="--",0,Table63[[#This Row],[Column2]]*Table63[[#This Row],[Column29]])</f>
        <v>0</v>
      </c>
      <c r="BA9" s="93"/>
      <c r="BB9" s="91" t="str">
        <f t="shared" si="3"/>
        <v>--</v>
      </c>
      <c r="BC9" s="92">
        <f>IF(Table63[[#This Row],[Column32]]="--",0,Table63[[#This Row],[Column2]]*Table63[[#This Row],[Column32]])</f>
        <v>0</v>
      </c>
      <c r="BD9" s="93"/>
      <c r="BE9" s="91" t="str">
        <f t="shared" si="4"/>
        <v>--</v>
      </c>
      <c r="BF9" s="89">
        <f>IF(Table63[[#This Row],[Column35]]="--",0,Table63[[#This Row],[Column2]]*Table63[[#This Row],[Column35]])</f>
        <v>0</v>
      </c>
      <c r="BG9" s="93"/>
      <c r="BH9" s="91" t="str">
        <f t="shared" si="5"/>
        <v>--</v>
      </c>
      <c r="BI9" s="89">
        <f>IF(Table63[[#This Row],[Column38]]="--",0,Table63[[#This Row],[Column2]]*Table63[[#This Row],[Column38]])</f>
        <v>0</v>
      </c>
      <c r="BJ9" s="94"/>
      <c r="BK9" s="91" t="str">
        <f t="shared" ref="BK9:BK38" si="7">IF(BJ9=0,"--",BJ9*$BJ$3/60/60/24)</f>
        <v>--</v>
      </c>
      <c r="BL9" s="92">
        <f>IF(Table63[[#This Row],[Column41]]="--",0,Table63[[#This Row],[Column2]]*Table63[[#This Row],[Column41]])</f>
        <v>0</v>
      </c>
      <c r="BM9" s="44"/>
      <c r="BN9" s="90"/>
      <c r="BO9" s="91" t="str">
        <f>IF(BN9=0,"--",(Table63[[#This Row],[Column84]]*$BN$4*(IF(J9&lt;0.5001,1,IF(J9&lt;2.0001,2,3)))+BN9/$BN$3)/60/24)</f>
        <v>--</v>
      </c>
      <c r="BP9" s="92">
        <f>IF(Table63[[#This Row],[Column44]]="--",0,Table63[[#This Row],[Column2]]*Table63[[#This Row],[Column44]])</f>
        <v>0</v>
      </c>
      <c r="BQ9" s="95" t="s">
        <v>70</v>
      </c>
      <c r="BR9" s="91" t="str">
        <f>IF(Table63[[#This Row],[Column43]]=0,"--",BO9*$BQ$3)</f>
        <v>--</v>
      </c>
      <c r="BS9" s="89">
        <f>IF(Table63[[#This Row],[Column45]]="--",0,Table63[[#This Row],[Column2]]*Table63[[#This Row],[Column45]])</f>
        <v>0</v>
      </c>
      <c r="BT9" s="95" t="s">
        <v>70</v>
      </c>
      <c r="BU9" s="91" t="str">
        <f>IF(Table63[[#This Row],[Column7]]+Table63[[#This Row],[Column43]]=0,"--",J9*$BT$4*$BT$5/(24*60)+IF(Table63[[#This Row],[Column43]]=0,0,BT5*Table63[[#This Row],[Column44]]))</f>
        <v>--</v>
      </c>
      <c r="BV9" s="92">
        <f>IF(Table63[[#This Row],[Column48]]="--",0,Table63[[#This Row],[Column2]]*Table63[[#This Row],[Column48]])</f>
        <v>0</v>
      </c>
      <c r="BW9" s="93" t="str">
        <f>IF(Table63[[#This Row],[Column37]]="","--",Table63[[#This Row],[Column37]])</f>
        <v>--</v>
      </c>
      <c r="BX9" s="96" t="str">
        <f>IF(Table63[[#This Row],[Column44]]="--","--",Table63[[#This Row],[Column84]]+1)</f>
        <v>--</v>
      </c>
      <c r="BY9" s="91" t="str">
        <f>IF(Table63[[#This Row],[Column37]]+Table63[[#This Row],[Column84]]+Table63[[#This Row],[Column43]]=0,"--",(BG9*$BW$3/60+IF(Table63[[#This Row],[Column43]]=0,0,(BM9+1)*$BW$4))/60/24)</f>
        <v>--</v>
      </c>
      <c r="BZ9" s="92">
        <f>IF(Table63[[#This Row],[Column73]]="--",0,Table63[[#This Row],[Column2]]*Table63[[#This Row],[Column73]])</f>
        <v>0</v>
      </c>
      <c r="CA9" s="97" t="str">
        <f t="shared" ref="CA9:CA38" si="8">IF(J9=0,"--",J9/$CA$3/(24)*CB9)</f>
        <v>--</v>
      </c>
      <c r="CC9" s="89">
        <f>IF(Table63[[#This Row],[Column49]]="--",0,Table63[[#This Row],[Column2]]*Table63[[#This Row],[Column49]])</f>
        <v>0</v>
      </c>
      <c r="CD9" s="101" t="s">
        <v>70</v>
      </c>
      <c r="CE9" s="91" t="str">
        <f t="shared" si="6"/>
        <v>--</v>
      </c>
      <c r="CF9" s="89">
        <f>IF(Table63[[#This Row],[Column88]]="--",0,Table63[[#This Row],[Column2]]*Table63[[#This Row],[Column88]])</f>
        <v>0</v>
      </c>
      <c r="CG9" s="96"/>
      <c r="CH9" s="96"/>
      <c r="CI9" s="96"/>
      <c r="CJ9" s="96"/>
      <c r="CK9" s="96"/>
      <c r="CL9" s="101" t="str">
        <f>IF(Table63[[#This Row],[Column78]]+Table63[[#This Row],[Column79]]+Table63[[#This Row],[Column81]]+Table63[[#This Row],[Column80]]+Table63[[#This Row],[Column82]]=0,"--",((Table63[[#This Row],[Column78]]*2+Table63[[#This Row],[Column79]]+Table63[[#This Row],[Column81]])*$CK$3+Table63[[#This Row],[Column80]]*$CK$4+Table63[[#This Row],[Column82]]*$CK$5)/60/24)</f>
        <v>--</v>
      </c>
      <c r="CM9" s="89">
        <f>IF(Table63[[#This Row],[Column52]]="--",0,Table63[[#This Row],[Column2]]*Table63[[#This Row],[Column52]])</f>
        <v>0</v>
      </c>
      <c r="CN9" s="96"/>
      <c r="CO9" s="91" t="str">
        <f>IF(Table63[[#This Row],[Column52]]="--","--",Table63[[#This Row],[Column77]]*$CN$3/60/24)</f>
        <v>--</v>
      </c>
      <c r="CP9" s="89">
        <f>IF(Table63[[#This Row],[Column51]]="--",0,Table63[[#This Row],[Column2]]*Table63[[#This Row],[Column51]])</f>
        <v>0</v>
      </c>
      <c r="CQ9" t="str">
        <f>IF(Table63[[#This Row],[Column85]]=0,"--",Table63[[#This Row],[Column85]]*Table63[[#This Row],[Column98]]*Table63[[#This Row],[Column97]]/1000000000)</f>
        <v>--</v>
      </c>
      <c r="CR9" s="53"/>
      <c r="CS9" s="53"/>
      <c r="CT9" s="53"/>
      <c r="CU9" s="91" t="str">
        <f t="shared" ref="CU9:CU38" si="9">IF(CQ9="--","--",(1+CQ9*$CQ$3)/60/24)</f>
        <v>--</v>
      </c>
      <c r="CV9" s="89">
        <f>IF(Table63[[#This Row],[Column53]]="--",0,Table63[[#This Row],[Column2]]*Table63[[#This Row],[Column53]])</f>
        <v>0</v>
      </c>
    </row>
    <row r="10" spans="1:101" x14ac:dyDescent="0.25">
      <c r="B10" s="79"/>
      <c r="C10" s="80"/>
      <c r="E10" s="52"/>
      <c r="F10" s="81"/>
      <c r="G10" s="81"/>
      <c r="H10" s="82" t="str">
        <f t="shared" si="0"/>
        <v>--</v>
      </c>
      <c r="I10" s="100">
        <f>IF(Table63[[#This Row],[Column75]]="--",0,Table63[[#This Row],[Column2]]*Table63[[#This Row],[Column75]])</f>
        <v>0</v>
      </c>
      <c r="J10" s="84"/>
      <c r="K10" s="85">
        <f>Table63[[#This Row],[Column2]]*Table63[[#This Row],[Column7]]</f>
        <v>0</v>
      </c>
      <c r="L10" s="86" t="str">
        <f t="shared" si="1"/>
        <v>--</v>
      </c>
      <c r="M10" s="85">
        <f>IF(Table63[[#This Row],[Column7]]=0,0,Table63[[#This Row],[Column2]]*Table63[[#This Row],[Column8]])</f>
        <v>0</v>
      </c>
      <c r="N10" s="87" t="str">
        <f t="shared" si="2"/>
        <v>--</v>
      </c>
      <c r="O10" s="88" t="s">
        <v>70</v>
      </c>
      <c r="AW10" s="89">
        <f>IF(Table63[[#This Row],[Column9]]="--",0,Table63[[#This Row],[Column2]]*Table63[[#This Row],[Column9]])</f>
        <v>0</v>
      </c>
      <c r="AX10" s="90"/>
      <c r="AY10" s="91" t="str">
        <f>IF(AX10=0,"--",AX10*$AX$3*IF(Table63[[#This Row],[Column4]]&lt;4.1,1,2)/60/24)</f>
        <v>--</v>
      </c>
      <c r="AZ10" s="92">
        <f>IF(Table63[[#This Row],[Column29]]="--",0,Table63[[#This Row],[Column2]]*Table63[[#This Row],[Column29]])</f>
        <v>0</v>
      </c>
      <c r="BA10" s="93"/>
      <c r="BB10" s="91" t="str">
        <f t="shared" si="3"/>
        <v>--</v>
      </c>
      <c r="BC10" s="92">
        <f>IF(Table63[[#This Row],[Column32]]="--",0,Table63[[#This Row],[Column2]]*Table63[[#This Row],[Column32]])</f>
        <v>0</v>
      </c>
      <c r="BD10" s="93"/>
      <c r="BE10" s="91" t="str">
        <f t="shared" si="4"/>
        <v>--</v>
      </c>
      <c r="BF10" s="89">
        <f>IF(Table63[[#This Row],[Column35]]="--",0,Table63[[#This Row],[Column2]]*Table63[[#This Row],[Column35]])</f>
        <v>0</v>
      </c>
      <c r="BG10" s="93"/>
      <c r="BH10" s="91" t="str">
        <f t="shared" si="5"/>
        <v>--</v>
      </c>
      <c r="BI10" s="89">
        <f>IF(Table63[[#This Row],[Column38]]="--",0,Table63[[#This Row],[Column2]]*Table63[[#This Row],[Column38]])</f>
        <v>0</v>
      </c>
      <c r="BJ10" s="94"/>
      <c r="BK10" s="91" t="str">
        <f t="shared" si="7"/>
        <v>--</v>
      </c>
      <c r="BL10" s="92">
        <f>IF(Table63[[#This Row],[Column41]]="--",0,Table63[[#This Row],[Column2]]*Table63[[#This Row],[Column41]])</f>
        <v>0</v>
      </c>
      <c r="BM10" s="44"/>
      <c r="BN10" s="90"/>
      <c r="BO10" s="91" t="str">
        <f>IF(BN10=0,"--",(Table63[[#This Row],[Column84]]*$BN$4*(IF(J10&lt;0.5001,1,IF(J10&lt;2.0001,2,3)))+BN10/$BN$3)/60/24)</f>
        <v>--</v>
      </c>
      <c r="BP10" s="92">
        <f>IF(Table63[[#This Row],[Column44]]="--",0,Table63[[#This Row],[Column2]]*Table63[[#This Row],[Column44]])</f>
        <v>0</v>
      </c>
      <c r="BQ10" s="95" t="s">
        <v>70</v>
      </c>
      <c r="BR10" s="91" t="str">
        <f>IF(Table63[[#This Row],[Column43]]=0,"--",BO10*$BQ$3)</f>
        <v>--</v>
      </c>
      <c r="BS10" s="89">
        <f>IF(Table63[[#This Row],[Column45]]="--",0,Table63[[#This Row],[Column2]]*Table63[[#This Row],[Column45]])</f>
        <v>0</v>
      </c>
      <c r="BT10" s="95" t="s">
        <v>70</v>
      </c>
      <c r="BU10" s="91" t="str">
        <f>IF(Table63[[#This Row],[Column7]]+Table63[[#This Row],[Column43]]=0,"--",J10*$BT$4*$BT$5/(24*60)+IF(Table63[[#This Row],[Column43]]=0,0,BT4*Table63[[#This Row],[Column44]]))</f>
        <v>--</v>
      </c>
      <c r="BV10" s="92">
        <f>IF(Table63[[#This Row],[Column48]]="--",0,Table63[[#This Row],[Column2]]*Table63[[#This Row],[Column48]])</f>
        <v>0</v>
      </c>
      <c r="BW10" s="93" t="str">
        <f>IF(Table63[[#This Row],[Column37]]="","--",Table63[[#This Row],[Column37]])</f>
        <v>--</v>
      </c>
      <c r="BX10" s="96" t="str">
        <f>IF(Table63[[#This Row],[Column44]]="--","--",Table63[[#This Row],[Column84]]+1)</f>
        <v>--</v>
      </c>
      <c r="BY10" s="91" t="str">
        <f>IF(Table63[[#This Row],[Column37]]+Table63[[#This Row],[Column84]]+Table63[[#This Row],[Column43]]=0,"--",(BG10*$BW$3/60+IF(Table63[[#This Row],[Column43]]=0,0,(BM10+1)*$BW$4))/60/24)</f>
        <v>--</v>
      </c>
      <c r="BZ10" s="92">
        <f>IF(Table63[[#This Row],[Column73]]="--",0,Table63[[#This Row],[Column2]]*Table63[[#This Row],[Column73]])</f>
        <v>0</v>
      </c>
      <c r="CA10" s="97" t="str">
        <f t="shared" si="8"/>
        <v>--</v>
      </c>
      <c r="CC10" s="89">
        <f>IF(Table63[[#This Row],[Column49]]="--",0,Table63[[#This Row],[Column2]]*Table63[[#This Row],[Column49]])</f>
        <v>0</v>
      </c>
      <c r="CD10" s="101" t="s">
        <v>70</v>
      </c>
      <c r="CE10" s="91" t="str">
        <f t="shared" si="6"/>
        <v>--</v>
      </c>
      <c r="CF10" s="89">
        <f>IF(Table63[[#This Row],[Column88]]="--",0,Table63[[#This Row],[Column2]]*Table63[[#This Row],[Column88]])</f>
        <v>0</v>
      </c>
      <c r="CG10" s="96"/>
      <c r="CH10" s="96"/>
      <c r="CI10" s="96"/>
      <c r="CJ10" s="96"/>
      <c r="CK10" s="96"/>
      <c r="CL10" s="101" t="str">
        <f>IF(Table63[[#This Row],[Column78]]+Table63[[#This Row],[Column79]]+Table63[[#This Row],[Column81]]+Table63[[#This Row],[Column80]]+Table63[[#This Row],[Column82]]=0,"--",((Table63[[#This Row],[Column78]]*2+Table63[[#This Row],[Column79]]+Table63[[#This Row],[Column81]])*$CK$3+Table63[[#This Row],[Column80]]*$CK$4+Table63[[#This Row],[Column82]]*$CK$5)/60/24)</f>
        <v>--</v>
      </c>
      <c r="CM10" s="89">
        <f>IF(Table63[[#This Row],[Column52]]="--",0,Table63[[#This Row],[Column2]]*Table63[[#This Row],[Column52]])</f>
        <v>0</v>
      </c>
      <c r="CN10" s="96"/>
      <c r="CO10" s="91" t="str">
        <f>IF(Table63[[#This Row],[Column52]]="--","--",Table63[[#This Row],[Column77]]*$CN$3/60/24)</f>
        <v>--</v>
      </c>
      <c r="CP10" s="89">
        <f>IF(Table63[[#This Row],[Column51]]="--",0,Table63[[#This Row],[Column2]]*Table63[[#This Row],[Column51]])</f>
        <v>0</v>
      </c>
      <c r="CQ10" t="str">
        <f>IF(Table63[[#This Row],[Column85]]=0,"--",Table63[[#This Row],[Column85]]*Table63[[#This Row],[Column98]]*Table63[[#This Row],[Column97]]/1000000000)</f>
        <v>--</v>
      </c>
      <c r="CR10" s="53"/>
      <c r="CS10" s="53"/>
      <c r="CT10" s="53"/>
      <c r="CU10" s="91" t="str">
        <f t="shared" si="9"/>
        <v>--</v>
      </c>
      <c r="CV10" s="89">
        <f>IF(Table63[[#This Row],[Column53]]="--",0,Table63[[#This Row],[Column2]]*Table63[[#This Row],[Column53]])</f>
        <v>0</v>
      </c>
    </row>
    <row r="11" spans="1:101" x14ac:dyDescent="0.25">
      <c r="B11" s="79"/>
      <c r="C11" s="80"/>
      <c r="E11" s="52"/>
      <c r="F11" s="81"/>
      <c r="G11" s="81"/>
      <c r="H11" s="82" t="str">
        <f t="shared" si="0"/>
        <v>--</v>
      </c>
      <c r="I11" s="100">
        <f>IF(Table63[[#This Row],[Column75]]="--",0,Table63[[#This Row],[Column2]]*Table63[[#This Row],[Column75]])</f>
        <v>0</v>
      </c>
      <c r="J11" s="84"/>
      <c r="K11" s="85">
        <f>Table63[[#This Row],[Column2]]*Table63[[#This Row],[Column7]]</f>
        <v>0</v>
      </c>
      <c r="L11" s="86" t="str">
        <f t="shared" si="1"/>
        <v>--</v>
      </c>
      <c r="M11" s="85">
        <f>IF(Table63[[#This Row],[Column7]]=0,0,Table63[[#This Row],[Column2]]*Table63[[#This Row],[Column8]])</f>
        <v>0</v>
      </c>
      <c r="N11" s="87" t="str">
        <f t="shared" si="2"/>
        <v>--</v>
      </c>
      <c r="O11" s="88" t="s">
        <v>70</v>
      </c>
      <c r="AW11" s="89">
        <f>IF(Table63[[#This Row],[Column9]]="--",0,Table63[[#This Row],[Column2]]*Table63[[#This Row],[Column9]])</f>
        <v>0</v>
      </c>
      <c r="AX11" s="90"/>
      <c r="AY11" s="91" t="str">
        <f>IF(AX11=0,"--",AX11*$AX$3*IF(Table63[[#This Row],[Column4]]&lt;4.1,1,2)/60/24)</f>
        <v>--</v>
      </c>
      <c r="AZ11" s="92">
        <f>IF(Table63[[#This Row],[Column29]]="--",0,Table63[[#This Row],[Column2]]*Table63[[#This Row],[Column29]])</f>
        <v>0</v>
      </c>
      <c r="BA11" s="93"/>
      <c r="BB11" s="91" t="str">
        <f t="shared" si="3"/>
        <v>--</v>
      </c>
      <c r="BC11" s="92">
        <f>IF(Table63[[#This Row],[Column32]]="--",0,Table63[[#This Row],[Column2]]*Table63[[#This Row],[Column32]])</f>
        <v>0</v>
      </c>
      <c r="BD11" s="93"/>
      <c r="BE11" s="91" t="str">
        <f t="shared" si="4"/>
        <v>--</v>
      </c>
      <c r="BF11" s="89">
        <f>IF(Table63[[#This Row],[Column35]]="--",0,Table63[[#This Row],[Column2]]*Table63[[#This Row],[Column35]])</f>
        <v>0</v>
      </c>
      <c r="BG11" s="93"/>
      <c r="BH11" s="91" t="str">
        <f t="shared" si="5"/>
        <v>--</v>
      </c>
      <c r="BI11" s="89">
        <f>IF(Table63[[#This Row],[Column38]]="--",0,Table63[[#This Row],[Column2]]*Table63[[#This Row],[Column38]])</f>
        <v>0</v>
      </c>
      <c r="BJ11" s="94"/>
      <c r="BK11" s="91" t="str">
        <f t="shared" si="7"/>
        <v>--</v>
      </c>
      <c r="BL11" s="92">
        <f>IF(Table63[[#This Row],[Column41]]="--",0,Table63[[#This Row],[Column2]]*Table63[[#This Row],[Column41]])</f>
        <v>0</v>
      </c>
      <c r="BM11" s="44"/>
      <c r="BN11" s="90"/>
      <c r="BO11" s="91" t="str">
        <f>IF(BN11=0,"--",(Table63[[#This Row],[Column84]]*$BN$4*(IF(J11&lt;0.5001,1,IF(J11&lt;2.0001,2,3)))+BN11/$BN$3)/60/24)</f>
        <v>--</v>
      </c>
      <c r="BP11" s="92">
        <f>IF(Table63[[#This Row],[Column44]]="--",0,Table63[[#This Row],[Column2]]*Table63[[#This Row],[Column44]])</f>
        <v>0</v>
      </c>
      <c r="BQ11" s="95" t="s">
        <v>70</v>
      </c>
      <c r="BR11" s="91" t="str">
        <f>IF(Table63[[#This Row],[Column43]]=0,"--",BO11*$BQ$3)</f>
        <v>--</v>
      </c>
      <c r="BS11" s="89">
        <f>IF(Table63[[#This Row],[Column45]]="--",0,Table63[[#This Row],[Column2]]*Table63[[#This Row],[Column45]])</f>
        <v>0</v>
      </c>
      <c r="BT11" s="95" t="s">
        <v>70</v>
      </c>
      <c r="BU11" s="91" t="str">
        <f>IF(Table63[[#This Row],[Column7]]+Table63[[#This Row],[Column43]]=0,"--",J11*$BT$4*$BT$5/(24*60)+IF(Table63[[#This Row],[Column43]]=0,0,BT6*Table63[[#This Row],[Column44]]))</f>
        <v>--</v>
      </c>
      <c r="BV11" s="92">
        <f>IF(Table63[[#This Row],[Column48]]="--",0,Table63[[#This Row],[Column2]]*Table63[[#This Row],[Column48]])</f>
        <v>0</v>
      </c>
      <c r="BW11" s="93" t="str">
        <f>IF(Table63[[#This Row],[Column37]]="","--",Table63[[#This Row],[Column37]])</f>
        <v>--</v>
      </c>
      <c r="BX11" s="96" t="str">
        <f>IF(Table63[[#This Row],[Column44]]="--","--",Table63[[#This Row],[Column84]]+1)</f>
        <v>--</v>
      </c>
      <c r="BY11" s="91" t="str">
        <f>IF(Table63[[#This Row],[Column37]]+Table63[[#This Row],[Column84]]+Table63[[#This Row],[Column43]]=0,"--",(BG11*$BW$3/60+IF(Table63[[#This Row],[Column43]]=0,0,(BM11+1)*$BW$4))/60/24)</f>
        <v>--</v>
      </c>
      <c r="BZ11" s="92">
        <f>IF(Table63[[#This Row],[Column73]]="--",0,Table63[[#This Row],[Column2]]*Table63[[#This Row],[Column73]])</f>
        <v>0</v>
      </c>
      <c r="CA11" s="97" t="str">
        <f t="shared" si="8"/>
        <v>--</v>
      </c>
      <c r="CC11" s="89">
        <f>IF(Table63[[#This Row],[Column49]]="--",0,Table63[[#This Row],[Column2]]*Table63[[#This Row],[Column49]])</f>
        <v>0</v>
      </c>
      <c r="CD11" s="101" t="s">
        <v>70</v>
      </c>
      <c r="CE11" s="91" t="str">
        <f t="shared" si="6"/>
        <v>--</v>
      </c>
      <c r="CF11" s="89">
        <f>IF(Table63[[#This Row],[Column88]]="--",0,Table63[[#This Row],[Column2]]*Table63[[#This Row],[Column88]])</f>
        <v>0</v>
      </c>
      <c r="CG11" s="96"/>
      <c r="CH11" s="96"/>
      <c r="CI11" s="96"/>
      <c r="CJ11" s="96"/>
      <c r="CK11" s="96"/>
      <c r="CL11" s="101" t="str">
        <f>IF(Table63[[#This Row],[Column78]]+Table63[[#This Row],[Column79]]+Table63[[#This Row],[Column81]]+Table63[[#This Row],[Column80]]+Table63[[#This Row],[Column82]]=0,"--",((Table63[[#This Row],[Column78]]*2+Table63[[#This Row],[Column79]]+Table63[[#This Row],[Column81]])*$CK$3+Table63[[#This Row],[Column80]]*$CK$4+Table63[[#This Row],[Column82]]*$CK$5)/60/24)</f>
        <v>--</v>
      </c>
      <c r="CM11" s="89">
        <f>IF(Table63[[#This Row],[Column52]]="--",0,Table63[[#This Row],[Column2]]*Table63[[#This Row],[Column52]])</f>
        <v>0</v>
      </c>
      <c r="CN11" s="96"/>
      <c r="CO11" s="91" t="str">
        <f>IF(Table63[[#This Row],[Column52]]="--","--",Table63[[#This Row],[Column77]]*$CN$3/60/24)</f>
        <v>--</v>
      </c>
      <c r="CP11" s="89">
        <f>IF(Table63[[#This Row],[Column51]]="--",0,Table63[[#This Row],[Column2]]*Table63[[#This Row],[Column51]])</f>
        <v>0</v>
      </c>
      <c r="CQ11" t="str">
        <f>IF(Table63[[#This Row],[Column85]]=0,"--",Table63[[#This Row],[Column85]]*Table63[[#This Row],[Column98]]*Table63[[#This Row],[Column97]]/1000000000)</f>
        <v>--</v>
      </c>
      <c r="CR11" s="53"/>
      <c r="CS11" s="53"/>
      <c r="CT11" s="53"/>
      <c r="CU11" s="91" t="str">
        <f t="shared" si="9"/>
        <v>--</v>
      </c>
      <c r="CV11" s="89">
        <f>IF(Table63[[#This Row],[Column53]]="--",0,Table63[[#This Row],[Column2]]*Table63[[#This Row],[Column53]])</f>
        <v>0</v>
      </c>
    </row>
    <row r="12" spans="1:101" x14ac:dyDescent="0.25">
      <c r="B12" s="79"/>
      <c r="C12" s="80"/>
      <c r="E12" s="52"/>
      <c r="F12" s="81"/>
      <c r="G12" s="81"/>
      <c r="H12" s="82" t="str">
        <f t="shared" si="0"/>
        <v>--</v>
      </c>
      <c r="I12" s="100">
        <f>IF(Table63[[#This Row],[Column75]]="--",0,Table63[[#This Row],[Column2]]*Table63[[#This Row],[Column75]])</f>
        <v>0</v>
      </c>
      <c r="J12" s="84"/>
      <c r="K12" s="85">
        <f>Table63[[#This Row],[Column2]]*Table63[[#This Row],[Column7]]</f>
        <v>0</v>
      </c>
      <c r="L12" s="86" t="str">
        <f t="shared" si="1"/>
        <v>--</v>
      </c>
      <c r="M12" s="85">
        <f>IF(Table63[[#This Row],[Column7]]=0,0,Table63[[#This Row],[Column2]]*Table63[[#This Row],[Column8]])</f>
        <v>0</v>
      </c>
      <c r="N12" s="87" t="str">
        <f t="shared" si="2"/>
        <v>--</v>
      </c>
      <c r="O12" s="88" t="s">
        <v>70</v>
      </c>
      <c r="AW12" s="89">
        <f>IF(Table63[[#This Row],[Column9]]="--",0,Table63[[#This Row],[Column2]]*Table63[[#This Row],[Column9]])</f>
        <v>0</v>
      </c>
      <c r="AX12" s="90"/>
      <c r="AY12" s="91" t="str">
        <f>IF(AX12=0,"--",AX12*$AX$3*IF(Table63[[#This Row],[Column4]]&lt;4.1,1,2)/60/24)</f>
        <v>--</v>
      </c>
      <c r="AZ12" s="92">
        <f>IF(Table63[[#This Row],[Column29]]="--",0,Table63[[#This Row],[Column2]]*Table63[[#This Row],[Column29]])</f>
        <v>0</v>
      </c>
      <c r="BA12" s="93"/>
      <c r="BB12" s="91" t="str">
        <f t="shared" si="3"/>
        <v>--</v>
      </c>
      <c r="BC12" s="92">
        <f>IF(Table63[[#This Row],[Column32]]="--",0,Table63[[#This Row],[Column2]]*Table63[[#This Row],[Column32]])</f>
        <v>0</v>
      </c>
      <c r="BD12" s="93"/>
      <c r="BE12" s="91" t="str">
        <f t="shared" si="4"/>
        <v>--</v>
      </c>
      <c r="BF12" s="89">
        <f>IF(Table63[[#This Row],[Column35]]="--",0,Table63[[#This Row],[Column2]]*Table63[[#This Row],[Column35]])</f>
        <v>0</v>
      </c>
      <c r="BG12" s="93"/>
      <c r="BH12" s="91" t="str">
        <f t="shared" si="5"/>
        <v>--</v>
      </c>
      <c r="BI12" s="89">
        <f>IF(Table63[[#This Row],[Column38]]="--",0,Table63[[#This Row],[Column2]]*Table63[[#This Row],[Column38]])</f>
        <v>0</v>
      </c>
      <c r="BJ12" s="94"/>
      <c r="BK12" s="91" t="str">
        <f t="shared" si="7"/>
        <v>--</v>
      </c>
      <c r="BL12" s="92">
        <f>IF(Table63[[#This Row],[Column41]]="--",0,Table63[[#This Row],[Column2]]*Table63[[#This Row],[Column41]])</f>
        <v>0</v>
      </c>
      <c r="BM12" s="44"/>
      <c r="BN12" s="90"/>
      <c r="BO12" s="91" t="str">
        <f>IF(BN12=0,"--",(Table63[[#This Row],[Column84]]*$BN$4*(IF(J12&lt;0.5001,1,IF(J12&lt;2.0001,2,3)))+BN12/$BN$3)/60/24)</f>
        <v>--</v>
      </c>
      <c r="BP12" s="92">
        <f>IF(Table63[[#This Row],[Column44]]="--",0,Table63[[#This Row],[Column2]]*Table63[[#This Row],[Column44]])</f>
        <v>0</v>
      </c>
      <c r="BQ12" s="95" t="s">
        <v>70</v>
      </c>
      <c r="BR12" s="91" t="str">
        <f>IF(Table63[[#This Row],[Column43]]=0,"--",BO12*$BQ$3)</f>
        <v>--</v>
      </c>
      <c r="BS12" s="89">
        <f>IF(Table63[[#This Row],[Column45]]="--",0,Table63[[#This Row],[Column2]]*Table63[[#This Row],[Column45]])</f>
        <v>0</v>
      </c>
      <c r="BT12" s="95" t="s">
        <v>70</v>
      </c>
      <c r="BU12" s="91" t="str">
        <f>IF(Table63[[#This Row],[Column7]]+Table63[[#This Row],[Column43]]=0,"--",J12*$BT$4*$BT$5/(24*60)+IF(Table63[[#This Row],[Column43]]=0,0,BT7*Table63[[#This Row],[Column44]]))</f>
        <v>--</v>
      </c>
      <c r="BV12" s="92">
        <f>IF(Table63[[#This Row],[Column48]]="--",0,Table63[[#This Row],[Column2]]*Table63[[#This Row],[Column48]])</f>
        <v>0</v>
      </c>
      <c r="BW12" s="93" t="str">
        <f>IF(Table63[[#This Row],[Column37]]="","--",Table63[[#This Row],[Column37]])</f>
        <v>--</v>
      </c>
      <c r="BX12" s="96" t="str">
        <f>IF(Table63[[#This Row],[Column44]]="--","--",Table63[[#This Row],[Column84]]+1)</f>
        <v>--</v>
      </c>
      <c r="BY12" s="91" t="str">
        <f>IF(Table63[[#This Row],[Column37]]+Table63[[#This Row],[Column84]]+Table63[[#This Row],[Column43]]=0,"--",(BG12*$BW$3/60+IF(Table63[[#This Row],[Column43]]=0,0,(BM12+1)*$BW$4))/60/24)</f>
        <v>--</v>
      </c>
      <c r="BZ12" s="92">
        <f>IF(Table63[[#This Row],[Column73]]="--",0,Table63[[#This Row],[Column2]]*Table63[[#This Row],[Column73]])</f>
        <v>0</v>
      </c>
      <c r="CA12" s="97" t="str">
        <f t="shared" si="8"/>
        <v>--</v>
      </c>
      <c r="CC12" s="89">
        <f>IF(Table63[[#This Row],[Column49]]="--",0,Table63[[#This Row],[Column2]]*Table63[[#This Row],[Column49]])</f>
        <v>0</v>
      </c>
      <c r="CD12" s="101" t="s">
        <v>70</v>
      </c>
      <c r="CE12" s="91" t="str">
        <f t="shared" si="6"/>
        <v>--</v>
      </c>
      <c r="CF12" s="89">
        <f>IF(Table63[[#This Row],[Column88]]="--",0,Table63[[#This Row],[Column2]]*Table63[[#This Row],[Column88]])</f>
        <v>0</v>
      </c>
      <c r="CG12" s="96"/>
      <c r="CH12" s="96"/>
      <c r="CI12" s="96"/>
      <c r="CJ12" s="96"/>
      <c r="CK12" s="96"/>
      <c r="CL12" s="101" t="str">
        <f>IF(Table63[[#This Row],[Column78]]+Table63[[#This Row],[Column79]]+Table63[[#This Row],[Column81]]+Table63[[#This Row],[Column80]]+Table63[[#This Row],[Column82]]=0,"--",((Table63[[#This Row],[Column78]]*2+Table63[[#This Row],[Column79]]+Table63[[#This Row],[Column81]])*$CK$3+Table63[[#This Row],[Column80]]*$CK$4+Table63[[#This Row],[Column82]]*$CK$5)/60/24)</f>
        <v>--</v>
      </c>
      <c r="CM12" s="89">
        <f>IF(Table63[[#This Row],[Column52]]="--",0,Table63[[#This Row],[Column2]]*Table63[[#This Row],[Column52]])</f>
        <v>0</v>
      </c>
      <c r="CN12" s="96"/>
      <c r="CO12" s="91" t="str">
        <f>IF(Table63[[#This Row],[Column52]]="--","--",Table63[[#This Row],[Column77]]*$CN$3/60/24)</f>
        <v>--</v>
      </c>
      <c r="CP12" s="89">
        <f>IF(Table63[[#This Row],[Column51]]="--",0,Table63[[#This Row],[Column2]]*Table63[[#This Row],[Column51]])</f>
        <v>0</v>
      </c>
      <c r="CQ12" t="str">
        <f>IF(Table63[[#This Row],[Column85]]=0,"--",Table63[[#This Row],[Column85]]*Table63[[#This Row],[Column98]]*Table63[[#This Row],[Column97]]/1000000000)</f>
        <v>--</v>
      </c>
      <c r="CR12" s="53"/>
      <c r="CS12" s="53"/>
      <c r="CT12" s="53"/>
      <c r="CU12" s="91" t="str">
        <f t="shared" si="9"/>
        <v>--</v>
      </c>
      <c r="CV12" s="89">
        <f>IF(Table63[[#This Row],[Column53]]="--",0,Table63[[#This Row],[Column2]]*Table63[[#This Row],[Column53]])</f>
        <v>0</v>
      </c>
    </row>
    <row r="13" spans="1:101" x14ac:dyDescent="0.25">
      <c r="B13" s="79"/>
      <c r="C13" s="80"/>
      <c r="E13" s="52"/>
      <c r="F13" s="81"/>
      <c r="G13" s="81"/>
      <c r="H13" s="82" t="str">
        <f t="shared" si="0"/>
        <v>--</v>
      </c>
      <c r="I13" s="100">
        <f>IF(Table63[[#This Row],[Column75]]="--",0,Table63[[#This Row],[Column2]]*Table63[[#This Row],[Column75]])</f>
        <v>0</v>
      </c>
      <c r="J13" s="84"/>
      <c r="K13" s="85">
        <f>Table63[[#This Row],[Column2]]*Table63[[#This Row],[Column7]]</f>
        <v>0</v>
      </c>
      <c r="L13" s="86" t="str">
        <f t="shared" si="1"/>
        <v>--</v>
      </c>
      <c r="M13" s="85">
        <f>IF(Table63[[#This Row],[Column7]]=0,0,Table63[[#This Row],[Column2]]*Table63[[#This Row],[Column8]])</f>
        <v>0</v>
      </c>
      <c r="N13" s="87" t="str">
        <f t="shared" si="2"/>
        <v>--</v>
      </c>
      <c r="O13" s="88" t="s">
        <v>70</v>
      </c>
      <c r="AW13" s="89">
        <f>IF(Table63[[#This Row],[Column9]]="--",0,Table63[[#This Row],[Column2]]*Table63[[#This Row],[Column9]])</f>
        <v>0</v>
      </c>
      <c r="AX13" s="90"/>
      <c r="AY13" s="91" t="str">
        <f>IF(AX13=0,"--",AX13*$AX$3*IF(Table63[[#This Row],[Column4]]&lt;4.1,1,2)/60/24)</f>
        <v>--</v>
      </c>
      <c r="AZ13" s="92">
        <f>IF(Table63[[#This Row],[Column29]]="--",0,Table63[[#This Row],[Column2]]*Table63[[#This Row],[Column29]])</f>
        <v>0</v>
      </c>
      <c r="BA13" s="93"/>
      <c r="BB13" s="91" t="str">
        <f t="shared" si="3"/>
        <v>--</v>
      </c>
      <c r="BC13" s="92">
        <f>IF(Table63[[#This Row],[Column32]]="--",0,Table63[[#This Row],[Column2]]*Table63[[#This Row],[Column32]])</f>
        <v>0</v>
      </c>
      <c r="BD13" s="93"/>
      <c r="BE13" s="91" t="str">
        <f t="shared" si="4"/>
        <v>--</v>
      </c>
      <c r="BF13" s="89">
        <f>IF(Table63[[#This Row],[Column35]]="--",0,Table63[[#This Row],[Column2]]*Table63[[#This Row],[Column35]])</f>
        <v>0</v>
      </c>
      <c r="BG13" s="93"/>
      <c r="BH13" s="91" t="str">
        <f t="shared" si="5"/>
        <v>--</v>
      </c>
      <c r="BI13" s="89">
        <f>IF(Table63[[#This Row],[Column38]]="--",0,Table63[[#This Row],[Column2]]*Table63[[#This Row],[Column38]])</f>
        <v>0</v>
      </c>
      <c r="BJ13" s="94"/>
      <c r="BK13" s="91" t="str">
        <f t="shared" si="7"/>
        <v>--</v>
      </c>
      <c r="BL13" s="92">
        <f>IF(Table63[[#This Row],[Column41]]="--",0,Table63[[#This Row],[Column2]]*Table63[[#This Row],[Column41]])</f>
        <v>0</v>
      </c>
      <c r="BM13" s="44"/>
      <c r="BN13" s="90"/>
      <c r="BO13" s="91" t="str">
        <f>IF(BN13=0,"--",(Table63[[#This Row],[Column84]]*$BN$4*(IF(J13&lt;0.5001,1,IF(J13&lt;2.0001,2,3)))+BN13/$BN$3)/60/24)</f>
        <v>--</v>
      </c>
      <c r="BP13" s="92">
        <f>IF(Table63[[#This Row],[Column44]]="--",0,Table63[[#This Row],[Column2]]*Table63[[#This Row],[Column44]])</f>
        <v>0</v>
      </c>
      <c r="BQ13" s="95" t="s">
        <v>70</v>
      </c>
      <c r="BR13" s="91" t="str">
        <f>IF(Table63[[#This Row],[Column43]]=0,"--",BO13*$BQ$3)</f>
        <v>--</v>
      </c>
      <c r="BS13" s="89">
        <f>IF(Table63[[#This Row],[Column45]]="--",0,Table63[[#This Row],[Column2]]*Table63[[#This Row],[Column45]])</f>
        <v>0</v>
      </c>
      <c r="BT13" s="95" t="s">
        <v>70</v>
      </c>
      <c r="BU13" s="91" t="str">
        <f>IF(Table63[[#This Row],[Column7]]+Table63[[#This Row],[Column43]]=0,"--",J13*$BT$4*$BT$5/(24*60)+IF(Table63[[#This Row],[Column43]]=0,0,BT8*Table63[[#This Row],[Column44]]))</f>
        <v>--</v>
      </c>
      <c r="BV13" s="92">
        <f>IF(Table63[[#This Row],[Column48]]="--",0,Table63[[#This Row],[Column2]]*Table63[[#This Row],[Column48]])</f>
        <v>0</v>
      </c>
      <c r="BW13" s="93" t="str">
        <f>IF(Table63[[#This Row],[Column37]]="","--",Table63[[#This Row],[Column37]])</f>
        <v>--</v>
      </c>
      <c r="BX13" s="96" t="str">
        <f>IF(Table63[[#This Row],[Column44]]="--","--",Table63[[#This Row],[Column84]]+1)</f>
        <v>--</v>
      </c>
      <c r="BY13" s="91" t="str">
        <f>IF(Table63[[#This Row],[Column37]]+Table63[[#This Row],[Column84]]+Table63[[#This Row],[Column43]]=0,"--",(BG13*$BW$3/60+IF(Table63[[#This Row],[Column43]]=0,0,(BM13+1)*$BW$4))/60/24)</f>
        <v>--</v>
      </c>
      <c r="BZ13" s="92">
        <f>IF(Table63[[#This Row],[Column73]]="--",0,Table63[[#This Row],[Column2]]*Table63[[#This Row],[Column73]])</f>
        <v>0</v>
      </c>
      <c r="CA13" s="97" t="str">
        <f t="shared" si="8"/>
        <v>--</v>
      </c>
      <c r="CC13" s="89">
        <f>IF(Table63[[#This Row],[Column49]]="--",0,Table63[[#This Row],[Column2]]*Table63[[#This Row],[Column49]])</f>
        <v>0</v>
      </c>
      <c r="CD13" s="101" t="s">
        <v>70</v>
      </c>
      <c r="CE13" s="91" t="str">
        <f t="shared" si="6"/>
        <v>--</v>
      </c>
      <c r="CF13" s="89">
        <f>IF(Table63[[#This Row],[Column88]]="--",0,Table63[[#This Row],[Column2]]*Table63[[#This Row],[Column88]])</f>
        <v>0</v>
      </c>
      <c r="CG13" s="96"/>
      <c r="CH13" s="96"/>
      <c r="CI13" s="96"/>
      <c r="CJ13" s="96"/>
      <c r="CK13" s="96"/>
      <c r="CL13" s="101" t="str">
        <f>IF(Table63[[#This Row],[Column78]]+Table63[[#This Row],[Column79]]+Table63[[#This Row],[Column81]]+Table63[[#This Row],[Column80]]+Table63[[#This Row],[Column82]]=0,"--",((Table63[[#This Row],[Column78]]*2+Table63[[#This Row],[Column79]]+Table63[[#This Row],[Column81]])*$CK$3+Table63[[#This Row],[Column80]]*$CK$4+Table63[[#This Row],[Column82]]*$CK$5)/60/24)</f>
        <v>--</v>
      </c>
      <c r="CM13" s="89">
        <f>IF(Table63[[#This Row],[Column52]]="--",0,Table63[[#This Row],[Column2]]*Table63[[#This Row],[Column52]])</f>
        <v>0</v>
      </c>
      <c r="CN13" s="96"/>
      <c r="CO13" s="91" t="str">
        <f>IF(Table63[[#This Row],[Column52]]="--","--",Table63[[#This Row],[Column77]]*$CN$3/60/24)</f>
        <v>--</v>
      </c>
      <c r="CP13" s="89">
        <f>IF(Table63[[#This Row],[Column51]]="--",0,Table63[[#This Row],[Column2]]*Table63[[#This Row],[Column51]])</f>
        <v>0</v>
      </c>
      <c r="CQ13" t="str">
        <f>IF(Table63[[#This Row],[Column85]]=0,"--",Table63[[#This Row],[Column85]]*Table63[[#This Row],[Column98]]*Table63[[#This Row],[Column97]]/1000000000)</f>
        <v>--</v>
      </c>
      <c r="CR13" s="53"/>
      <c r="CS13" s="53"/>
      <c r="CT13" s="53"/>
      <c r="CU13" s="91" t="str">
        <f t="shared" si="9"/>
        <v>--</v>
      </c>
      <c r="CV13" s="89">
        <f>IF(Table63[[#This Row],[Column53]]="--",0,Table63[[#This Row],[Column2]]*Table63[[#This Row],[Column53]])</f>
        <v>0</v>
      </c>
    </row>
    <row r="14" spans="1:101" x14ac:dyDescent="0.25">
      <c r="B14" s="79"/>
      <c r="C14" s="80"/>
      <c r="E14" s="52"/>
      <c r="F14" s="81"/>
      <c r="G14" s="81"/>
      <c r="H14" s="82" t="str">
        <f t="shared" si="0"/>
        <v>--</v>
      </c>
      <c r="I14" s="100">
        <f>IF(Table63[[#This Row],[Column75]]="--",0,Table63[[#This Row],[Column2]]*Table63[[#This Row],[Column75]])</f>
        <v>0</v>
      </c>
      <c r="J14" s="84"/>
      <c r="K14" s="85">
        <f>Table63[[#This Row],[Column2]]*Table63[[#This Row],[Column7]]</f>
        <v>0</v>
      </c>
      <c r="L14" s="86" t="str">
        <f t="shared" si="1"/>
        <v>--</v>
      </c>
      <c r="M14" s="85">
        <f>IF(Table63[[#This Row],[Column7]]=0,0,Table63[[#This Row],[Column2]]*Table63[[#This Row],[Column8]])</f>
        <v>0</v>
      </c>
      <c r="N14" s="87" t="str">
        <f t="shared" si="2"/>
        <v>--</v>
      </c>
      <c r="O14" s="88" t="s">
        <v>70</v>
      </c>
      <c r="AW14" s="89">
        <f>IF(Table63[[#This Row],[Column9]]="--",0,Table63[[#This Row],[Column2]]*Table63[[#This Row],[Column9]])</f>
        <v>0</v>
      </c>
      <c r="AX14" s="90"/>
      <c r="AY14" s="91" t="str">
        <f>IF(AX14=0,"--",AX14*$AX$3*IF(Table63[[#This Row],[Column4]]&lt;4.1,1,2)/60/24)</f>
        <v>--</v>
      </c>
      <c r="AZ14" s="92">
        <f>IF(Table63[[#This Row],[Column29]]="--",0,Table63[[#This Row],[Column2]]*Table63[[#This Row],[Column29]])</f>
        <v>0</v>
      </c>
      <c r="BA14" s="93"/>
      <c r="BB14" s="91" t="str">
        <f t="shared" si="3"/>
        <v>--</v>
      </c>
      <c r="BC14" s="92">
        <f>IF(Table63[[#This Row],[Column32]]="--",0,Table63[[#This Row],[Column2]]*Table63[[#This Row],[Column32]])</f>
        <v>0</v>
      </c>
      <c r="BD14" s="93"/>
      <c r="BE14" s="91" t="str">
        <f t="shared" si="4"/>
        <v>--</v>
      </c>
      <c r="BF14" s="89">
        <f>IF(Table63[[#This Row],[Column35]]="--",0,Table63[[#This Row],[Column2]]*Table63[[#This Row],[Column35]])</f>
        <v>0</v>
      </c>
      <c r="BG14" s="93"/>
      <c r="BH14" s="91" t="str">
        <f t="shared" si="5"/>
        <v>--</v>
      </c>
      <c r="BI14" s="89">
        <f>IF(Table63[[#This Row],[Column38]]="--",0,Table63[[#This Row],[Column2]]*Table63[[#This Row],[Column38]])</f>
        <v>0</v>
      </c>
      <c r="BJ14" s="94"/>
      <c r="BK14" s="91" t="str">
        <f t="shared" si="7"/>
        <v>--</v>
      </c>
      <c r="BL14" s="92">
        <f>IF(Table63[[#This Row],[Column41]]="--",0,Table63[[#This Row],[Column2]]*Table63[[#This Row],[Column41]])</f>
        <v>0</v>
      </c>
      <c r="BM14" s="44"/>
      <c r="BO14" s="91" t="str">
        <f>IF(BN14=0,"--",(Table63[[#This Row],[Column84]]*$BN$4*(IF(J14&lt;0.5001,1,IF(J14&lt;2.0001,2,3)))+BN14/$BN$3)/60/24)</f>
        <v>--</v>
      </c>
      <c r="BP14" s="92">
        <f>IF(Table63[[#This Row],[Column44]]="--",0,Table63[[#This Row],[Column2]]*Table63[[#This Row],[Column44]])</f>
        <v>0</v>
      </c>
      <c r="BQ14" s="95" t="s">
        <v>70</v>
      </c>
      <c r="BR14" s="91" t="str">
        <f>IF(Table63[[#This Row],[Column43]]=0,"--",BO14*$BQ$3)</f>
        <v>--</v>
      </c>
      <c r="BS14" s="89">
        <f>IF(Table63[[#This Row],[Column45]]="--",0,Table63[[#This Row],[Column2]]*Table63[[#This Row],[Column45]])</f>
        <v>0</v>
      </c>
      <c r="BT14" s="95" t="s">
        <v>70</v>
      </c>
      <c r="BU14" s="91" t="str">
        <f>IF(Table63[[#This Row],[Column7]]+Table63[[#This Row],[Column43]]=0,"--",J14*$BT$4*$BT$5/(24*60)+IF(Table63[[#This Row],[Column43]]=0,0,BT9*Table63[[#This Row],[Column44]]))</f>
        <v>--</v>
      </c>
      <c r="BV14" s="92">
        <f>IF(Table63[[#This Row],[Column48]]="--",0,Table63[[#This Row],[Column2]]*Table63[[#This Row],[Column48]])</f>
        <v>0</v>
      </c>
      <c r="BW14" s="93" t="str">
        <f>IF(Table63[[#This Row],[Column37]]="","--",Table63[[#This Row],[Column37]])</f>
        <v>--</v>
      </c>
      <c r="BX14" s="96" t="str">
        <f>IF(Table63[[#This Row],[Column44]]="--","--",Table63[[#This Row],[Column84]]+1)</f>
        <v>--</v>
      </c>
      <c r="BY14" s="91" t="str">
        <f>IF(Table63[[#This Row],[Column37]]+Table63[[#This Row],[Column84]]+Table63[[#This Row],[Column43]]=0,"--",(BG14*$BW$3/60+IF(Table63[[#This Row],[Column43]]=0,0,(BM14+1)*$BW$4))/60/24)</f>
        <v>--</v>
      </c>
      <c r="BZ14" s="92">
        <f>IF(Table63[[#This Row],[Column73]]="--",0,Table63[[#This Row],[Column2]]*Table63[[#This Row],[Column73]])</f>
        <v>0</v>
      </c>
      <c r="CA14" s="97" t="str">
        <f t="shared" si="8"/>
        <v>--</v>
      </c>
      <c r="CC14" s="89">
        <f>IF(Table63[[#This Row],[Column49]]="--",0,Table63[[#This Row],[Column2]]*Table63[[#This Row],[Column49]])</f>
        <v>0</v>
      </c>
      <c r="CD14" s="101" t="s">
        <v>70</v>
      </c>
      <c r="CE14" s="91" t="str">
        <f t="shared" si="6"/>
        <v>--</v>
      </c>
      <c r="CF14" s="89">
        <f>IF(Table63[[#This Row],[Column88]]="--",0,Table63[[#This Row],[Column2]]*Table63[[#This Row],[Column88]])</f>
        <v>0</v>
      </c>
      <c r="CG14" s="96"/>
      <c r="CH14" s="96"/>
      <c r="CI14" s="96"/>
      <c r="CJ14" s="96"/>
      <c r="CK14" s="96"/>
      <c r="CL14" s="101" t="str">
        <f>IF(Table63[[#This Row],[Column78]]+Table63[[#This Row],[Column79]]+Table63[[#This Row],[Column81]]+Table63[[#This Row],[Column80]]+Table63[[#This Row],[Column82]]=0,"--",((Table63[[#This Row],[Column78]]*2+Table63[[#This Row],[Column79]]+Table63[[#This Row],[Column81]])*$CK$3+Table63[[#This Row],[Column80]]*$CK$4+Table63[[#This Row],[Column82]]*$CK$5)/60/24)</f>
        <v>--</v>
      </c>
      <c r="CM14" s="89">
        <f>IF(Table63[[#This Row],[Column52]]="--",0,Table63[[#This Row],[Column2]]*Table63[[#This Row],[Column52]])</f>
        <v>0</v>
      </c>
      <c r="CN14" s="96"/>
      <c r="CO14" s="91" t="str">
        <f>IF(Table63[[#This Row],[Column52]]="--","--",Table63[[#This Row],[Column77]]*$CN$3/60/24)</f>
        <v>--</v>
      </c>
      <c r="CP14" s="89">
        <f>IF(Table63[[#This Row],[Column51]]="--",0,Table63[[#This Row],[Column2]]*Table63[[#This Row],[Column51]])</f>
        <v>0</v>
      </c>
      <c r="CQ14" t="str">
        <f>IF(Table63[[#This Row],[Column85]]=0,"--",Table63[[#This Row],[Column85]]*Table63[[#This Row],[Column98]]*Table63[[#This Row],[Column97]]/1000000000)</f>
        <v>--</v>
      </c>
      <c r="CR14" s="53"/>
      <c r="CS14" s="53"/>
      <c r="CT14" s="53"/>
      <c r="CU14" s="91" t="str">
        <f t="shared" si="9"/>
        <v>--</v>
      </c>
      <c r="CV14" s="89">
        <f>IF(Table63[[#This Row],[Column53]]="--",0,Table63[[#This Row],[Column2]]*Table63[[#This Row],[Column53]])</f>
        <v>0</v>
      </c>
    </row>
    <row r="15" spans="1:101" x14ac:dyDescent="0.25">
      <c r="B15" s="79"/>
      <c r="C15" s="80"/>
      <c r="E15" s="52"/>
      <c r="F15" s="81"/>
      <c r="G15" s="81"/>
      <c r="H15" s="82" t="str">
        <f t="shared" si="0"/>
        <v>--</v>
      </c>
      <c r="I15" s="100">
        <f>IF(Table63[[#This Row],[Column75]]="--",0,Table63[[#This Row],[Column2]]*Table63[[#This Row],[Column75]])</f>
        <v>0</v>
      </c>
      <c r="J15" s="84"/>
      <c r="K15" s="85">
        <f>Table63[[#This Row],[Column2]]*Table63[[#This Row],[Column7]]</f>
        <v>0</v>
      </c>
      <c r="L15" s="86" t="str">
        <f t="shared" si="1"/>
        <v>--</v>
      </c>
      <c r="M15" s="85">
        <f>IF(Table63[[#This Row],[Column7]]=0,0,Table63[[#This Row],[Column2]]*Table63[[#This Row],[Column8]])</f>
        <v>0</v>
      </c>
      <c r="N15" s="87" t="str">
        <f t="shared" si="2"/>
        <v>--</v>
      </c>
      <c r="O15" s="88" t="s">
        <v>70</v>
      </c>
      <c r="AW15" s="89">
        <f>IF(Table63[[#This Row],[Column9]]="--",0,Table63[[#This Row],[Column2]]*Table63[[#This Row],[Column9]])</f>
        <v>0</v>
      </c>
      <c r="AX15" s="90"/>
      <c r="AY15" s="91" t="str">
        <f>IF(AX15=0,"--",AX15*$AX$3*IF(Table63[[#This Row],[Column4]]&lt;4.1,1,2)/60/24)</f>
        <v>--</v>
      </c>
      <c r="AZ15" s="92">
        <f>IF(Table63[[#This Row],[Column29]]="--",0,Table63[[#This Row],[Column2]]*Table63[[#This Row],[Column29]])</f>
        <v>0</v>
      </c>
      <c r="BA15" s="93"/>
      <c r="BB15" s="91" t="str">
        <f t="shared" si="3"/>
        <v>--</v>
      </c>
      <c r="BC15" s="92">
        <f>IF(Table63[[#This Row],[Column32]]="--",0,Table63[[#This Row],[Column2]]*Table63[[#This Row],[Column32]])</f>
        <v>0</v>
      </c>
      <c r="BD15" s="93"/>
      <c r="BE15" s="91" t="str">
        <f t="shared" si="4"/>
        <v>--</v>
      </c>
      <c r="BF15" s="89">
        <f>IF(Table63[[#This Row],[Column35]]="--",0,Table63[[#This Row],[Column2]]*Table63[[#This Row],[Column35]])</f>
        <v>0</v>
      </c>
      <c r="BG15" s="93"/>
      <c r="BH15" s="91" t="str">
        <f t="shared" si="5"/>
        <v>--</v>
      </c>
      <c r="BI15" s="89">
        <f>IF(Table63[[#This Row],[Column38]]="--",0,Table63[[#This Row],[Column2]]*Table63[[#This Row],[Column38]])</f>
        <v>0</v>
      </c>
      <c r="BJ15" s="94"/>
      <c r="BK15" s="91" t="str">
        <f t="shared" si="7"/>
        <v>--</v>
      </c>
      <c r="BL15" s="92">
        <f>IF(Table63[[#This Row],[Column41]]="--",0,Table63[[#This Row],[Column2]]*Table63[[#This Row],[Column41]])</f>
        <v>0</v>
      </c>
      <c r="BM15" s="44"/>
      <c r="BN15" s="90"/>
      <c r="BO15" s="91" t="str">
        <f>IF(BN15=0,"--",(Table63[[#This Row],[Column84]]*$BN$4*(IF(J15&lt;0.5001,1,IF(J15&lt;2.0001,2,3)))+BN15/$BN$3)/60/24)</f>
        <v>--</v>
      </c>
      <c r="BP15" s="92">
        <f>IF(Table63[[#This Row],[Column44]]="--",0,Table63[[#This Row],[Column2]]*Table63[[#This Row],[Column44]])</f>
        <v>0</v>
      </c>
      <c r="BQ15" s="95" t="s">
        <v>70</v>
      </c>
      <c r="BR15" s="91" t="str">
        <f>IF(Table63[[#This Row],[Column43]]=0,"--",BO15*$BQ$3)</f>
        <v>--</v>
      </c>
      <c r="BS15" s="89">
        <f>IF(Table63[[#This Row],[Column45]]="--",0,Table63[[#This Row],[Column2]]*Table63[[#This Row],[Column45]])</f>
        <v>0</v>
      </c>
      <c r="BT15" s="95" t="s">
        <v>70</v>
      </c>
      <c r="BU15" s="91" t="str">
        <f>IF(Table63[[#This Row],[Column7]]+Table63[[#This Row],[Column43]]=0,"--",J15*$BT$4*$BT$5/(24*60)+IF(Table63[[#This Row],[Column43]]=0,0,BT10*Table63[[#This Row],[Column44]]))</f>
        <v>--</v>
      </c>
      <c r="BV15" s="92">
        <f>IF(Table63[[#This Row],[Column48]]="--",0,Table63[[#This Row],[Column2]]*Table63[[#This Row],[Column48]])</f>
        <v>0</v>
      </c>
      <c r="BW15" s="93" t="str">
        <f>IF(Table63[[#This Row],[Column37]]="","--",Table63[[#This Row],[Column37]])</f>
        <v>--</v>
      </c>
      <c r="BX15" s="96" t="str">
        <f>IF(Table63[[#This Row],[Column44]]="--","--",Table63[[#This Row],[Column84]]+1)</f>
        <v>--</v>
      </c>
      <c r="BY15" s="91" t="str">
        <f>IF(Table63[[#This Row],[Column37]]+Table63[[#This Row],[Column84]]+Table63[[#This Row],[Column43]]=0,"--",(BG15*$BW$3/60+IF(Table63[[#This Row],[Column43]]=0,0,(BM15+1)*$BW$4))/60/24)</f>
        <v>--</v>
      </c>
      <c r="BZ15" s="92">
        <f>IF(Table63[[#This Row],[Column73]]="--",0,Table63[[#This Row],[Column2]]*Table63[[#This Row],[Column73]])</f>
        <v>0</v>
      </c>
      <c r="CA15" s="97" t="str">
        <f t="shared" si="8"/>
        <v>--</v>
      </c>
      <c r="CC15" s="89">
        <f>IF(Table63[[#This Row],[Column49]]="--",0,Table63[[#This Row],[Column2]]*Table63[[#This Row],[Column49]])</f>
        <v>0</v>
      </c>
      <c r="CD15" s="101" t="s">
        <v>70</v>
      </c>
      <c r="CE15" s="91" t="str">
        <f t="shared" si="6"/>
        <v>--</v>
      </c>
      <c r="CF15" s="89">
        <f>IF(Table63[[#This Row],[Column88]]="--",0,Table63[[#This Row],[Column2]]*Table63[[#This Row],[Column88]])</f>
        <v>0</v>
      </c>
      <c r="CG15" s="96"/>
      <c r="CH15" s="96"/>
      <c r="CI15" s="96"/>
      <c r="CJ15" s="96"/>
      <c r="CK15" s="96"/>
      <c r="CL15" s="101" t="str">
        <f>IF(Table63[[#This Row],[Column78]]+Table63[[#This Row],[Column79]]+Table63[[#This Row],[Column81]]+Table63[[#This Row],[Column80]]+Table63[[#This Row],[Column82]]=0,"--",((Table63[[#This Row],[Column78]]*2+Table63[[#This Row],[Column79]]+Table63[[#This Row],[Column81]])*$CK$3+Table63[[#This Row],[Column80]]*$CK$4+Table63[[#This Row],[Column82]]*$CK$5)/60/24)</f>
        <v>--</v>
      </c>
      <c r="CM15" s="89">
        <f>IF(Table63[[#This Row],[Column52]]="--",0,Table63[[#This Row],[Column2]]*Table63[[#This Row],[Column52]])</f>
        <v>0</v>
      </c>
      <c r="CN15" s="96"/>
      <c r="CO15" s="91" t="str">
        <f>IF(Table63[[#This Row],[Column52]]="--","--",Table63[[#This Row],[Column77]]*$CN$3/60/24)</f>
        <v>--</v>
      </c>
      <c r="CP15" s="89">
        <f>IF(Table63[[#This Row],[Column51]]="--",0,Table63[[#This Row],[Column2]]*Table63[[#This Row],[Column51]])</f>
        <v>0</v>
      </c>
      <c r="CQ15" t="str">
        <f>IF(Table63[[#This Row],[Column85]]=0,"--",Table63[[#This Row],[Column85]]*Table63[[#This Row],[Column98]]*Table63[[#This Row],[Column97]]/1000000000)</f>
        <v>--</v>
      </c>
      <c r="CR15" s="53"/>
      <c r="CS15" s="53"/>
      <c r="CT15" s="53"/>
      <c r="CU15" s="91" t="str">
        <f t="shared" si="9"/>
        <v>--</v>
      </c>
      <c r="CV15" s="89">
        <f>IF(Table63[[#This Row],[Column53]]="--",0,Table63[[#This Row],[Column2]]*Table63[[#This Row],[Column53]])</f>
        <v>0</v>
      </c>
    </row>
    <row r="16" spans="1:101" x14ac:dyDescent="0.25">
      <c r="B16" s="79"/>
      <c r="C16" s="80"/>
      <c r="E16" s="52"/>
      <c r="F16" s="81"/>
      <c r="G16" s="81"/>
      <c r="H16" s="82" t="str">
        <f t="shared" si="0"/>
        <v>--</v>
      </c>
      <c r="I16" s="100">
        <f>IF(Table63[[#This Row],[Column75]]="--",0,Table63[[#This Row],[Column2]]*Table63[[#This Row],[Column75]])</f>
        <v>0</v>
      </c>
      <c r="J16" s="84"/>
      <c r="K16" s="85">
        <f>Table63[[#This Row],[Column2]]*Table63[[#This Row],[Column7]]</f>
        <v>0</v>
      </c>
      <c r="L16" s="86" t="str">
        <f t="shared" si="1"/>
        <v>--</v>
      </c>
      <c r="M16" s="85">
        <f>IF(Table63[[#This Row],[Column7]]=0,0,Table63[[#This Row],[Column2]]*Table63[[#This Row],[Column8]])</f>
        <v>0</v>
      </c>
      <c r="N16" s="87" t="str">
        <f t="shared" si="2"/>
        <v>--</v>
      </c>
      <c r="O16" s="88" t="s">
        <v>70</v>
      </c>
      <c r="AW16" s="89">
        <f>IF(Table63[[#This Row],[Column9]]="--",0,Table63[[#This Row],[Column2]]*Table63[[#This Row],[Column9]])</f>
        <v>0</v>
      </c>
      <c r="AX16" s="90"/>
      <c r="AY16" s="91" t="str">
        <f>IF(AX16=0,"--",AX16*$AX$3*IF(Table63[[#This Row],[Column4]]&lt;4.1,1,2)/60/24)</f>
        <v>--</v>
      </c>
      <c r="AZ16" s="92">
        <f>IF(Table63[[#This Row],[Column29]]="--",0,Table63[[#This Row],[Column2]]*Table63[[#This Row],[Column29]])</f>
        <v>0</v>
      </c>
      <c r="BA16" s="93"/>
      <c r="BB16" s="91" t="str">
        <f t="shared" si="3"/>
        <v>--</v>
      </c>
      <c r="BC16" s="92">
        <f>IF(Table63[[#This Row],[Column32]]="--",0,Table63[[#This Row],[Column2]]*Table63[[#This Row],[Column32]])</f>
        <v>0</v>
      </c>
      <c r="BD16" s="93"/>
      <c r="BE16" s="91" t="str">
        <f t="shared" si="4"/>
        <v>--</v>
      </c>
      <c r="BF16" s="89">
        <f>IF(Table63[[#This Row],[Column35]]="--",0,Table63[[#This Row],[Column2]]*Table63[[#This Row],[Column35]])</f>
        <v>0</v>
      </c>
      <c r="BG16" s="93"/>
      <c r="BH16" s="91" t="str">
        <f t="shared" si="5"/>
        <v>--</v>
      </c>
      <c r="BI16" s="89">
        <f>IF(Table63[[#This Row],[Column38]]="--",0,Table63[[#This Row],[Column2]]*Table63[[#This Row],[Column38]])</f>
        <v>0</v>
      </c>
      <c r="BJ16" s="94"/>
      <c r="BK16" s="91" t="str">
        <f t="shared" si="7"/>
        <v>--</v>
      </c>
      <c r="BL16" s="92">
        <f>IF(Table63[[#This Row],[Column41]]="--",0,Table63[[#This Row],[Column2]]*Table63[[#This Row],[Column41]])</f>
        <v>0</v>
      </c>
      <c r="BM16" s="44"/>
      <c r="BN16" s="90"/>
      <c r="BO16" s="91" t="str">
        <f>IF(BN16=0,"--",(Table63[[#This Row],[Column84]]*$BN$4*(IF(J16&lt;0.5001,1,IF(J16&lt;2.0001,2,3)))+BN16/$BN$3)/60/24)</f>
        <v>--</v>
      </c>
      <c r="BP16" s="92">
        <f>IF(Table63[[#This Row],[Column44]]="--",0,Table63[[#This Row],[Column2]]*Table63[[#This Row],[Column44]])</f>
        <v>0</v>
      </c>
      <c r="BQ16" s="95" t="s">
        <v>70</v>
      </c>
      <c r="BR16" s="91" t="str">
        <f>IF(Table63[[#This Row],[Column43]]=0,"--",BO16*$BQ$3)</f>
        <v>--</v>
      </c>
      <c r="BS16" s="89">
        <f>IF(Table63[[#This Row],[Column45]]="--",0,Table63[[#This Row],[Column2]]*Table63[[#This Row],[Column45]])</f>
        <v>0</v>
      </c>
      <c r="BT16" s="95" t="s">
        <v>70</v>
      </c>
      <c r="BU16" s="91" t="str">
        <f>IF(Table63[[#This Row],[Column7]]+Table63[[#This Row],[Column43]]=0,"--",J16*$BT$4*$BT$5/(24*60)+IF(Table63[[#This Row],[Column43]]=0,0,BT11*Table63[[#This Row],[Column44]]))</f>
        <v>--</v>
      </c>
      <c r="BV16" s="92">
        <f>IF(Table63[[#This Row],[Column48]]="--",0,Table63[[#This Row],[Column2]]*Table63[[#This Row],[Column48]])</f>
        <v>0</v>
      </c>
      <c r="BW16" s="93" t="str">
        <f>IF(Table63[[#This Row],[Column37]]="","--",Table63[[#This Row],[Column37]])</f>
        <v>--</v>
      </c>
      <c r="BX16" s="96" t="str">
        <f>IF(Table63[[#This Row],[Column44]]="--","--",Table63[[#This Row],[Column84]]+1)</f>
        <v>--</v>
      </c>
      <c r="BY16" s="91" t="str">
        <f>IF(Table63[[#This Row],[Column37]]+Table63[[#This Row],[Column84]]+Table63[[#This Row],[Column43]]=0,"--",(BG16*$BW$3/60+IF(Table63[[#This Row],[Column43]]=0,0,(BM16+1)*$BW$4))/60/24)</f>
        <v>--</v>
      </c>
      <c r="BZ16" s="92">
        <f>IF(Table63[[#This Row],[Column73]]="--",0,Table63[[#This Row],[Column2]]*Table63[[#This Row],[Column73]])</f>
        <v>0</v>
      </c>
      <c r="CA16" s="97" t="str">
        <f t="shared" si="8"/>
        <v>--</v>
      </c>
      <c r="CC16" s="89">
        <f>IF(Table63[[#This Row],[Column49]]="--",0,Table63[[#This Row],[Column2]]*Table63[[#This Row],[Column49]])</f>
        <v>0</v>
      </c>
      <c r="CD16" s="101" t="s">
        <v>70</v>
      </c>
      <c r="CE16" s="91" t="str">
        <f t="shared" si="6"/>
        <v>--</v>
      </c>
      <c r="CF16" s="89">
        <f>IF(Table63[[#This Row],[Column88]]="--",0,Table63[[#This Row],[Column2]]*Table63[[#This Row],[Column88]])</f>
        <v>0</v>
      </c>
      <c r="CG16" s="96"/>
      <c r="CH16" s="96"/>
      <c r="CI16" s="96"/>
      <c r="CJ16" s="96"/>
      <c r="CK16" s="96"/>
      <c r="CL16" s="101" t="str">
        <f>IF(Table63[[#This Row],[Column78]]+Table63[[#This Row],[Column79]]+Table63[[#This Row],[Column81]]+Table63[[#This Row],[Column80]]+Table63[[#This Row],[Column82]]=0,"--",((Table63[[#This Row],[Column78]]*2+Table63[[#This Row],[Column79]]+Table63[[#This Row],[Column81]])*$CK$3+Table63[[#This Row],[Column80]]*$CK$4+Table63[[#This Row],[Column82]]*$CK$5)/60/24)</f>
        <v>--</v>
      </c>
      <c r="CM16" s="89">
        <f>IF(Table63[[#This Row],[Column52]]="--",0,Table63[[#This Row],[Column2]]*Table63[[#This Row],[Column52]])</f>
        <v>0</v>
      </c>
      <c r="CN16" s="96"/>
      <c r="CO16" s="91" t="str">
        <f>IF(Table63[[#This Row],[Column52]]="--","--",Table63[[#This Row],[Column77]]*$CN$3/60/24)</f>
        <v>--</v>
      </c>
      <c r="CP16" s="89">
        <f>IF(Table63[[#This Row],[Column51]]="--",0,Table63[[#This Row],[Column2]]*Table63[[#This Row],[Column51]])</f>
        <v>0</v>
      </c>
      <c r="CQ16" t="str">
        <f>IF(Table63[[#This Row],[Column85]]=0,"--",Table63[[#This Row],[Column85]]*Table63[[#This Row],[Column98]]*Table63[[#This Row],[Column97]]/1000000000)</f>
        <v>--</v>
      </c>
      <c r="CR16" s="53"/>
      <c r="CS16" s="53"/>
      <c r="CT16" s="53"/>
      <c r="CU16" s="91" t="str">
        <f t="shared" si="9"/>
        <v>--</v>
      </c>
      <c r="CV16" s="89">
        <f>IF(Table63[[#This Row],[Column53]]="--",0,Table63[[#This Row],[Column2]]*Table63[[#This Row],[Column53]])</f>
        <v>0</v>
      </c>
    </row>
    <row r="17" spans="2:100" x14ac:dyDescent="0.25">
      <c r="B17" s="79"/>
      <c r="C17" s="80"/>
      <c r="E17" s="52"/>
      <c r="F17" s="81"/>
      <c r="G17" s="81"/>
      <c r="H17" s="82" t="str">
        <f t="shared" si="0"/>
        <v>--</v>
      </c>
      <c r="I17" s="100">
        <f>IF(Table63[[#This Row],[Column75]]="--",0,Table63[[#This Row],[Column2]]*Table63[[#This Row],[Column75]])</f>
        <v>0</v>
      </c>
      <c r="J17" s="84"/>
      <c r="K17" s="85">
        <f>Table63[[#This Row],[Column2]]*Table63[[#This Row],[Column7]]</f>
        <v>0</v>
      </c>
      <c r="L17" s="86" t="str">
        <f t="shared" si="1"/>
        <v>--</v>
      </c>
      <c r="M17" s="85">
        <f>IF(Table63[[#This Row],[Column7]]=0,0,Table63[[#This Row],[Column2]]*Table63[[#This Row],[Column8]])</f>
        <v>0</v>
      </c>
      <c r="N17" s="87" t="str">
        <f t="shared" si="2"/>
        <v>--</v>
      </c>
      <c r="O17" s="88" t="s">
        <v>70</v>
      </c>
      <c r="AW17" s="89">
        <f>IF(Table63[[#This Row],[Column9]]="--",0,Table63[[#This Row],[Column2]]*Table63[[#This Row],[Column9]])</f>
        <v>0</v>
      </c>
      <c r="AX17" s="90"/>
      <c r="AY17" s="91" t="str">
        <f>IF(AX17=0,"--",AX17*$AX$3*IF(Table63[[#This Row],[Column4]]&lt;4.1,1,2)/60/24)</f>
        <v>--</v>
      </c>
      <c r="AZ17" s="92">
        <f>IF(Table63[[#This Row],[Column29]]="--",0,Table63[[#This Row],[Column2]]*Table63[[#This Row],[Column29]])</f>
        <v>0</v>
      </c>
      <c r="BA17" s="93"/>
      <c r="BB17" s="91" t="str">
        <f t="shared" si="3"/>
        <v>--</v>
      </c>
      <c r="BC17" s="92">
        <f>IF(Table63[[#This Row],[Column32]]="--",0,Table63[[#This Row],[Column2]]*Table63[[#This Row],[Column32]])</f>
        <v>0</v>
      </c>
      <c r="BD17" s="93"/>
      <c r="BE17" s="91" t="str">
        <f t="shared" si="4"/>
        <v>--</v>
      </c>
      <c r="BF17" s="89">
        <f>IF(Table63[[#This Row],[Column35]]="--",0,Table63[[#This Row],[Column2]]*Table63[[#This Row],[Column35]])</f>
        <v>0</v>
      </c>
      <c r="BG17" s="93"/>
      <c r="BH17" s="91" t="str">
        <f t="shared" si="5"/>
        <v>--</v>
      </c>
      <c r="BI17" s="89">
        <f>IF(Table63[[#This Row],[Column38]]="--",0,Table63[[#This Row],[Column2]]*Table63[[#This Row],[Column38]])</f>
        <v>0</v>
      </c>
      <c r="BJ17" s="94"/>
      <c r="BK17" s="91" t="str">
        <f t="shared" si="7"/>
        <v>--</v>
      </c>
      <c r="BL17" s="92">
        <f>IF(Table63[[#This Row],[Column41]]="--",0,Table63[[#This Row],[Column2]]*Table63[[#This Row],[Column41]])</f>
        <v>0</v>
      </c>
      <c r="BM17" s="44"/>
      <c r="BN17" s="90"/>
      <c r="BO17" s="91" t="str">
        <f>IF(BN17=0,"--",(Table63[[#This Row],[Column84]]*$BN$4*(IF(J17&lt;0.5001,1,IF(J17&lt;2.0001,2,3)))+BN17/$BN$3)/60/24)</f>
        <v>--</v>
      </c>
      <c r="BP17" s="92">
        <f>IF(Table63[[#This Row],[Column44]]="--",0,Table63[[#This Row],[Column2]]*Table63[[#This Row],[Column44]])</f>
        <v>0</v>
      </c>
      <c r="BQ17" s="95" t="s">
        <v>70</v>
      </c>
      <c r="BR17" s="91" t="str">
        <f>IF(Table63[[#This Row],[Column43]]=0,"--",BO17*$BQ$3)</f>
        <v>--</v>
      </c>
      <c r="BS17" s="89">
        <f>IF(Table63[[#This Row],[Column45]]="--",0,Table63[[#This Row],[Column2]]*Table63[[#This Row],[Column45]])</f>
        <v>0</v>
      </c>
      <c r="BT17" s="95" t="s">
        <v>70</v>
      </c>
      <c r="BU17" s="91" t="str">
        <f>IF(Table63[[#This Row],[Column7]]+Table63[[#This Row],[Column43]]=0,"--",J17*$BT$4*$BT$5/(24*60)+IF(Table63[[#This Row],[Column43]]=0,0,BT12*Table63[[#This Row],[Column44]]))</f>
        <v>--</v>
      </c>
      <c r="BV17" s="92">
        <f>IF(Table63[[#This Row],[Column48]]="--",0,Table63[[#This Row],[Column2]]*Table63[[#This Row],[Column48]])</f>
        <v>0</v>
      </c>
      <c r="BW17" s="93" t="str">
        <f>IF(Table63[[#This Row],[Column37]]="","--",Table63[[#This Row],[Column37]])</f>
        <v>--</v>
      </c>
      <c r="BX17" s="96" t="str">
        <f>IF(Table63[[#This Row],[Column44]]="--","--",Table63[[#This Row],[Column84]]+1)</f>
        <v>--</v>
      </c>
      <c r="BY17" s="91" t="str">
        <f>IF(Table63[[#This Row],[Column37]]+Table63[[#This Row],[Column84]]+Table63[[#This Row],[Column43]]=0,"--",(BG17*$BW$3/60+IF(Table63[[#This Row],[Column43]]=0,0,(BM17+1)*$BW$4))/60/24)</f>
        <v>--</v>
      </c>
      <c r="BZ17" s="92">
        <f>IF(Table63[[#This Row],[Column73]]="--",0,Table63[[#This Row],[Column2]]*Table63[[#This Row],[Column73]])</f>
        <v>0</v>
      </c>
      <c r="CA17" s="97" t="str">
        <f t="shared" si="8"/>
        <v>--</v>
      </c>
      <c r="CC17" s="89">
        <f>IF(Table63[[#This Row],[Column49]]="--",0,Table63[[#This Row],[Column2]]*Table63[[#This Row],[Column49]])</f>
        <v>0</v>
      </c>
      <c r="CD17" s="101" t="s">
        <v>70</v>
      </c>
      <c r="CE17" s="91" t="str">
        <f t="shared" si="6"/>
        <v>--</v>
      </c>
      <c r="CF17" s="89">
        <f>IF(Table63[[#This Row],[Column88]]="--",0,Table63[[#This Row],[Column2]]*Table63[[#This Row],[Column88]])</f>
        <v>0</v>
      </c>
      <c r="CG17" s="96"/>
      <c r="CH17" s="96"/>
      <c r="CI17" s="96"/>
      <c r="CJ17" s="96"/>
      <c r="CK17" s="96"/>
      <c r="CL17" s="101" t="str">
        <f>IF(Table63[[#This Row],[Column78]]+Table63[[#This Row],[Column79]]+Table63[[#This Row],[Column81]]+Table63[[#This Row],[Column80]]+Table63[[#This Row],[Column82]]=0,"--",((Table63[[#This Row],[Column78]]*2+Table63[[#This Row],[Column79]]+Table63[[#This Row],[Column81]])*$CK$3+Table63[[#This Row],[Column80]]*$CK$4+Table63[[#This Row],[Column82]]*$CK$5)/60/24)</f>
        <v>--</v>
      </c>
      <c r="CM17" s="89">
        <f>IF(Table63[[#This Row],[Column52]]="--",0,Table63[[#This Row],[Column2]]*Table63[[#This Row],[Column52]])</f>
        <v>0</v>
      </c>
      <c r="CN17" s="96"/>
      <c r="CO17" s="91" t="str">
        <f>IF(Table63[[#This Row],[Column52]]="--","--",Table63[[#This Row],[Column77]]*$CN$3/60/24)</f>
        <v>--</v>
      </c>
      <c r="CP17" s="89">
        <f>IF(Table63[[#This Row],[Column51]]="--",0,Table63[[#This Row],[Column2]]*Table63[[#This Row],[Column51]])</f>
        <v>0</v>
      </c>
      <c r="CQ17" t="str">
        <f>IF(Table63[[#This Row],[Column85]]=0,"--",Table63[[#This Row],[Column85]]*Table63[[#This Row],[Column98]]*Table63[[#This Row],[Column97]]/1000000000)</f>
        <v>--</v>
      </c>
      <c r="CR17" s="53"/>
      <c r="CS17" s="53"/>
      <c r="CT17" s="53"/>
      <c r="CU17" s="91" t="str">
        <f t="shared" si="9"/>
        <v>--</v>
      </c>
      <c r="CV17" s="89">
        <f>IF(Table63[[#This Row],[Column53]]="--",0,Table63[[#This Row],[Column2]]*Table63[[#This Row],[Column53]])</f>
        <v>0</v>
      </c>
    </row>
    <row r="18" spans="2:100" x14ac:dyDescent="0.25">
      <c r="B18" s="79"/>
      <c r="C18" s="80"/>
      <c r="E18" s="52"/>
      <c r="F18" s="81"/>
      <c r="G18" s="81"/>
      <c r="H18" s="82" t="str">
        <f t="shared" si="0"/>
        <v>--</v>
      </c>
      <c r="I18" s="100">
        <f>IF(Table63[[#This Row],[Column75]]="--",0,Table63[[#This Row],[Column2]]*Table63[[#This Row],[Column75]])</f>
        <v>0</v>
      </c>
      <c r="J18" s="84"/>
      <c r="K18" s="85">
        <f>Table63[[#This Row],[Column2]]*Table63[[#This Row],[Column7]]</f>
        <v>0</v>
      </c>
      <c r="L18" s="86" t="str">
        <f t="shared" si="1"/>
        <v>--</v>
      </c>
      <c r="M18" s="85">
        <f>IF(Table63[[#This Row],[Column7]]=0,0,Table63[[#This Row],[Column2]]*Table63[[#This Row],[Column8]])</f>
        <v>0</v>
      </c>
      <c r="N18" s="87" t="str">
        <f t="shared" si="2"/>
        <v>--</v>
      </c>
      <c r="O18" s="88" t="s">
        <v>70</v>
      </c>
      <c r="AW18" s="89">
        <f>IF(Table63[[#This Row],[Column9]]="--",0,Table63[[#This Row],[Column2]]*Table63[[#This Row],[Column9]])</f>
        <v>0</v>
      </c>
      <c r="AX18" s="90"/>
      <c r="AY18" s="91" t="str">
        <f>IF(AX18=0,"--",AX18*$AX$3*IF(Table63[[#This Row],[Column4]]&lt;4.1,1,2)/60/24)</f>
        <v>--</v>
      </c>
      <c r="AZ18" s="92">
        <f>IF(Table63[[#This Row],[Column29]]="--",0,Table63[[#This Row],[Column2]]*Table63[[#This Row],[Column29]])</f>
        <v>0</v>
      </c>
      <c r="BA18" s="93"/>
      <c r="BB18" s="91" t="str">
        <f t="shared" si="3"/>
        <v>--</v>
      </c>
      <c r="BC18" s="92">
        <f>IF(Table63[[#This Row],[Column32]]="--",0,Table63[[#This Row],[Column2]]*Table63[[#This Row],[Column32]])</f>
        <v>0</v>
      </c>
      <c r="BD18" s="93"/>
      <c r="BE18" s="91" t="str">
        <f t="shared" si="4"/>
        <v>--</v>
      </c>
      <c r="BF18" s="89">
        <f>IF(Table63[[#This Row],[Column35]]="--",0,Table63[[#This Row],[Column2]]*Table63[[#This Row],[Column35]])</f>
        <v>0</v>
      </c>
      <c r="BG18" s="93"/>
      <c r="BH18" s="91" t="str">
        <f t="shared" si="5"/>
        <v>--</v>
      </c>
      <c r="BI18" s="89">
        <f>IF(Table63[[#This Row],[Column38]]="--",0,Table63[[#This Row],[Column2]]*Table63[[#This Row],[Column38]])</f>
        <v>0</v>
      </c>
      <c r="BJ18" s="94"/>
      <c r="BK18" s="91" t="str">
        <f t="shared" si="7"/>
        <v>--</v>
      </c>
      <c r="BL18" s="92">
        <f>IF(Table63[[#This Row],[Column41]]="--",0,Table63[[#This Row],[Column2]]*Table63[[#This Row],[Column41]])</f>
        <v>0</v>
      </c>
      <c r="BM18" s="44"/>
      <c r="BN18" s="90"/>
      <c r="BO18" s="91" t="str">
        <f>IF(BN18=0,"--",(Table63[[#This Row],[Column84]]*$BN$4*(IF(J18&lt;0.5001,1,IF(J18&lt;2.0001,2,3)))+BN18/$BN$3)/60/24)</f>
        <v>--</v>
      </c>
      <c r="BP18" s="92">
        <f>IF(Table63[[#This Row],[Column44]]="--",0,Table63[[#This Row],[Column2]]*Table63[[#This Row],[Column44]])</f>
        <v>0</v>
      </c>
      <c r="BQ18" s="95" t="s">
        <v>70</v>
      </c>
      <c r="BR18" s="91" t="str">
        <f>IF(Table63[[#This Row],[Column43]]=0,"--",BO18*$BQ$3)</f>
        <v>--</v>
      </c>
      <c r="BS18" s="89">
        <f>IF(Table63[[#This Row],[Column45]]="--",0,Table63[[#This Row],[Column2]]*Table63[[#This Row],[Column45]])</f>
        <v>0</v>
      </c>
      <c r="BT18" s="95" t="s">
        <v>70</v>
      </c>
      <c r="BU18" s="91" t="str">
        <f>IF(Table63[[#This Row],[Column7]]+Table63[[#This Row],[Column43]]=0,"--",J18*$BT$4*$BT$5/(24*60)+IF(Table63[[#This Row],[Column43]]=0,0,BT13*Table63[[#This Row],[Column44]]))</f>
        <v>--</v>
      </c>
      <c r="BV18" s="92">
        <f>IF(Table63[[#This Row],[Column48]]="--",0,Table63[[#This Row],[Column2]]*Table63[[#This Row],[Column48]])</f>
        <v>0</v>
      </c>
      <c r="BW18" s="93" t="str">
        <f>IF(Table63[[#This Row],[Column37]]="","--",Table63[[#This Row],[Column37]])</f>
        <v>--</v>
      </c>
      <c r="BX18" s="96" t="str">
        <f>IF(Table63[[#This Row],[Column44]]="--","--",Table63[[#This Row],[Column84]]+1)</f>
        <v>--</v>
      </c>
      <c r="BY18" s="91" t="str">
        <f>IF(Table63[[#This Row],[Column37]]+Table63[[#This Row],[Column84]]+Table63[[#This Row],[Column43]]=0,"--",(BG18*$BW$3/60+IF(Table63[[#This Row],[Column43]]=0,0,(BM18+1)*$BW$4))/60/24)</f>
        <v>--</v>
      </c>
      <c r="BZ18" s="92">
        <f>IF(Table63[[#This Row],[Column73]]="--",0,Table63[[#This Row],[Column2]]*Table63[[#This Row],[Column73]])</f>
        <v>0</v>
      </c>
      <c r="CA18" s="97" t="str">
        <f t="shared" si="8"/>
        <v>--</v>
      </c>
      <c r="CC18" s="89">
        <f>IF(Table63[[#This Row],[Column49]]="--",0,Table63[[#This Row],[Column2]]*Table63[[#This Row],[Column49]])</f>
        <v>0</v>
      </c>
      <c r="CD18" s="101" t="s">
        <v>70</v>
      </c>
      <c r="CE18" s="91" t="str">
        <f t="shared" si="6"/>
        <v>--</v>
      </c>
      <c r="CF18" s="89">
        <f>IF(Table63[[#This Row],[Column88]]="--",0,Table63[[#This Row],[Column2]]*Table63[[#This Row],[Column88]])</f>
        <v>0</v>
      </c>
      <c r="CG18" s="96"/>
      <c r="CH18" s="96"/>
      <c r="CI18" s="96"/>
      <c r="CJ18" s="96"/>
      <c r="CK18" s="96"/>
      <c r="CL18" s="101" t="str">
        <f>IF(Table63[[#This Row],[Column78]]+Table63[[#This Row],[Column79]]+Table63[[#This Row],[Column81]]+Table63[[#This Row],[Column80]]+Table63[[#This Row],[Column82]]=0,"--",((Table63[[#This Row],[Column78]]*2+Table63[[#This Row],[Column79]]+Table63[[#This Row],[Column81]])*$CK$3+Table63[[#This Row],[Column80]]*$CK$4+Table63[[#This Row],[Column82]]*$CK$5)/60/24)</f>
        <v>--</v>
      </c>
      <c r="CM18" s="89">
        <f>IF(Table63[[#This Row],[Column52]]="--",0,Table63[[#This Row],[Column2]]*Table63[[#This Row],[Column52]])</f>
        <v>0</v>
      </c>
      <c r="CN18" s="96"/>
      <c r="CO18" s="91" t="str">
        <f>IF(Table63[[#This Row],[Column52]]="--","--",Table63[[#This Row],[Column77]]*$CN$3/60/24)</f>
        <v>--</v>
      </c>
      <c r="CP18" s="89">
        <f>IF(Table63[[#This Row],[Column51]]="--",0,Table63[[#This Row],[Column2]]*Table63[[#This Row],[Column51]])</f>
        <v>0</v>
      </c>
      <c r="CQ18" t="str">
        <f>IF(Table63[[#This Row],[Column85]]=0,"--",Table63[[#This Row],[Column85]]*Table63[[#This Row],[Column98]]*Table63[[#This Row],[Column97]]/1000000000)</f>
        <v>--</v>
      </c>
      <c r="CR18" s="53"/>
      <c r="CS18" s="53"/>
      <c r="CT18" s="53"/>
      <c r="CU18" s="91" t="str">
        <f t="shared" si="9"/>
        <v>--</v>
      </c>
      <c r="CV18" s="89">
        <f>IF(Table63[[#This Row],[Column53]]="--",0,Table63[[#This Row],[Column2]]*Table63[[#This Row],[Column53]])</f>
        <v>0</v>
      </c>
    </row>
    <row r="19" spans="2:100" x14ac:dyDescent="0.25">
      <c r="B19" s="79"/>
      <c r="C19" s="80"/>
      <c r="E19" s="52"/>
      <c r="F19" s="81"/>
      <c r="G19" s="81"/>
      <c r="H19" s="82" t="str">
        <f t="shared" si="0"/>
        <v>--</v>
      </c>
      <c r="I19" s="100">
        <f>IF(Table63[[#This Row],[Column75]]="--",0,Table63[[#This Row],[Column2]]*Table63[[#This Row],[Column75]])</f>
        <v>0</v>
      </c>
      <c r="J19" s="84"/>
      <c r="K19" s="85">
        <f>Table63[[#This Row],[Column2]]*Table63[[#This Row],[Column7]]</f>
        <v>0</v>
      </c>
      <c r="L19" s="86" t="str">
        <f t="shared" si="1"/>
        <v>--</v>
      </c>
      <c r="M19" s="85">
        <f>IF(Table63[[#This Row],[Column7]]=0,0,Table63[[#This Row],[Column2]]*Table63[[#This Row],[Column8]])</f>
        <v>0</v>
      </c>
      <c r="N19" s="87" t="str">
        <f t="shared" si="2"/>
        <v>--</v>
      </c>
      <c r="O19" s="88" t="s">
        <v>70</v>
      </c>
      <c r="AW19" s="89">
        <f>IF(Table63[[#This Row],[Column9]]="--",0,Table63[[#This Row],[Column2]]*Table63[[#This Row],[Column9]])</f>
        <v>0</v>
      </c>
      <c r="AX19" s="90"/>
      <c r="AY19" s="91" t="str">
        <f>IF(AX19=0,"--",AX19*$AX$3*IF(Table63[[#This Row],[Column4]]&lt;4.1,1,2)/60/24)</f>
        <v>--</v>
      </c>
      <c r="AZ19" s="92">
        <f>IF(Table63[[#This Row],[Column29]]="--",0,Table63[[#This Row],[Column2]]*Table63[[#This Row],[Column29]])</f>
        <v>0</v>
      </c>
      <c r="BA19" s="93"/>
      <c r="BB19" s="91" t="str">
        <f t="shared" si="3"/>
        <v>--</v>
      </c>
      <c r="BC19" s="92">
        <f>IF(Table63[[#This Row],[Column32]]="--",0,Table63[[#This Row],[Column2]]*Table63[[#This Row],[Column32]])</f>
        <v>0</v>
      </c>
      <c r="BD19" s="93"/>
      <c r="BE19" s="91" t="str">
        <f t="shared" si="4"/>
        <v>--</v>
      </c>
      <c r="BF19" s="89">
        <f>IF(Table63[[#This Row],[Column35]]="--",0,Table63[[#This Row],[Column2]]*Table63[[#This Row],[Column35]])</f>
        <v>0</v>
      </c>
      <c r="BG19" s="93"/>
      <c r="BH19" s="91" t="str">
        <f t="shared" si="5"/>
        <v>--</v>
      </c>
      <c r="BI19" s="89">
        <f>IF(Table63[[#This Row],[Column38]]="--",0,Table63[[#This Row],[Column2]]*Table63[[#This Row],[Column38]])</f>
        <v>0</v>
      </c>
      <c r="BJ19" s="94"/>
      <c r="BK19" s="91" t="str">
        <f t="shared" si="7"/>
        <v>--</v>
      </c>
      <c r="BL19" s="92">
        <f>IF(Table63[[#This Row],[Column41]]="--",0,Table63[[#This Row],[Column2]]*Table63[[#This Row],[Column41]])</f>
        <v>0</v>
      </c>
      <c r="BM19" s="44"/>
      <c r="BN19" s="90"/>
      <c r="BO19" s="91" t="str">
        <f>IF(BN19=0,"--",(Table63[[#This Row],[Column84]]*$BN$4*(IF(J19&lt;0.5001,1,IF(J19&lt;2.0001,2,3)))+BN19/$BN$3)/60/24)</f>
        <v>--</v>
      </c>
      <c r="BP19" s="92">
        <f>IF(Table63[[#This Row],[Column44]]="--",0,Table63[[#This Row],[Column2]]*Table63[[#This Row],[Column44]])</f>
        <v>0</v>
      </c>
      <c r="BQ19" s="95" t="s">
        <v>70</v>
      </c>
      <c r="BR19" s="91" t="str">
        <f>IF(Table63[[#This Row],[Column43]]=0,"--",BO19*$BQ$3)</f>
        <v>--</v>
      </c>
      <c r="BS19" s="89">
        <f>IF(Table63[[#This Row],[Column45]]="--",0,Table63[[#This Row],[Column2]]*Table63[[#This Row],[Column45]])</f>
        <v>0</v>
      </c>
      <c r="BT19" s="95" t="s">
        <v>70</v>
      </c>
      <c r="BU19" s="91" t="str">
        <f>IF(Table63[[#This Row],[Column7]]+Table63[[#This Row],[Column43]]=0,"--",J19*$BT$4*$BT$5/(24*60)+IF(Table63[[#This Row],[Column43]]=0,0,BT14*Table63[[#This Row],[Column44]]))</f>
        <v>--</v>
      </c>
      <c r="BV19" s="92">
        <f>IF(Table63[[#This Row],[Column48]]="--",0,Table63[[#This Row],[Column2]]*Table63[[#This Row],[Column48]])</f>
        <v>0</v>
      </c>
      <c r="BW19" s="93" t="str">
        <f>IF(Table63[[#This Row],[Column37]]="","--",Table63[[#This Row],[Column37]])</f>
        <v>--</v>
      </c>
      <c r="BX19" s="96" t="str">
        <f>IF(Table63[[#This Row],[Column44]]="--","--",Table63[[#This Row],[Column84]]+1)</f>
        <v>--</v>
      </c>
      <c r="BY19" s="91" t="str">
        <f>IF(Table63[[#This Row],[Column37]]+Table63[[#This Row],[Column84]]+Table63[[#This Row],[Column43]]=0,"--",(BG19*$BW$3/60+IF(Table63[[#This Row],[Column43]]=0,0,(BM19+1)*$BW$4))/60/24)</f>
        <v>--</v>
      </c>
      <c r="BZ19" s="92">
        <f>IF(Table63[[#This Row],[Column73]]="--",0,Table63[[#This Row],[Column2]]*Table63[[#This Row],[Column73]])</f>
        <v>0</v>
      </c>
      <c r="CA19" s="97" t="str">
        <f t="shared" si="8"/>
        <v>--</v>
      </c>
      <c r="CC19" s="89">
        <f>IF(Table63[[#This Row],[Column49]]="--",0,Table63[[#This Row],[Column2]]*Table63[[#This Row],[Column49]])</f>
        <v>0</v>
      </c>
      <c r="CD19" s="101" t="s">
        <v>70</v>
      </c>
      <c r="CE19" s="91" t="str">
        <f t="shared" si="6"/>
        <v>--</v>
      </c>
      <c r="CF19" s="89">
        <f>IF(Table63[[#This Row],[Column88]]="--",0,Table63[[#This Row],[Column2]]*Table63[[#This Row],[Column88]])</f>
        <v>0</v>
      </c>
      <c r="CG19" s="96"/>
      <c r="CH19" s="96"/>
      <c r="CI19" s="96"/>
      <c r="CJ19" s="96"/>
      <c r="CK19" s="96"/>
      <c r="CL19" s="101" t="str">
        <f>IF(Table63[[#This Row],[Column78]]+Table63[[#This Row],[Column79]]+Table63[[#This Row],[Column81]]+Table63[[#This Row],[Column80]]+Table63[[#This Row],[Column82]]=0,"--",((Table63[[#This Row],[Column78]]*2+Table63[[#This Row],[Column79]]+Table63[[#This Row],[Column81]])*$CK$3+Table63[[#This Row],[Column80]]*$CK$4+Table63[[#This Row],[Column82]]*$CK$5)/60/24)</f>
        <v>--</v>
      </c>
      <c r="CM19" s="89">
        <f>IF(Table63[[#This Row],[Column52]]="--",0,Table63[[#This Row],[Column2]]*Table63[[#This Row],[Column52]])</f>
        <v>0</v>
      </c>
      <c r="CN19" s="96"/>
      <c r="CO19" s="91" t="str">
        <f>IF(Table63[[#This Row],[Column52]]="--","--",Table63[[#This Row],[Column77]]*$CN$3/60/24)</f>
        <v>--</v>
      </c>
      <c r="CP19" s="89">
        <f>IF(Table63[[#This Row],[Column51]]="--",0,Table63[[#This Row],[Column2]]*Table63[[#This Row],[Column51]])</f>
        <v>0</v>
      </c>
      <c r="CQ19" t="str">
        <f>IF(Table63[[#This Row],[Column85]]=0,"--",Table63[[#This Row],[Column85]]*Table63[[#This Row],[Column98]]*Table63[[#This Row],[Column97]]/1000000000)</f>
        <v>--</v>
      </c>
      <c r="CR19" s="53"/>
      <c r="CS19" s="53"/>
      <c r="CT19" s="53"/>
      <c r="CU19" s="91" t="str">
        <f t="shared" si="9"/>
        <v>--</v>
      </c>
      <c r="CV19" s="89">
        <f>IF(Table63[[#This Row],[Column53]]="--",0,Table63[[#This Row],[Column2]]*Table63[[#This Row],[Column53]])</f>
        <v>0</v>
      </c>
    </row>
    <row r="20" spans="2:100" x14ac:dyDescent="0.25">
      <c r="B20" s="79"/>
      <c r="C20" s="80"/>
      <c r="E20" s="52"/>
      <c r="F20" s="81"/>
      <c r="G20" s="81"/>
      <c r="H20" s="82" t="str">
        <f t="shared" si="0"/>
        <v>--</v>
      </c>
      <c r="I20" s="100">
        <f>IF(Table63[[#This Row],[Column75]]="--",0,Table63[[#This Row],[Column2]]*Table63[[#This Row],[Column75]])</f>
        <v>0</v>
      </c>
      <c r="J20" s="84"/>
      <c r="K20" s="85">
        <f>Table63[[#This Row],[Column2]]*Table63[[#This Row],[Column7]]</f>
        <v>0</v>
      </c>
      <c r="L20" s="86" t="str">
        <f t="shared" si="1"/>
        <v>--</v>
      </c>
      <c r="M20" s="85">
        <f>IF(Table63[[#This Row],[Column7]]=0,0,Table63[[#This Row],[Column2]]*Table63[[#This Row],[Column8]])</f>
        <v>0</v>
      </c>
      <c r="N20" s="87" t="str">
        <f t="shared" si="2"/>
        <v>--</v>
      </c>
      <c r="O20" s="88" t="s">
        <v>70</v>
      </c>
      <c r="AW20" s="89">
        <f>IF(Table63[[#This Row],[Column9]]="--",0,Table63[[#This Row],[Column2]]*Table63[[#This Row],[Column9]])</f>
        <v>0</v>
      </c>
      <c r="AX20" s="90"/>
      <c r="AY20" s="91" t="str">
        <f>IF(AX20=0,"--",AX20*$AX$3*IF(Table63[[#This Row],[Column4]]&lt;4.1,1,2)/60/24)</f>
        <v>--</v>
      </c>
      <c r="AZ20" s="92">
        <f>IF(Table63[[#This Row],[Column29]]="--",0,Table63[[#This Row],[Column2]]*Table63[[#This Row],[Column29]])</f>
        <v>0</v>
      </c>
      <c r="BA20" s="93"/>
      <c r="BB20" s="91" t="str">
        <f t="shared" si="3"/>
        <v>--</v>
      </c>
      <c r="BC20" s="92">
        <f>IF(Table63[[#This Row],[Column32]]="--",0,Table63[[#This Row],[Column2]]*Table63[[#This Row],[Column32]])</f>
        <v>0</v>
      </c>
      <c r="BD20" s="93"/>
      <c r="BE20" s="91" t="str">
        <f t="shared" si="4"/>
        <v>--</v>
      </c>
      <c r="BF20" s="89">
        <f>IF(Table63[[#This Row],[Column35]]="--",0,Table63[[#This Row],[Column2]]*Table63[[#This Row],[Column35]])</f>
        <v>0</v>
      </c>
      <c r="BG20" s="93"/>
      <c r="BH20" s="91" t="str">
        <f t="shared" si="5"/>
        <v>--</v>
      </c>
      <c r="BI20" s="89">
        <f>IF(Table63[[#This Row],[Column38]]="--",0,Table63[[#This Row],[Column2]]*Table63[[#This Row],[Column38]])</f>
        <v>0</v>
      </c>
      <c r="BJ20" s="94"/>
      <c r="BK20" s="91" t="str">
        <f t="shared" si="7"/>
        <v>--</v>
      </c>
      <c r="BL20" s="92">
        <f>IF(Table63[[#This Row],[Column41]]="--",0,Table63[[#This Row],[Column2]]*Table63[[#This Row],[Column41]])</f>
        <v>0</v>
      </c>
      <c r="BM20" s="44"/>
      <c r="BN20" s="90"/>
      <c r="BO20" s="91" t="str">
        <f>IF(BN20=0,"--",(Table63[[#This Row],[Column84]]*$BN$4*(IF(J20&lt;0.5001,1,IF(J20&lt;2.0001,2,3)))+BN20/$BN$3)/60/24)</f>
        <v>--</v>
      </c>
      <c r="BP20" s="92">
        <f>IF(Table63[[#This Row],[Column44]]="--",0,Table63[[#This Row],[Column2]]*Table63[[#This Row],[Column44]])</f>
        <v>0</v>
      </c>
      <c r="BQ20" s="95" t="s">
        <v>70</v>
      </c>
      <c r="BR20" s="91" t="str">
        <f>IF(Table63[[#This Row],[Column43]]=0,"--",BO20*$BQ$3)</f>
        <v>--</v>
      </c>
      <c r="BS20" s="89">
        <f>IF(Table63[[#This Row],[Column45]]="--",0,Table63[[#This Row],[Column2]]*Table63[[#This Row],[Column45]])</f>
        <v>0</v>
      </c>
      <c r="BT20" s="95" t="s">
        <v>70</v>
      </c>
      <c r="BU20" s="91" t="str">
        <f>IF(Table63[[#This Row],[Column7]]+Table63[[#This Row],[Column43]]=0,"--",J20*$BT$4*$BT$5/(24*60)+IF(Table63[[#This Row],[Column43]]=0,0,BT15*Table63[[#This Row],[Column44]]))</f>
        <v>--</v>
      </c>
      <c r="BV20" s="92">
        <f>IF(Table63[[#This Row],[Column48]]="--",0,Table63[[#This Row],[Column2]]*Table63[[#This Row],[Column48]])</f>
        <v>0</v>
      </c>
      <c r="BW20" s="93" t="str">
        <f>IF(Table63[[#This Row],[Column37]]="","--",Table63[[#This Row],[Column37]])</f>
        <v>--</v>
      </c>
      <c r="BX20" s="96" t="str">
        <f>IF(Table63[[#This Row],[Column44]]="--","--",Table63[[#This Row],[Column84]]+1)</f>
        <v>--</v>
      </c>
      <c r="BY20" s="91" t="str">
        <f>IF(Table63[[#This Row],[Column37]]+Table63[[#This Row],[Column84]]+Table63[[#This Row],[Column43]]=0,"--",(BG20*$BW$3/60+IF(Table63[[#This Row],[Column43]]=0,0,(BM20+1)*$BW$4))/60/24)</f>
        <v>--</v>
      </c>
      <c r="BZ20" s="92">
        <f>IF(Table63[[#This Row],[Column73]]="--",0,Table63[[#This Row],[Column2]]*Table63[[#This Row],[Column73]])</f>
        <v>0</v>
      </c>
      <c r="CA20" s="97" t="str">
        <f t="shared" si="8"/>
        <v>--</v>
      </c>
      <c r="CC20" s="89">
        <f>IF(Table63[[#This Row],[Column49]]="--",0,Table63[[#This Row],[Column2]]*Table63[[#This Row],[Column49]])</f>
        <v>0</v>
      </c>
      <c r="CD20" s="101" t="s">
        <v>70</v>
      </c>
      <c r="CE20" s="91" t="str">
        <f t="shared" si="6"/>
        <v>--</v>
      </c>
      <c r="CF20" s="89">
        <f>IF(Table63[[#This Row],[Column88]]="--",0,Table63[[#This Row],[Column2]]*Table63[[#This Row],[Column88]])</f>
        <v>0</v>
      </c>
      <c r="CG20" s="96"/>
      <c r="CH20" s="96"/>
      <c r="CI20" s="96"/>
      <c r="CJ20" s="96"/>
      <c r="CK20" s="96"/>
      <c r="CL20" s="101" t="str">
        <f>IF(Table63[[#This Row],[Column78]]+Table63[[#This Row],[Column79]]+Table63[[#This Row],[Column81]]+Table63[[#This Row],[Column80]]+Table63[[#This Row],[Column82]]=0,"--",((Table63[[#This Row],[Column78]]*2+Table63[[#This Row],[Column79]]+Table63[[#This Row],[Column81]])*$CK$3+Table63[[#This Row],[Column80]]*$CK$4+Table63[[#This Row],[Column82]]*$CK$5)/60/24)</f>
        <v>--</v>
      </c>
      <c r="CM20" s="89">
        <f>IF(Table63[[#This Row],[Column52]]="--",0,Table63[[#This Row],[Column2]]*Table63[[#This Row],[Column52]])</f>
        <v>0</v>
      </c>
      <c r="CN20" s="96"/>
      <c r="CO20" s="91" t="str">
        <f>IF(Table63[[#This Row],[Column52]]="--","--",Table63[[#This Row],[Column77]]*$CN$3/60/24)</f>
        <v>--</v>
      </c>
      <c r="CP20" s="89">
        <f>IF(Table63[[#This Row],[Column51]]="--",0,Table63[[#This Row],[Column2]]*Table63[[#This Row],[Column51]])</f>
        <v>0</v>
      </c>
      <c r="CQ20" t="str">
        <f>IF(Table63[[#This Row],[Column85]]=0,"--",Table63[[#This Row],[Column85]]*Table63[[#This Row],[Column98]]*Table63[[#This Row],[Column97]]/1000000000)</f>
        <v>--</v>
      </c>
      <c r="CR20" s="53"/>
      <c r="CS20" s="53"/>
      <c r="CT20" s="53"/>
      <c r="CU20" s="91" t="str">
        <f t="shared" si="9"/>
        <v>--</v>
      </c>
      <c r="CV20" s="89">
        <f>IF(Table63[[#This Row],[Column53]]="--",0,Table63[[#This Row],[Column2]]*Table63[[#This Row],[Column53]])</f>
        <v>0</v>
      </c>
    </row>
    <row r="21" spans="2:100" x14ac:dyDescent="0.25">
      <c r="B21" s="79"/>
      <c r="C21" s="80"/>
      <c r="E21" s="52"/>
      <c r="F21" s="81"/>
      <c r="G21" s="81"/>
      <c r="H21" s="82" t="str">
        <f t="shared" si="0"/>
        <v>--</v>
      </c>
      <c r="I21" s="100">
        <f>IF(Table63[[#This Row],[Column75]]="--",0,Table63[[#This Row],[Column2]]*Table63[[#This Row],[Column75]])</f>
        <v>0</v>
      </c>
      <c r="J21" s="84"/>
      <c r="K21" s="85">
        <f>Table63[[#This Row],[Column2]]*Table63[[#This Row],[Column7]]</f>
        <v>0</v>
      </c>
      <c r="L21" s="86" t="str">
        <f t="shared" si="1"/>
        <v>--</v>
      </c>
      <c r="M21" s="85">
        <f>IF(Table63[[#This Row],[Column7]]=0,0,Table63[[#This Row],[Column2]]*Table63[[#This Row],[Column8]])</f>
        <v>0</v>
      </c>
      <c r="N21" s="87" t="str">
        <f t="shared" si="2"/>
        <v>--</v>
      </c>
      <c r="O21" s="88" t="s">
        <v>70</v>
      </c>
      <c r="AW21" s="89">
        <f>IF(Table63[[#This Row],[Column9]]="--",0,Table63[[#This Row],[Column2]]*Table63[[#This Row],[Column9]])</f>
        <v>0</v>
      </c>
      <c r="AX21" s="90"/>
      <c r="AY21" s="91" t="str">
        <f>IF(AX21=0,"--",AX21*$AX$3*IF(Table63[[#This Row],[Column4]]&lt;4.1,1,2)/60/24)</f>
        <v>--</v>
      </c>
      <c r="AZ21" s="92">
        <f>IF(Table63[[#This Row],[Column29]]="--",0,Table63[[#This Row],[Column2]]*Table63[[#This Row],[Column29]])</f>
        <v>0</v>
      </c>
      <c r="BA21" s="93"/>
      <c r="BB21" s="91" t="str">
        <f t="shared" si="3"/>
        <v>--</v>
      </c>
      <c r="BC21" s="92">
        <f>IF(Table63[[#This Row],[Column32]]="--",0,Table63[[#This Row],[Column2]]*Table63[[#This Row],[Column32]])</f>
        <v>0</v>
      </c>
      <c r="BD21" s="93"/>
      <c r="BE21" s="91" t="str">
        <f t="shared" si="4"/>
        <v>--</v>
      </c>
      <c r="BF21" s="89">
        <f>IF(Table63[[#This Row],[Column35]]="--",0,Table63[[#This Row],[Column2]]*Table63[[#This Row],[Column35]])</f>
        <v>0</v>
      </c>
      <c r="BG21" s="93"/>
      <c r="BH21" s="91" t="str">
        <f t="shared" si="5"/>
        <v>--</v>
      </c>
      <c r="BI21" s="89">
        <f>IF(Table63[[#This Row],[Column38]]="--",0,Table63[[#This Row],[Column2]]*Table63[[#This Row],[Column38]])</f>
        <v>0</v>
      </c>
      <c r="BJ21" s="94"/>
      <c r="BK21" s="91" t="str">
        <f t="shared" si="7"/>
        <v>--</v>
      </c>
      <c r="BL21" s="92">
        <f>IF(Table63[[#This Row],[Column41]]="--",0,Table63[[#This Row],[Column2]]*Table63[[#This Row],[Column41]])</f>
        <v>0</v>
      </c>
      <c r="BM21" s="44"/>
      <c r="BN21" s="90"/>
      <c r="BO21" s="91" t="str">
        <f>IF(BN21=0,"--",(Table63[[#This Row],[Column84]]*$BN$4*(IF(J21&lt;0.5001,1,IF(J21&lt;2.0001,2,3)))+BN21/$BN$3)/60/24)</f>
        <v>--</v>
      </c>
      <c r="BP21" s="92">
        <f>IF(Table63[[#This Row],[Column44]]="--",0,Table63[[#This Row],[Column2]]*Table63[[#This Row],[Column44]])</f>
        <v>0</v>
      </c>
      <c r="BQ21" s="95" t="s">
        <v>70</v>
      </c>
      <c r="BR21" s="91" t="str">
        <f>IF(Table63[[#This Row],[Column43]]=0,"--",BO21*$BQ$3)</f>
        <v>--</v>
      </c>
      <c r="BS21" s="89">
        <f>IF(Table63[[#This Row],[Column45]]="--",0,Table63[[#This Row],[Column2]]*Table63[[#This Row],[Column45]])</f>
        <v>0</v>
      </c>
      <c r="BT21" s="95" t="s">
        <v>70</v>
      </c>
      <c r="BU21" s="91" t="str">
        <f>IF(Table63[[#This Row],[Column7]]+Table63[[#This Row],[Column43]]=0,"--",J21*$BT$4*$BT$5/(24*60)+IF(Table63[[#This Row],[Column43]]=0,0,BT16*Table63[[#This Row],[Column44]]))</f>
        <v>--</v>
      </c>
      <c r="BV21" s="92">
        <f>IF(Table63[[#This Row],[Column48]]="--",0,Table63[[#This Row],[Column2]]*Table63[[#This Row],[Column48]])</f>
        <v>0</v>
      </c>
      <c r="BW21" s="93" t="str">
        <f>IF(Table63[[#This Row],[Column37]]="","--",Table63[[#This Row],[Column37]])</f>
        <v>--</v>
      </c>
      <c r="BX21" s="96" t="str">
        <f>IF(Table63[[#This Row],[Column44]]="--","--",Table63[[#This Row],[Column84]]+1)</f>
        <v>--</v>
      </c>
      <c r="BY21" s="91" t="str">
        <f>IF(Table63[[#This Row],[Column37]]+Table63[[#This Row],[Column84]]+Table63[[#This Row],[Column43]]=0,"--",(BG21*$BW$3/60+IF(Table63[[#This Row],[Column43]]=0,0,(BM21+1)*$BW$4))/60/24)</f>
        <v>--</v>
      </c>
      <c r="BZ21" s="92">
        <f>IF(Table63[[#This Row],[Column73]]="--",0,Table63[[#This Row],[Column2]]*Table63[[#This Row],[Column73]])</f>
        <v>0</v>
      </c>
      <c r="CA21" s="97" t="str">
        <f t="shared" si="8"/>
        <v>--</v>
      </c>
      <c r="CC21" s="89">
        <f>IF(Table63[[#This Row],[Column49]]="--",0,Table63[[#This Row],[Column2]]*Table63[[#This Row],[Column49]])</f>
        <v>0</v>
      </c>
      <c r="CD21" s="101" t="s">
        <v>70</v>
      </c>
      <c r="CE21" s="91" t="str">
        <f t="shared" si="6"/>
        <v>--</v>
      </c>
      <c r="CF21" s="89">
        <f>IF(Table63[[#This Row],[Column88]]="--",0,Table63[[#This Row],[Column2]]*Table63[[#This Row],[Column88]])</f>
        <v>0</v>
      </c>
      <c r="CG21" s="96"/>
      <c r="CH21" s="96"/>
      <c r="CI21" s="96"/>
      <c r="CJ21" s="96"/>
      <c r="CK21" s="96"/>
      <c r="CL21" s="101" t="str">
        <f>IF(Table63[[#This Row],[Column78]]+Table63[[#This Row],[Column79]]+Table63[[#This Row],[Column81]]+Table63[[#This Row],[Column80]]+Table63[[#This Row],[Column82]]=0,"--",((Table63[[#This Row],[Column78]]*2+Table63[[#This Row],[Column79]]+Table63[[#This Row],[Column81]])*$CK$3+Table63[[#This Row],[Column80]]*$CK$4+Table63[[#This Row],[Column82]]*$CK$5)/60/24)</f>
        <v>--</v>
      </c>
      <c r="CM21" s="89">
        <f>IF(Table63[[#This Row],[Column52]]="--",0,Table63[[#This Row],[Column2]]*Table63[[#This Row],[Column52]])</f>
        <v>0</v>
      </c>
      <c r="CN21" s="96"/>
      <c r="CO21" s="91" t="str">
        <f>IF(Table63[[#This Row],[Column52]]="--","--",Table63[[#This Row],[Column77]]*$CN$3/60/24)</f>
        <v>--</v>
      </c>
      <c r="CP21" s="89">
        <f>IF(Table63[[#This Row],[Column51]]="--",0,Table63[[#This Row],[Column2]]*Table63[[#This Row],[Column51]])</f>
        <v>0</v>
      </c>
      <c r="CQ21" t="str">
        <f>IF(Table63[[#This Row],[Column85]]=0,"--",Table63[[#This Row],[Column85]]*Table63[[#This Row],[Column98]]*Table63[[#This Row],[Column97]]/1000000000)</f>
        <v>--</v>
      </c>
      <c r="CR21" s="53"/>
      <c r="CS21" s="53"/>
      <c r="CT21" s="53"/>
      <c r="CU21" s="91" t="str">
        <f t="shared" si="9"/>
        <v>--</v>
      </c>
      <c r="CV21" s="89">
        <f>IF(Table63[[#This Row],[Column53]]="--",0,Table63[[#This Row],[Column2]]*Table63[[#This Row],[Column53]])</f>
        <v>0</v>
      </c>
    </row>
    <row r="22" spans="2:100" x14ac:dyDescent="0.25">
      <c r="B22" s="79"/>
      <c r="C22" s="80"/>
      <c r="E22" s="52"/>
      <c r="F22" s="81"/>
      <c r="G22" s="81"/>
      <c r="H22" s="82" t="str">
        <f t="shared" si="0"/>
        <v>--</v>
      </c>
      <c r="I22" s="100">
        <f>IF(Table63[[#This Row],[Column75]]="--",0,Table63[[#This Row],[Column2]]*Table63[[#This Row],[Column75]])</f>
        <v>0</v>
      </c>
      <c r="J22" s="84"/>
      <c r="K22" s="85">
        <f>Table63[[#This Row],[Column2]]*Table63[[#This Row],[Column7]]</f>
        <v>0</v>
      </c>
      <c r="L22" s="86" t="str">
        <f t="shared" si="1"/>
        <v>--</v>
      </c>
      <c r="M22" s="85">
        <f>IF(Table63[[#This Row],[Column7]]=0,0,Table63[[#This Row],[Column2]]*Table63[[#This Row],[Column8]])</f>
        <v>0</v>
      </c>
      <c r="N22" s="87" t="str">
        <f t="shared" si="2"/>
        <v>--</v>
      </c>
      <c r="O22" s="88" t="s">
        <v>70</v>
      </c>
      <c r="AW22" s="89">
        <f>IF(Table63[[#This Row],[Column9]]="--",0,Table63[[#This Row],[Column2]]*Table63[[#This Row],[Column9]])</f>
        <v>0</v>
      </c>
      <c r="AX22" s="90"/>
      <c r="AY22" s="91" t="str">
        <f>IF(AX22=0,"--",AX22*$AX$3*IF(Table63[[#This Row],[Column4]]&lt;4.1,1,2)/60/24)</f>
        <v>--</v>
      </c>
      <c r="AZ22" s="92">
        <f>IF(Table63[[#This Row],[Column29]]="--",0,Table63[[#This Row],[Column2]]*Table63[[#This Row],[Column29]])</f>
        <v>0</v>
      </c>
      <c r="BA22" s="93"/>
      <c r="BB22" s="91" t="str">
        <f t="shared" si="3"/>
        <v>--</v>
      </c>
      <c r="BC22" s="92">
        <f>IF(Table63[[#This Row],[Column32]]="--",0,Table63[[#This Row],[Column2]]*Table63[[#This Row],[Column32]])</f>
        <v>0</v>
      </c>
      <c r="BD22" s="93"/>
      <c r="BE22" s="91" t="str">
        <f t="shared" si="4"/>
        <v>--</v>
      </c>
      <c r="BF22" s="89">
        <f>IF(Table63[[#This Row],[Column35]]="--",0,Table63[[#This Row],[Column2]]*Table63[[#This Row],[Column35]])</f>
        <v>0</v>
      </c>
      <c r="BG22" s="93"/>
      <c r="BH22" s="91" t="str">
        <f t="shared" si="5"/>
        <v>--</v>
      </c>
      <c r="BI22" s="89">
        <f>IF(Table63[[#This Row],[Column38]]="--",0,Table63[[#This Row],[Column2]]*Table63[[#This Row],[Column38]])</f>
        <v>0</v>
      </c>
      <c r="BJ22" s="94"/>
      <c r="BK22" s="91" t="str">
        <f t="shared" si="7"/>
        <v>--</v>
      </c>
      <c r="BL22" s="92">
        <f>IF(Table63[[#This Row],[Column41]]="--",0,Table63[[#This Row],[Column2]]*Table63[[#This Row],[Column41]])</f>
        <v>0</v>
      </c>
      <c r="BM22" s="44"/>
      <c r="BN22" s="90"/>
      <c r="BO22" s="91" t="str">
        <f>IF(BN22=0,"--",(Table63[[#This Row],[Column84]]*$BN$4*(IF(J22&lt;0.5001,1,IF(J22&lt;2.0001,2,3)))+BN22/$BN$3)/60/24)</f>
        <v>--</v>
      </c>
      <c r="BP22" s="92">
        <f>IF(Table63[[#This Row],[Column44]]="--",0,Table63[[#This Row],[Column2]]*Table63[[#This Row],[Column44]])</f>
        <v>0</v>
      </c>
      <c r="BQ22" s="95" t="s">
        <v>70</v>
      </c>
      <c r="BR22" s="91" t="str">
        <f>IF(Table63[[#This Row],[Column43]]=0,"--",BO22*$BQ$3)</f>
        <v>--</v>
      </c>
      <c r="BS22" s="89">
        <f>IF(Table63[[#This Row],[Column45]]="--",0,Table63[[#This Row],[Column2]]*Table63[[#This Row],[Column45]])</f>
        <v>0</v>
      </c>
      <c r="BT22" s="95" t="s">
        <v>70</v>
      </c>
      <c r="BU22" s="91" t="str">
        <f>IF(Table63[[#This Row],[Column7]]+Table63[[#This Row],[Column43]]=0,"--",J22*$BT$4*$BT$5/(24*60)+IF(Table63[[#This Row],[Column43]]=0,0,BT17*Table63[[#This Row],[Column44]]))</f>
        <v>--</v>
      </c>
      <c r="BV22" s="92">
        <f>IF(Table63[[#This Row],[Column48]]="--",0,Table63[[#This Row],[Column2]]*Table63[[#This Row],[Column48]])</f>
        <v>0</v>
      </c>
      <c r="BW22" s="93" t="str">
        <f>IF(Table63[[#This Row],[Column37]]="","--",Table63[[#This Row],[Column37]])</f>
        <v>--</v>
      </c>
      <c r="BX22" s="96" t="str">
        <f>IF(Table63[[#This Row],[Column44]]="--","--",Table63[[#This Row],[Column84]]+1)</f>
        <v>--</v>
      </c>
      <c r="BY22" s="91" t="str">
        <f>IF(Table63[[#This Row],[Column37]]+Table63[[#This Row],[Column84]]+Table63[[#This Row],[Column43]]=0,"--",(BG22*$BW$3/60+IF(Table63[[#This Row],[Column43]]=0,0,(BM22+1)*$BW$4))/60/24)</f>
        <v>--</v>
      </c>
      <c r="BZ22" s="92">
        <f>IF(Table63[[#This Row],[Column73]]="--",0,Table63[[#This Row],[Column2]]*Table63[[#This Row],[Column73]])</f>
        <v>0</v>
      </c>
      <c r="CA22" s="97" t="str">
        <f t="shared" si="8"/>
        <v>--</v>
      </c>
      <c r="CC22" s="89">
        <f>IF(Table63[[#This Row],[Column49]]="--",0,Table63[[#This Row],[Column2]]*Table63[[#This Row],[Column49]])</f>
        <v>0</v>
      </c>
      <c r="CD22" s="101" t="s">
        <v>70</v>
      </c>
      <c r="CE22" s="91" t="str">
        <f t="shared" si="6"/>
        <v>--</v>
      </c>
      <c r="CF22" s="89">
        <f>IF(Table63[[#This Row],[Column88]]="--",0,Table63[[#This Row],[Column2]]*Table63[[#This Row],[Column88]])</f>
        <v>0</v>
      </c>
      <c r="CG22" s="96"/>
      <c r="CH22" s="96"/>
      <c r="CI22" s="96"/>
      <c r="CJ22" s="96"/>
      <c r="CK22" s="96"/>
      <c r="CL22" s="101" t="str">
        <f>IF(Table63[[#This Row],[Column78]]+Table63[[#This Row],[Column79]]+Table63[[#This Row],[Column81]]+Table63[[#This Row],[Column80]]+Table63[[#This Row],[Column82]]=0,"--",((Table63[[#This Row],[Column78]]*2+Table63[[#This Row],[Column79]]+Table63[[#This Row],[Column81]])*$CK$3+Table63[[#This Row],[Column80]]*$CK$4+Table63[[#This Row],[Column82]]*$CK$5)/60/24)</f>
        <v>--</v>
      </c>
      <c r="CM22" s="89">
        <f>IF(Table63[[#This Row],[Column52]]="--",0,Table63[[#This Row],[Column2]]*Table63[[#This Row],[Column52]])</f>
        <v>0</v>
      </c>
      <c r="CN22" s="96"/>
      <c r="CO22" s="91" t="str">
        <f>IF(Table63[[#This Row],[Column52]]="--","--",Table63[[#This Row],[Column77]]*$CN$3/60/24)</f>
        <v>--</v>
      </c>
      <c r="CP22" s="89">
        <f>IF(Table63[[#This Row],[Column51]]="--",0,Table63[[#This Row],[Column2]]*Table63[[#This Row],[Column51]])</f>
        <v>0</v>
      </c>
      <c r="CQ22" t="str">
        <f>IF(Table63[[#This Row],[Column85]]=0,"--",Table63[[#This Row],[Column85]]*Table63[[#This Row],[Column98]]*Table63[[#This Row],[Column97]]/1000000000)</f>
        <v>--</v>
      </c>
      <c r="CR22" s="53"/>
      <c r="CS22" s="53"/>
      <c r="CT22" s="53"/>
      <c r="CU22" s="91" t="str">
        <f t="shared" si="9"/>
        <v>--</v>
      </c>
      <c r="CV22" s="89">
        <f>IF(Table63[[#This Row],[Column53]]="--",0,Table63[[#This Row],[Column2]]*Table63[[#This Row],[Column53]])</f>
        <v>0</v>
      </c>
    </row>
    <row r="23" spans="2:100" x14ac:dyDescent="0.25">
      <c r="B23" s="79"/>
      <c r="C23" s="80"/>
      <c r="E23" s="52"/>
      <c r="F23" s="81"/>
      <c r="G23" s="81"/>
      <c r="H23" s="82" t="str">
        <f t="shared" si="0"/>
        <v>--</v>
      </c>
      <c r="I23" s="100">
        <f>IF(Table63[[#This Row],[Column75]]="--",0,Table63[[#This Row],[Column2]]*Table63[[#This Row],[Column75]])</f>
        <v>0</v>
      </c>
      <c r="J23" s="84"/>
      <c r="K23" s="85">
        <f>Table63[[#This Row],[Column2]]*Table63[[#This Row],[Column7]]</f>
        <v>0</v>
      </c>
      <c r="L23" s="86" t="str">
        <f t="shared" si="1"/>
        <v>--</v>
      </c>
      <c r="M23" s="85">
        <f>IF(Table63[[#This Row],[Column7]]=0,0,Table63[[#This Row],[Column2]]*Table63[[#This Row],[Column8]])</f>
        <v>0</v>
      </c>
      <c r="N23" s="87" t="str">
        <f t="shared" si="2"/>
        <v>--</v>
      </c>
      <c r="O23" s="88" t="s">
        <v>70</v>
      </c>
      <c r="AW23" s="89">
        <f>IF(Table63[[#This Row],[Column9]]="--",0,Table63[[#This Row],[Column2]]*Table63[[#This Row],[Column9]])</f>
        <v>0</v>
      </c>
      <c r="AX23" s="90"/>
      <c r="AY23" s="91" t="str">
        <f>IF(AX23=0,"--",AX23*$AX$3*IF(Table63[[#This Row],[Column4]]&lt;4.1,1,2)/60/24)</f>
        <v>--</v>
      </c>
      <c r="AZ23" s="92">
        <f>IF(Table63[[#This Row],[Column29]]="--",0,Table63[[#This Row],[Column2]]*Table63[[#This Row],[Column29]])</f>
        <v>0</v>
      </c>
      <c r="BA23" s="93"/>
      <c r="BB23" s="91" t="str">
        <f t="shared" si="3"/>
        <v>--</v>
      </c>
      <c r="BC23" s="92">
        <f>IF(Table63[[#This Row],[Column32]]="--",0,Table63[[#This Row],[Column2]]*Table63[[#This Row],[Column32]])</f>
        <v>0</v>
      </c>
      <c r="BD23" s="93"/>
      <c r="BE23" s="91" t="str">
        <f t="shared" si="4"/>
        <v>--</v>
      </c>
      <c r="BF23" s="89">
        <f>IF(Table63[[#This Row],[Column35]]="--",0,Table63[[#This Row],[Column2]]*Table63[[#This Row],[Column35]])</f>
        <v>0</v>
      </c>
      <c r="BG23" s="93"/>
      <c r="BH23" s="91" t="str">
        <f t="shared" si="5"/>
        <v>--</v>
      </c>
      <c r="BI23" s="89">
        <f>IF(Table63[[#This Row],[Column38]]="--",0,Table63[[#This Row],[Column2]]*Table63[[#This Row],[Column38]])</f>
        <v>0</v>
      </c>
      <c r="BJ23" s="94"/>
      <c r="BK23" s="91" t="str">
        <f t="shared" si="7"/>
        <v>--</v>
      </c>
      <c r="BL23" s="92">
        <f>IF(Table63[[#This Row],[Column41]]="--",0,Table63[[#This Row],[Column2]]*Table63[[#This Row],[Column41]])</f>
        <v>0</v>
      </c>
      <c r="BM23" s="44"/>
      <c r="BN23" s="90"/>
      <c r="BO23" s="91" t="str">
        <f>IF(BN23=0,"--",(Table63[[#This Row],[Column84]]*$BN$4*(IF(J23&lt;0.5001,1,IF(J23&lt;2.0001,2,3)))+BN23/$BN$3)/60/24)</f>
        <v>--</v>
      </c>
      <c r="BP23" s="92">
        <f>IF(Table63[[#This Row],[Column44]]="--",0,Table63[[#This Row],[Column2]]*Table63[[#This Row],[Column44]])</f>
        <v>0</v>
      </c>
      <c r="BQ23" s="95" t="s">
        <v>70</v>
      </c>
      <c r="BR23" s="91" t="str">
        <f>IF(Table63[[#This Row],[Column43]]=0,"--",BO23*$BQ$3)</f>
        <v>--</v>
      </c>
      <c r="BS23" s="89">
        <f>IF(Table63[[#This Row],[Column45]]="--",0,Table63[[#This Row],[Column2]]*Table63[[#This Row],[Column45]])</f>
        <v>0</v>
      </c>
      <c r="BT23" s="95" t="s">
        <v>70</v>
      </c>
      <c r="BU23" s="91" t="str">
        <f>IF(Table63[[#This Row],[Column7]]+Table63[[#This Row],[Column43]]=0,"--",J23*$BT$4*$BT$5/(24*60)+IF(Table63[[#This Row],[Column43]]=0,0,BT18*Table63[[#This Row],[Column44]]))</f>
        <v>--</v>
      </c>
      <c r="BV23" s="92">
        <f>IF(Table63[[#This Row],[Column48]]="--",0,Table63[[#This Row],[Column2]]*Table63[[#This Row],[Column48]])</f>
        <v>0</v>
      </c>
      <c r="BW23" s="93" t="str">
        <f>IF(Table63[[#This Row],[Column37]]="","--",Table63[[#This Row],[Column37]])</f>
        <v>--</v>
      </c>
      <c r="BX23" s="96" t="str">
        <f>IF(Table63[[#This Row],[Column44]]="--","--",Table63[[#This Row],[Column84]]+1)</f>
        <v>--</v>
      </c>
      <c r="BY23" s="91" t="str">
        <f>IF(Table63[[#This Row],[Column37]]+Table63[[#This Row],[Column84]]+Table63[[#This Row],[Column43]]=0,"--",(BG23*$BW$3/60+IF(Table63[[#This Row],[Column43]]=0,0,(BM23+1)*$BW$4))/60/24)</f>
        <v>--</v>
      </c>
      <c r="BZ23" s="92">
        <f>IF(Table63[[#This Row],[Column73]]="--",0,Table63[[#This Row],[Column2]]*Table63[[#This Row],[Column73]])</f>
        <v>0</v>
      </c>
      <c r="CA23" s="97" t="str">
        <f t="shared" si="8"/>
        <v>--</v>
      </c>
      <c r="CC23" s="89">
        <f>IF(Table63[[#This Row],[Column49]]="--",0,Table63[[#This Row],[Column2]]*Table63[[#This Row],[Column49]])</f>
        <v>0</v>
      </c>
      <c r="CD23" s="101" t="s">
        <v>70</v>
      </c>
      <c r="CE23" s="91" t="str">
        <f t="shared" si="6"/>
        <v>--</v>
      </c>
      <c r="CF23" s="89">
        <f>IF(Table63[[#This Row],[Column88]]="--",0,Table63[[#This Row],[Column2]]*Table63[[#This Row],[Column88]])</f>
        <v>0</v>
      </c>
      <c r="CG23" s="96"/>
      <c r="CH23" s="96"/>
      <c r="CI23" s="96"/>
      <c r="CJ23" s="96"/>
      <c r="CK23" s="96"/>
      <c r="CL23" s="101" t="str">
        <f>IF(Table63[[#This Row],[Column78]]+Table63[[#This Row],[Column79]]+Table63[[#This Row],[Column81]]+Table63[[#This Row],[Column80]]+Table63[[#This Row],[Column82]]=0,"--",((Table63[[#This Row],[Column78]]*2+Table63[[#This Row],[Column79]]+Table63[[#This Row],[Column81]])*$CK$3+Table63[[#This Row],[Column80]]*$CK$4+Table63[[#This Row],[Column82]]*$CK$5)/60/24)</f>
        <v>--</v>
      </c>
      <c r="CM23" s="89">
        <f>IF(Table63[[#This Row],[Column52]]="--",0,Table63[[#This Row],[Column2]]*Table63[[#This Row],[Column52]])</f>
        <v>0</v>
      </c>
      <c r="CN23" s="96"/>
      <c r="CO23" s="91" t="str">
        <f>IF(Table63[[#This Row],[Column52]]="--","--",Table63[[#This Row],[Column77]]*$CN$3/60/24)</f>
        <v>--</v>
      </c>
      <c r="CP23" s="89">
        <f>IF(Table63[[#This Row],[Column51]]="--",0,Table63[[#This Row],[Column2]]*Table63[[#This Row],[Column51]])</f>
        <v>0</v>
      </c>
      <c r="CQ23" t="str">
        <f>IF(Table63[[#This Row],[Column85]]=0,"--",Table63[[#This Row],[Column85]]*Table63[[#This Row],[Column98]]*Table63[[#This Row],[Column97]]/1000000000)</f>
        <v>--</v>
      </c>
      <c r="CR23" s="53"/>
      <c r="CS23" s="53"/>
      <c r="CT23" s="53"/>
      <c r="CU23" s="91" t="str">
        <f t="shared" si="9"/>
        <v>--</v>
      </c>
      <c r="CV23" s="89">
        <f>IF(Table63[[#This Row],[Column53]]="--",0,Table63[[#This Row],[Column2]]*Table63[[#This Row],[Column53]])</f>
        <v>0</v>
      </c>
    </row>
    <row r="24" spans="2:100" x14ac:dyDescent="0.25">
      <c r="B24" s="79"/>
      <c r="C24" s="80"/>
      <c r="E24" s="52"/>
      <c r="F24" s="81"/>
      <c r="G24" s="81"/>
      <c r="H24" s="82" t="str">
        <f t="shared" si="0"/>
        <v>--</v>
      </c>
      <c r="I24" s="100">
        <f>IF(Table63[[#This Row],[Column75]]="--",0,Table63[[#This Row],[Column2]]*Table63[[#This Row],[Column75]])</f>
        <v>0</v>
      </c>
      <c r="J24" s="84"/>
      <c r="K24" s="85">
        <f>Table63[[#This Row],[Column2]]*Table63[[#This Row],[Column7]]</f>
        <v>0</v>
      </c>
      <c r="L24" s="86" t="str">
        <f t="shared" si="1"/>
        <v>--</v>
      </c>
      <c r="M24" s="85">
        <f>IF(Table63[[#This Row],[Column7]]=0,0,Table63[[#This Row],[Column2]]*Table63[[#This Row],[Column8]])</f>
        <v>0</v>
      </c>
      <c r="N24" s="87" t="str">
        <f t="shared" si="2"/>
        <v>--</v>
      </c>
      <c r="O24" s="88" t="s">
        <v>70</v>
      </c>
      <c r="AW24" s="89">
        <f>IF(Table63[[#This Row],[Column9]]="--",0,Table63[[#This Row],[Column2]]*Table63[[#This Row],[Column9]])</f>
        <v>0</v>
      </c>
      <c r="AX24" s="90"/>
      <c r="AY24" s="91" t="str">
        <f>IF(AX24=0,"--",AX24*$AX$3*IF(Table63[[#This Row],[Column4]]&lt;4.1,1,2)/60/24)</f>
        <v>--</v>
      </c>
      <c r="AZ24" s="92">
        <f>IF(Table63[[#This Row],[Column29]]="--",0,Table63[[#This Row],[Column2]]*Table63[[#This Row],[Column29]])</f>
        <v>0</v>
      </c>
      <c r="BA24" s="93"/>
      <c r="BB24" s="91" t="str">
        <f t="shared" si="3"/>
        <v>--</v>
      </c>
      <c r="BC24" s="92">
        <f>IF(Table63[[#This Row],[Column32]]="--",0,Table63[[#This Row],[Column2]]*Table63[[#This Row],[Column32]])</f>
        <v>0</v>
      </c>
      <c r="BD24" s="93"/>
      <c r="BE24" s="91" t="str">
        <f t="shared" si="4"/>
        <v>--</v>
      </c>
      <c r="BF24" s="89">
        <f>IF(Table63[[#This Row],[Column35]]="--",0,Table63[[#This Row],[Column2]]*Table63[[#This Row],[Column35]])</f>
        <v>0</v>
      </c>
      <c r="BG24" s="93"/>
      <c r="BH24" s="91" t="str">
        <f t="shared" si="5"/>
        <v>--</v>
      </c>
      <c r="BI24" s="89">
        <f>IF(Table63[[#This Row],[Column38]]="--",0,Table63[[#This Row],[Column2]]*Table63[[#This Row],[Column38]])</f>
        <v>0</v>
      </c>
      <c r="BJ24" s="94"/>
      <c r="BK24" s="91" t="str">
        <f t="shared" si="7"/>
        <v>--</v>
      </c>
      <c r="BL24" s="92">
        <f>IF(Table63[[#This Row],[Column41]]="--",0,Table63[[#This Row],[Column2]]*Table63[[#This Row],[Column41]])</f>
        <v>0</v>
      </c>
      <c r="BM24" s="44"/>
      <c r="BN24" s="90"/>
      <c r="BO24" s="91" t="str">
        <f>IF(BN24=0,"--",(Table63[[#This Row],[Column84]]*$BN$4*(IF(J24&lt;0.5001,1,IF(J24&lt;2.0001,2,3)))+BN24/$BN$3)/60/24)</f>
        <v>--</v>
      </c>
      <c r="BP24" s="92">
        <f>IF(Table63[[#This Row],[Column44]]="--",0,Table63[[#This Row],[Column2]]*Table63[[#This Row],[Column44]])</f>
        <v>0</v>
      </c>
      <c r="BQ24" s="95" t="s">
        <v>70</v>
      </c>
      <c r="BR24" s="91" t="str">
        <f>IF(Table63[[#This Row],[Column43]]=0,"--",BO24*$BQ$3)</f>
        <v>--</v>
      </c>
      <c r="BS24" s="89">
        <f>IF(Table63[[#This Row],[Column45]]="--",0,Table63[[#This Row],[Column2]]*Table63[[#This Row],[Column45]])</f>
        <v>0</v>
      </c>
      <c r="BT24" s="95" t="s">
        <v>70</v>
      </c>
      <c r="BU24" s="91" t="str">
        <f>IF(Table63[[#This Row],[Column7]]+Table63[[#This Row],[Column43]]=0,"--",J24*$BT$4*$BT$5/(24*60)+IF(Table63[[#This Row],[Column43]]=0,0,BT19*Table63[[#This Row],[Column44]]))</f>
        <v>--</v>
      </c>
      <c r="BV24" s="92">
        <f>IF(Table63[[#This Row],[Column48]]="--",0,Table63[[#This Row],[Column2]]*Table63[[#This Row],[Column48]])</f>
        <v>0</v>
      </c>
      <c r="BW24" s="93" t="str">
        <f>IF(Table63[[#This Row],[Column37]]="","--",Table63[[#This Row],[Column37]])</f>
        <v>--</v>
      </c>
      <c r="BX24" s="96" t="str">
        <f>IF(Table63[[#This Row],[Column44]]="--","--",Table63[[#This Row],[Column84]]+1)</f>
        <v>--</v>
      </c>
      <c r="BY24" s="91" t="str">
        <f>IF(Table63[[#This Row],[Column37]]+Table63[[#This Row],[Column84]]+Table63[[#This Row],[Column43]]=0,"--",(BG24*$BW$3/60+IF(Table63[[#This Row],[Column43]]=0,0,(BM24+1)*$BW$4))/60/24)</f>
        <v>--</v>
      </c>
      <c r="BZ24" s="92">
        <f>IF(Table63[[#This Row],[Column73]]="--",0,Table63[[#This Row],[Column2]]*Table63[[#This Row],[Column73]])</f>
        <v>0</v>
      </c>
      <c r="CA24" s="97" t="str">
        <f t="shared" si="8"/>
        <v>--</v>
      </c>
      <c r="CC24" s="89">
        <f>IF(Table63[[#This Row],[Column49]]="--",0,Table63[[#This Row],[Column2]]*Table63[[#This Row],[Column49]])</f>
        <v>0</v>
      </c>
      <c r="CD24" s="101" t="s">
        <v>70</v>
      </c>
      <c r="CE24" s="91" t="str">
        <f t="shared" si="6"/>
        <v>--</v>
      </c>
      <c r="CF24" s="89">
        <f>IF(Table63[[#This Row],[Column88]]="--",0,Table63[[#This Row],[Column2]]*Table63[[#This Row],[Column88]])</f>
        <v>0</v>
      </c>
      <c r="CG24" s="96"/>
      <c r="CH24" s="96"/>
      <c r="CI24" s="96"/>
      <c r="CJ24" s="96"/>
      <c r="CK24" s="96"/>
      <c r="CL24" s="101" t="str">
        <f>IF(Table63[[#This Row],[Column78]]+Table63[[#This Row],[Column79]]+Table63[[#This Row],[Column81]]+Table63[[#This Row],[Column80]]+Table63[[#This Row],[Column82]]=0,"--",((Table63[[#This Row],[Column78]]*2+Table63[[#This Row],[Column79]]+Table63[[#This Row],[Column81]])*$CK$3+Table63[[#This Row],[Column80]]*$CK$4+Table63[[#This Row],[Column82]]*$CK$5)/60/24)</f>
        <v>--</v>
      </c>
      <c r="CM24" s="89">
        <f>IF(Table63[[#This Row],[Column52]]="--",0,Table63[[#This Row],[Column2]]*Table63[[#This Row],[Column52]])</f>
        <v>0</v>
      </c>
      <c r="CN24" s="96"/>
      <c r="CO24" s="91" t="str">
        <f>IF(Table63[[#This Row],[Column52]]="--","--",Table63[[#This Row],[Column77]]*$CN$3/60/24)</f>
        <v>--</v>
      </c>
      <c r="CP24" s="89">
        <f>IF(Table63[[#This Row],[Column51]]="--",0,Table63[[#This Row],[Column2]]*Table63[[#This Row],[Column51]])</f>
        <v>0</v>
      </c>
      <c r="CQ24" t="str">
        <f>IF(Table63[[#This Row],[Column85]]=0,"--",Table63[[#This Row],[Column85]]*Table63[[#This Row],[Column98]]*Table63[[#This Row],[Column97]]/1000000000)</f>
        <v>--</v>
      </c>
      <c r="CR24" s="53"/>
      <c r="CS24" s="53"/>
      <c r="CT24" s="53"/>
      <c r="CU24" s="91" t="str">
        <f t="shared" si="9"/>
        <v>--</v>
      </c>
      <c r="CV24" s="89">
        <f>IF(Table63[[#This Row],[Column53]]="--",0,Table63[[#This Row],[Column2]]*Table63[[#This Row],[Column53]])</f>
        <v>0</v>
      </c>
    </row>
    <row r="25" spans="2:100" x14ac:dyDescent="0.25">
      <c r="B25" s="79"/>
      <c r="C25" s="80"/>
      <c r="E25" s="52"/>
      <c r="F25" s="81"/>
      <c r="G25" s="81"/>
      <c r="H25" s="82" t="str">
        <f t="shared" si="0"/>
        <v>--</v>
      </c>
      <c r="I25" s="100">
        <f>IF(Table63[[#This Row],[Column75]]="--",0,Table63[[#This Row],[Column2]]*Table63[[#This Row],[Column75]])</f>
        <v>0</v>
      </c>
      <c r="J25" s="84"/>
      <c r="K25" s="85">
        <f>Table63[[#This Row],[Column2]]*Table63[[#This Row],[Column7]]</f>
        <v>0</v>
      </c>
      <c r="L25" s="86" t="str">
        <f t="shared" si="1"/>
        <v>--</v>
      </c>
      <c r="M25" s="85">
        <f>IF(Table63[[#This Row],[Column7]]=0,0,Table63[[#This Row],[Column2]]*Table63[[#This Row],[Column8]])</f>
        <v>0</v>
      </c>
      <c r="N25" s="87" t="str">
        <f t="shared" si="2"/>
        <v>--</v>
      </c>
      <c r="O25" s="88" t="s">
        <v>70</v>
      </c>
      <c r="AW25" s="89">
        <f>IF(Table63[[#This Row],[Column9]]="--",0,Table63[[#This Row],[Column2]]*Table63[[#This Row],[Column9]])</f>
        <v>0</v>
      </c>
      <c r="AX25" s="90"/>
      <c r="AY25" s="91" t="str">
        <f>IF(AX25=0,"--",AX25*$AX$3*IF(Table63[[#This Row],[Column4]]&lt;4.1,1,2)/60/24)</f>
        <v>--</v>
      </c>
      <c r="AZ25" s="92">
        <f>IF(Table63[[#This Row],[Column29]]="--",0,Table63[[#This Row],[Column2]]*Table63[[#This Row],[Column29]])</f>
        <v>0</v>
      </c>
      <c r="BA25" s="93"/>
      <c r="BB25" s="91" t="str">
        <f t="shared" si="3"/>
        <v>--</v>
      </c>
      <c r="BC25" s="92">
        <f>IF(Table63[[#This Row],[Column32]]="--",0,Table63[[#This Row],[Column2]]*Table63[[#This Row],[Column32]])</f>
        <v>0</v>
      </c>
      <c r="BD25" s="93"/>
      <c r="BE25" s="91" t="str">
        <f t="shared" si="4"/>
        <v>--</v>
      </c>
      <c r="BF25" s="89">
        <f>IF(Table63[[#This Row],[Column35]]="--",0,Table63[[#This Row],[Column2]]*Table63[[#This Row],[Column35]])</f>
        <v>0</v>
      </c>
      <c r="BG25" s="93"/>
      <c r="BH25" s="91" t="str">
        <f t="shared" si="5"/>
        <v>--</v>
      </c>
      <c r="BI25" s="89">
        <f>IF(Table63[[#This Row],[Column38]]="--",0,Table63[[#This Row],[Column2]]*Table63[[#This Row],[Column38]])</f>
        <v>0</v>
      </c>
      <c r="BJ25" s="94"/>
      <c r="BK25" s="91" t="str">
        <f t="shared" si="7"/>
        <v>--</v>
      </c>
      <c r="BL25" s="92">
        <f>IF(Table63[[#This Row],[Column41]]="--",0,Table63[[#This Row],[Column2]]*Table63[[#This Row],[Column41]])</f>
        <v>0</v>
      </c>
      <c r="BM25" s="44"/>
      <c r="BN25" s="90"/>
      <c r="BO25" s="91" t="str">
        <f>IF(BN25=0,"--",(Table63[[#This Row],[Column84]]*$BN$4*(IF(J25&lt;0.5001,1,IF(J25&lt;2.0001,2,3)))+BN25/$BN$3)/60/24)</f>
        <v>--</v>
      </c>
      <c r="BP25" s="92">
        <f>IF(Table63[[#This Row],[Column44]]="--",0,Table63[[#This Row],[Column2]]*Table63[[#This Row],[Column44]])</f>
        <v>0</v>
      </c>
      <c r="BQ25" s="95" t="s">
        <v>70</v>
      </c>
      <c r="BR25" s="91" t="str">
        <f>IF(Table63[[#This Row],[Column43]]=0,"--",BO25*$BQ$3)</f>
        <v>--</v>
      </c>
      <c r="BS25" s="89">
        <f>IF(Table63[[#This Row],[Column45]]="--",0,Table63[[#This Row],[Column2]]*Table63[[#This Row],[Column45]])</f>
        <v>0</v>
      </c>
      <c r="BT25" s="95" t="s">
        <v>70</v>
      </c>
      <c r="BU25" s="91" t="str">
        <f>IF(Table63[[#This Row],[Column7]]+Table63[[#This Row],[Column43]]=0,"--",J25*$BT$4*$BT$5/(24*60)+IF(Table63[[#This Row],[Column43]]=0,0,BT20*Table63[[#This Row],[Column44]]))</f>
        <v>--</v>
      </c>
      <c r="BV25" s="92">
        <f>IF(Table63[[#This Row],[Column48]]="--",0,Table63[[#This Row],[Column2]]*Table63[[#This Row],[Column48]])</f>
        <v>0</v>
      </c>
      <c r="BW25" s="93" t="str">
        <f>IF(Table63[[#This Row],[Column37]]="","--",Table63[[#This Row],[Column37]])</f>
        <v>--</v>
      </c>
      <c r="BX25" s="96" t="str">
        <f>IF(Table63[[#This Row],[Column44]]="--","--",Table63[[#This Row],[Column84]]+1)</f>
        <v>--</v>
      </c>
      <c r="BY25" s="91" t="str">
        <f>IF(Table63[[#This Row],[Column37]]+Table63[[#This Row],[Column84]]+Table63[[#This Row],[Column43]]=0,"--",(BG25*$BW$3/60+IF(Table63[[#This Row],[Column43]]=0,0,(BM25+1)*$BW$4))/60/24)</f>
        <v>--</v>
      </c>
      <c r="BZ25" s="92">
        <f>IF(Table63[[#This Row],[Column73]]="--",0,Table63[[#This Row],[Column2]]*Table63[[#This Row],[Column73]])</f>
        <v>0</v>
      </c>
      <c r="CA25" s="97" t="str">
        <f t="shared" si="8"/>
        <v>--</v>
      </c>
      <c r="CC25" s="89">
        <f>IF(Table63[[#This Row],[Column49]]="--",0,Table63[[#This Row],[Column2]]*Table63[[#This Row],[Column49]])</f>
        <v>0</v>
      </c>
      <c r="CD25" s="101" t="s">
        <v>70</v>
      </c>
      <c r="CE25" s="91" t="str">
        <f t="shared" si="6"/>
        <v>--</v>
      </c>
      <c r="CF25" s="89">
        <f>IF(Table63[[#This Row],[Column88]]="--",0,Table63[[#This Row],[Column2]]*Table63[[#This Row],[Column88]])</f>
        <v>0</v>
      </c>
      <c r="CG25" s="96"/>
      <c r="CH25" s="96"/>
      <c r="CI25" s="96"/>
      <c r="CJ25" s="96"/>
      <c r="CK25" s="96"/>
      <c r="CL25" s="101" t="str">
        <f>IF(Table63[[#This Row],[Column78]]+Table63[[#This Row],[Column79]]+Table63[[#This Row],[Column81]]+Table63[[#This Row],[Column80]]+Table63[[#This Row],[Column82]]=0,"--",((Table63[[#This Row],[Column78]]*2+Table63[[#This Row],[Column79]]+Table63[[#This Row],[Column81]])*$CK$3+Table63[[#This Row],[Column80]]*$CK$4+Table63[[#This Row],[Column82]]*$CK$5)/60/24)</f>
        <v>--</v>
      </c>
      <c r="CM25" s="89">
        <f>IF(Table63[[#This Row],[Column52]]="--",0,Table63[[#This Row],[Column2]]*Table63[[#This Row],[Column52]])</f>
        <v>0</v>
      </c>
      <c r="CN25" s="96"/>
      <c r="CO25" s="91" t="str">
        <f>IF(Table63[[#This Row],[Column52]]="--","--",Table63[[#This Row],[Column77]]*$CN$3/60/24)</f>
        <v>--</v>
      </c>
      <c r="CP25" s="89">
        <f>IF(Table63[[#This Row],[Column51]]="--",0,Table63[[#This Row],[Column2]]*Table63[[#This Row],[Column51]])</f>
        <v>0</v>
      </c>
      <c r="CQ25" t="str">
        <f>IF(Table63[[#This Row],[Column85]]=0,"--",Table63[[#This Row],[Column85]]*Table63[[#This Row],[Column98]]*Table63[[#This Row],[Column97]]/1000000000)</f>
        <v>--</v>
      </c>
      <c r="CR25" s="53"/>
      <c r="CS25" s="53"/>
      <c r="CT25" s="53"/>
      <c r="CU25" s="91" t="str">
        <f t="shared" si="9"/>
        <v>--</v>
      </c>
      <c r="CV25" s="89">
        <f>IF(Table63[[#This Row],[Column53]]="--",0,Table63[[#This Row],[Column2]]*Table63[[#This Row],[Column53]])</f>
        <v>0</v>
      </c>
    </row>
    <row r="26" spans="2:100" x14ac:dyDescent="0.25">
      <c r="B26" s="79"/>
      <c r="C26" s="80"/>
      <c r="E26" s="52"/>
      <c r="F26" s="81"/>
      <c r="G26" s="81"/>
      <c r="H26" s="82" t="str">
        <f t="shared" si="0"/>
        <v>--</v>
      </c>
      <c r="I26" s="100">
        <f>IF(Table63[[#This Row],[Column75]]="--",0,Table63[[#This Row],[Column2]]*Table63[[#This Row],[Column75]])</f>
        <v>0</v>
      </c>
      <c r="J26" s="84"/>
      <c r="K26" s="85">
        <f>Table63[[#This Row],[Column2]]*Table63[[#This Row],[Column7]]</f>
        <v>0</v>
      </c>
      <c r="L26" s="86" t="str">
        <f t="shared" si="1"/>
        <v>--</v>
      </c>
      <c r="M26" s="85">
        <f>IF(Table63[[#This Row],[Column7]]=0,0,Table63[[#This Row],[Column2]]*Table63[[#This Row],[Column8]])</f>
        <v>0</v>
      </c>
      <c r="N26" s="87" t="str">
        <f t="shared" si="2"/>
        <v>--</v>
      </c>
      <c r="O26" s="88" t="s">
        <v>70</v>
      </c>
      <c r="AW26" s="89">
        <f>IF(Table63[[#This Row],[Column9]]="--",0,Table63[[#This Row],[Column2]]*Table63[[#This Row],[Column9]])</f>
        <v>0</v>
      </c>
      <c r="AX26" s="90"/>
      <c r="AY26" s="91" t="str">
        <f>IF(AX26=0,"--",AX26*$AX$3*IF(Table63[[#This Row],[Column4]]&lt;4.1,1,2)/60/24)</f>
        <v>--</v>
      </c>
      <c r="AZ26" s="92">
        <f>IF(Table63[[#This Row],[Column29]]="--",0,Table63[[#This Row],[Column2]]*Table63[[#This Row],[Column29]])</f>
        <v>0</v>
      </c>
      <c r="BA26" s="93"/>
      <c r="BB26" s="91" t="str">
        <f t="shared" si="3"/>
        <v>--</v>
      </c>
      <c r="BC26" s="92">
        <f>IF(Table63[[#This Row],[Column32]]="--",0,Table63[[#This Row],[Column2]]*Table63[[#This Row],[Column32]])</f>
        <v>0</v>
      </c>
      <c r="BD26" s="93"/>
      <c r="BE26" s="91" t="str">
        <f t="shared" si="4"/>
        <v>--</v>
      </c>
      <c r="BF26" s="89">
        <f>IF(Table63[[#This Row],[Column35]]="--",0,Table63[[#This Row],[Column2]]*Table63[[#This Row],[Column35]])</f>
        <v>0</v>
      </c>
      <c r="BG26" s="93"/>
      <c r="BH26" s="91" t="str">
        <f t="shared" si="5"/>
        <v>--</v>
      </c>
      <c r="BI26" s="89">
        <f>IF(Table63[[#This Row],[Column38]]="--",0,Table63[[#This Row],[Column2]]*Table63[[#This Row],[Column38]])</f>
        <v>0</v>
      </c>
      <c r="BJ26" s="94"/>
      <c r="BK26" s="91" t="str">
        <f t="shared" si="7"/>
        <v>--</v>
      </c>
      <c r="BL26" s="92">
        <f>IF(Table63[[#This Row],[Column41]]="--",0,Table63[[#This Row],[Column2]]*Table63[[#This Row],[Column41]])</f>
        <v>0</v>
      </c>
      <c r="BM26" s="44"/>
      <c r="BN26" s="90"/>
      <c r="BO26" s="91" t="str">
        <f>IF(BN26=0,"--",(Table63[[#This Row],[Column84]]*$BN$4*(IF(J26&lt;0.5001,1,IF(J26&lt;2.0001,2,3)))+BN26/$BN$3)/60/24)</f>
        <v>--</v>
      </c>
      <c r="BP26" s="92">
        <f>IF(Table63[[#This Row],[Column44]]="--",0,Table63[[#This Row],[Column2]]*Table63[[#This Row],[Column44]])</f>
        <v>0</v>
      </c>
      <c r="BQ26" s="95" t="s">
        <v>70</v>
      </c>
      <c r="BR26" s="91" t="str">
        <f>IF(Table63[[#This Row],[Column43]]=0,"--",BO26*$BQ$3)</f>
        <v>--</v>
      </c>
      <c r="BS26" s="89">
        <f>IF(Table63[[#This Row],[Column45]]="--",0,Table63[[#This Row],[Column2]]*Table63[[#This Row],[Column45]])</f>
        <v>0</v>
      </c>
      <c r="BT26" s="95" t="s">
        <v>70</v>
      </c>
      <c r="BU26" s="91" t="str">
        <f>IF(Table63[[#This Row],[Column7]]+Table63[[#This Row],[Column43]]=0,"--",J26*$BT$4*$BT$5/(24*60)+IF(Table63[[#This Row],[Column43]]=0,0,BT21*Table63[[#This Row],[Column44]]))</f>
        <v>--</v>
      </c>
      <c r="BV26" s="92">
        <f>IF(Table63[[#This Row],[Column48]]="--",0,Table63[[#This Row],[Column2]]*Table63[[#This Row],[Column48]])</f>
        <v>0</v>
      </c>
      <c r="BW26" s="93" t="str">
        <f>IF(Table63[[#This Row],[Column37]]="","--",Table63[[#This Row],[Column37]])</f>
        <v>--</v>
      </c>
      <c r="BX26" s="96" t="str">
        <f>IF(Table63[[#This Row],[Column44]]="--","--",Table63[[#This Row],[Column84]]+1)</f>
        <v>--</v>
      </c>
      <c r="BY26" s="91" t="str">
        <f>IF(Table63[[#This Row],[Column37]]+Table63[[#This Row],[Column84]]+Table63[[#This Row],[Column43]]=0,"--",(BG26*$BW$3/60+IF(Table63[[#This Row],[Column43]]=0,0,(BM26+1)*$BW$4))/60/24)</f>
        <v>--</v>
      </c>
      <c r="BZ26" s="92">
        <f>IF(Table63[[#This Row],[Column73]]="--",0,Table63[[#This Row],[Column2]]*Table63[[#This Row],[Column73]])</f>
        <v>0</v>
      </c>
      <c r="CA26" s="97" t="str">
        <f t="shared" si="8"/>
        <v>--</v>
      </c>
      <c r="CC26" s="89">
        <f>IF(Table63[[#This Row],[Column49]]="--",0,Table63[[#This Row],[Column2]]*Table63[[#This Row],[Column49]])</f>
        <v>0</v>
      </c>
      <c r="CD26" s="101" t="s">
        <v>70</v>
      </c>
      <c r="CE26" s="91" t="str">
        <f t="shared" si="6"/>
        <v>--</v>
      </c>
      <c r="CF26" s="89">
        <f>IF(Table63[[#This Row],[Column88]]="--",0,Table63[[#This Row],[Column2]]*Table63[[#This Row],[Column88]])</f>
        <v>0</v>
      </c>
      <c r="CG26" s="96"/>
      <c r="CH26" s="96"/>
      <c r="CI26" s="96"/>
      <c r="CJ26" s="96"/>
      <c r="CK26" s="96"/>
      <c r="CL26" s="101" t="str">
        <f>IF(Table63[[#This Row],[Column78]]+Table63[[#This Row],[Column79]]+Table63[[#This Row],[Column81]]+Table63[[#This Row],[Column80]]+Table63[[#This Row],[Column82]]=0,"--",((Table63[[#This Row],[Column78]]*2+Table63[[#This Row],[Column79]]+Table63[[#This Row],[Column81]])*$CK$3+Table63[[#This Row],[Column80]]*$CK$4+Table63[[#This Row],[Column82]]*$CK$5)/60/24)</f>
        <v>--</v>
      </c>
      <c r="CM26" s="89">
        <f>IF(Table63[[#This Row],[Column52]]="--",0,Table63[[#This Row],[Column2]]*Table63[[#This Row],[Column52]])</f>
        <v>0</v>
      </c>
      <c r="CN26" s="96"/>
      <c r="CO26" s="91" t="str">
        <f>IF(Table63[[#This Row],[Column52]]="--","--",Table63[[#This Row],[Column77]]*$CN$3/60/24)</f>
        <v>--</v>
      </c>
      <c r="CP26" s="89">
        <f>IF(Table63[[#This Row],[Column51]]="--",0,Table63[[#This Row],[Column2]]*Table63[[#This Row],[Column51]])</f>
        <v>0</v>
      </c>
      <c r="CQ26" t="str">
        <f>IF(Table63[[#This Row],[Column85]]=0,"--",Table63[[#This Row],[Column85]]*Table63[[#This Row],[Column98]]*Table63[[#This Row],[Column97]]/1000000000)</f>
        <v>--</v>
      </c>
      <c r="CR26" s="53"/>
      <c r="CS26" s="53"/>
      <c r="CT26" s="53"/>
      <c r="CU26" s="91" t="str">
        <f t="shared" si="9"/>
        <v>--</v>
      </c>
      <c r="CV26" s="89">
        <f>IF(Table63[[#This Row],[Column53]]="--",0,Table63[[#This Row],[Column2]]*Table63[[#This Row],[Column53]])</f>
        <v>0</v>
      </c>
    </row>
    <row r="27" spans="2:100" x14ac:dyDescent="0.25">
      <c r="B27" s="79"/>
      <c r="C27" s="80"/>
      <c r="E27" s="52"/>
      <c r="F27" s="81"/>
      <c r="G27" s="81"/>
      <c r="H27" s="82" t="str">
        <f t="shared" si="0"/>
        <v>--</v>
      </c>
      <c r="I27" s="100">
        <f>IF(Table63[[#This Row],[Column75]]="--",0,Table63[[#This Row],[Column2]]*Table63[[#This Row],[Column75]])</f>
        <v>0</v>
      </c>
      <c r="J27" s="84"/>
      <c r="K27" s="85">
        <f>Table63[[#This Row],[Column2]]*Table63[[#This Row],[Column7]]</f>
        <v>0</v>
      </c>
      <c r="L27" s="86" t="str">
        <f t="shared" si="1"/>
        <v>--</v>
      </c>
      <c r="M27" s="85">
        <f>IF(Table63[[#This Row],[Column7]]=0,0,Table63[[#This Row],[Column2]]*Table63[[#This Row],[Column8]])</f>
        <v>0</v>
      </c>
      <c r="N27" s="87" t="str">
        <f t="shared" si="2"/>
        <v>--</v>
      </c>
      <c r="O27" s="88" t="s">
        <v>70</v>
      </c>
      <c r="AW27" s="89">
        <f>IF(Table63[[#This Row],[Column9]]="--",0,Table63[[#This Row],[Column2]]*Table63[[#This Row],[Column9]])</f>
        <v>0</v>
      </c>
      <c r="AX27" s="90"/>
      <c r="AY27" s="91" t="str">
        <f>IF(AX27=0,"--",AX27*$AX$3*IF(Table63[[#This Row],[Column4]]&lt;4.1,1,2)/60/24)</f>
        <v>--</v>
      </c>
      <c r="AZ27" s="92">
        <f>IF(Table63[[#This Row],[Column29]]="--",0,Table63[[#This Row],[Column2]]*Table63[[#This Row],[Column29]])</f>
        <v>0</v>
      </c>
      <c r="BA27" s="93"/>
      <c r="BB27" s="91" t="str">
        <f t="shared" si="3"/>
        <v>--</v>
      </c>
      <c r="BC27" s="92">
        <f>IF(Table63[[#This Row],[Column32]]="--",0,Table63[[#This Row],[Column2]]*Table63[[#This Row],[Column32]])</f>
        <v>0</v>
      </c>
      <c r="BD27" s="93"/>
      <c r="BE27" s="91" t="str">
        <f t="shared" si="4"/>
        <v>--</v>
      </c>
      <c r="BF27" s="89">
        <f>IF(Table63[[#This Row],[Column35]]="--",0,Table63[[#This Row],[Column2]]*Table63[[#This Row],[Column35]])</f>
        <v>0</v>
      </c>
      <c r="BG27" s="93"/>
      <c r="BH27" s="91" t="str">
        <f t="shared" si="5"/>
        <v>--</v>
      </c>
      <c r="BI27" s="89">
        <f>IF(Table63[[#This Row],[Column38]]="--",0,Table63[[#This Row],[Column2]]*Table63[[#This Row],[Column38]])</f>
        <v>0</v>
      </c>
      <c r="BJ27" s="94"/>
      <c r="BK27" s="91" t="str">
        <f t="shared" si="7"/>
        <v>--</v>
      </c>
      <c r="BL27" s="92">
        <f>IF(Table63[[#This Row],[Column41]]="--",0,Table63[[#This Row],[Column2]]*Table63[[#This Row],[Column41]])</f>
        <v>0</v>
      </c>
      <c r="BM27" s="44"/>
      <c r="BN27" s="90"/>
      <c r="BO27" s="91" t="str">
        <f>IF(BN27=0,"--",(Table63[[#This Row],[Column84]]*$BN$4*(IF(J27&lt;0.5001,1,IF(J27&lt;2.0001,2,3)))+BN27/$BN$3)/60/24)</f>
        <v>--</v>
      </c>
      <c r="BP27" s="92">
        <f>IF(Table63[[#This Row],[Column44]]="--",0,Table63[[#This Row],[Column2]]*Table63[[#This Row],[Column44]])</f>
        <v>0</v>
      </c>
      <c r="BQ27" s="95" t="s">
        <v>70</v>
      </c>
      <c r="BR27" s="91" t="str">
        <f>IF(Table63[[#This Row],[Column43]]=0,"--",BO27*$BQ$3)</f>
        <v>--</v>
      </c>
      <c r="BS27" s="89">
        <f>IF(Table63[[#This Row],[Column45]]="--",0,Table63[[#This Row],[Column2]]*Table63[[#This Row],[Column45]])</f>
        <v>0</v>
      </c>
      <c r="BT27" s="95" t="s">
        <v>70</v>
      </c>
      <c r="BU27" s="91" t="str">
        <f>IF(Table63[[#This Row],[Column7]]+Table63[[#This Row],[Column43]]=0,"--",J27*$BT$4*$BT$5/(24*60)+IF(Table63[[#This Row],[Column43]]=0,0,BT22*Table63[[#This Row],[Column44]]))</f>
        <v>--</v>
      </c>
      <c r="BV27" s="92">
        <f>IF(Table63[[#This Row],[Column48]]="--",0,Table63[[#This Row],[Column2]]*Table63[[#This Row],[Column48]])</f>
        <v>0</v>
      </c>
      <c r="BW27" s="93" t="str">
        <f>IF(Table63[[#This Row],[Column37]]="","--",Table63[[#This Row],[Column37]])</f>
        <v>--</v>
      </c>
      <c r="BX27" s="96" t="str">
        <f>IF(Table63[[#This Row],[Column44]]="--","--",Table63[[#This Row],[Column84]]+1)</f>
        <v>--</v>
      </c>
      <c r="BY27" s="91" t="str">
        <f>IF(Table63[[#This Row],[Column37]]+Table63[[#This Row],[Column84]]+Table63[[#This Row],[Column43]]=0,"--",(BG27*$BW$3/60+IF(Table63[[#This Row],[Column43]]=0,0,(BM27+1)*$BW$4))/60/24)</f>
        <v>--</v>
      </c>
      <c r="BZ27" s="92">
        <f>IF(Table63[[#This Row],[Column73]]="--",0,Table63[[#This Row],[Column2]]*Table63[[#This Row],[Column73]])</f>
        <v>0</v>
      </c>
      <c r="CA27" s="97" t="str">
        <f t="shared" si="8"/>
        <v>--</v>
      </c>
      <c r="CC27" s="89">
        <f>IF(Table63[[#This Row],[Column49]]="--",0,Table63[[#This Row],[Column2]]*Table63[[#This Row],[Column49]])</f>
        <v>0</v>
      </c>
      <c r="CD27" s="101" t="s">
        <v>70</v>
      </c>
      <c r="CE27" s="91" t="str">
        <f t="shared" si="6"/>
        <v>--</v>
      </c>
      <c r="CF27" s="89">
        <f>IF(Table63[[#This Row],[Column88]]="--",0,Table63[[#This Row],[Column2]]*Table63[[#This Row],[Column88]])</f>
        <v>0</v>
      </c>
      <c r="CG27" s="96"/>
      <c r="CH27" s="96"/>
      <c r="CI27" s="96"/>
      <c r="CJ27" s="96"/>
      <c r="CK27" s="96"/>
      <c r="CL27" s="101" t="str">
        <f>IF(Table63[[#This Row],[Column78]]+Table63[[#This Row],[Column79]]+Table63[[#This Row],[Column81]]+Table63[[#This Row],[Column80]]+Table63[[#This Row],[Column82]]=0,"--",((Table63[[#This Row],[Column78]]*2+Table63[[#This Row],[Column79]]+Table63[[#This Row],[Column81]])*$CK$3+Table63[[#This Row],[Column80]]*$CK$4+Table63[[#This Row],[Column82]]*$CK$5)/60/24)</f>
        <v>--</v>
      </c>
      <c r="CM27" s="89">
        <f>IF(Table63[[#This Row],[Column52]]="--",0,Table63[[#This Row],[Column2]]*Table63[[#This Row],[Column52]])</f>
        <v>0</v>
      </c>
      <c r="CN27" s="96"/>
      <c r="CO27" s="91" t="str">
        <f>IF(Table63[[#This Row],[Column52]]="--","--",Table63[[#This Row],[Column77]]*$CN$3/60/24)</f>
        <v>--</v>
      </c>
      <c r="CP27" s="89">
        <f>IF(Table63[[#This Row],[Column51]]="--",0,Table63[[#This Row],[Column2]]*Table63[[#This Row],[Column51]])</f>
        <v>0</v>
      </c>
      <c r="CQ27" t="str">
        <f>IF(Table63[[#This Row],[Column85]]=0,"--",Table63[[#This Row],[Column85]]*Table63[[#This Row],[Column98]]*Table63[[#This Row],[Column97]]/1000000000)</f>
        <v>--</v>
      </c>
      <c r="CR27" s="53"/>
      <c r="CS27" s="53"/>
      <c r="CT27" s="53"/>
      <c r="CU27" s="91" t="str">
        <f t="shared" si="9"/>
        <v>--</v>
      </c>
      <c r="CV27" s="89">
        <f>IF(Table63[[#This Row],[Column53]]="--",0,Table63[[#This Row],[Column2]]*Table63[[#This Row],[Column53]])</f>
        <v>0</v>
      </c>
    </row>
    <row r="28" spans="2:100" x14ac:dyDescent="0.25">
      <c r="B28" s="79"/>
      <c r="C28" s="80"/>
      <c r="E28" s="52"/>
      <c r="F28" s="81"/>
      <c r="G28" s="81"/>
      <c r="H28" s="82" t="str">
        <f t="shared" si="0"/>
        <v>--</v>
      </c>
      <c r="I28" s="100">
        <f>IF(Table63[[#This Row],[Column75]]="--",0,Table63[[#This Row],[Column2]]*Table63[[#This Row],[Column75]])</f>
        <v>0</v>
      </c>
      <c r="J28" s="84"/>
      <c r="K28" s="85">
        <f>Table63[[#This Row],[Column2]]*Table63[[#This Row],[Column7]]</f>
        <v>0</v>
      </c>
      <c r="L28" s="86" t="str">
        <f t="shared" si="1"/>
        <v>--</v>
      </c>
      <c r="M28" s="85">
        <f>IF(Table63[[#This Row],[Column7]]=0,0,Table63[[#This Row],[Column2]]*Table63[[#This Row],[Column8]])</f>
        <v>0</v>
      </c>
      <c r="N28" s="87" t="str">
        <f t="shared" si="2"/>
        <v>--</v>
      </c>
      <c r="O28" s="88" t="s">
        <v>70</v>
      </c>
      <c r="AW28" s="89">
        <f>IF(Table63[[#This Row],[Column9]]="--",0,Table63[[#This Row],[Column2]]*Table63[[#This Row],[Column9]])</f>
        <v>0</v>
      </c>
      <c r="AX28" s="90"/>
      <c r="AY28" s="91" t="str">
        <f>IF(AX28=0,"--",AX28*$AX$3*IF(Table63[[#This Row],[Column4]]&lt;4.1,1,2)/60/24)</f>
        <v>--</v>
      </c>
      <c r="AZ28" s="92">
        <f>IF(Table63[[#This Row],[Column29]]="--",0,Table63[[#This Row],[Column2]]*Table63[[#This Row],[Column29]])</f>
        <v>0</v>
      </c>
      <c r="BA28" s="93"/>
      <c r="BB28" s="91" t="str">
        <f t="shared" si="3"/>
        <v>--</v>
      </c>
      <c r="BC28" s="92">
        <f>IF(Table63[[#This Row],[Column32]]="--",0,Table63[[#This Row],[Column2]]*Table63[[#This Row],[Column32]])</f>
        <v>0</v>
      </c>
      <c r="BD28" s="93"/>
      <c r="BE28" s="91" t="str">
        <f t="shared" si="4"/>
        <v>--</v>
      </c>
      <c r="BF28" s="89">
        <f>IF(Table63[[#This Row],[Column35]]="--",0,Table63[[#This Row],[Column2]]*Table63[[#This Row],[Column35]])</f>
        <v>0</v>
      </c>
      <c r="BG28" s="93"/>
      <c r="BH28" s="91" t="str">
        <f t="shared" si="5"/>
        <v>--</v>
      </c>
      <c r="BI28" s="89">
        <f>IF(Table63[[#This Row],[Column38]]="--",0,Table63[[#This Row],[Column2]]*Table63[[#This Row],[Column38]])</f>
        <v>0</v>
      </c>
      <c r="BJ28" s="94"/>
      <c r="BK28" s="91" t="str">
        <f t="shared" si="7"/>
        <v>--</v>
      </c>
      <c r="BL28" s="92">
        <f>IF(Table63[[#This Row],[Column41]]="--",0,Table63[[#This Row],[Column2]]*Table63[[#This Row],[Column41]])</f>
        <v>0</v>
      </c>
      <c r="BM28" s="44"/>
      <c r="BN28" s="90"/>
      <c r="BO28" s="91" t="str">
        <f>IF(BN28=0,"--",(Table63[[#This Row],[Column84]]*$BN$4*(IF(J28&lt;0.5001,1,IF(J28&lt;2.0001,2,3)))+BN28/$BN$3)/60/24)</f>
        <v>--</v>
      </c>
      <c r="BP28" s="92">
        <f>IF(Table63[[#This Row],[Column44]]="--",0,Table63[[#This Row],[Column2]]*Table63[[#This Row],[Column44]])</f>
        <v>0</v>
      </c>
      <c r="BQ28" s="95" t="s">
        <v>70</v>
      </c>
      <c r="BR28" s="91" t="str">
        <f>IF(Table63[[#This Row],[Column43]]=0,"--",BO28*$BQ$3)</f>
        <v>--</v>
      </c>
      <c r="BS28" s="89">
        <f>IF(Table63[[#This Row],[Column45]]="--",0,Table63[[#This Row],[Column2]]*Table63[[#This Row],[Column45]])</f>
        <v>0</v>
      </c>
      <c r="BT28" s="95" t="s">
        <v>70</v>
      </c>
      <c r="BU28" s="91" t="str">
        <f>IF(Table63[[#This Row],[Column7]]+Table63[[#This Row],[Column43]]=0,"--",J28*$BT$4*$BT$5/(24*60)+IF(Table63[[#This Row],[Column43]]=0,0,BT23*Table63[[#This Row],[Column44]]))</f>
        <v>--</v>
      </c>
      <c r="BV28" s="92">
        <f>IF(Table63[[#This Row],[Column48]]="--",0,Table63[[#This Row],[Column2]]*Table63[[#This Row],[Column48]])</f>
        <v>0</v>
      </c>
      <c r="BW28" s="93" t="str">
        <f>IF(Table63[[#This Row],[Column37]]="","--",Table63[[#This Row],[Column37]])</f>
        <v>--</v>
      </c>
      <c r="BX28" s="96" t="str">
        <f>IF(Table63[[#This Row],[Column44]]="--","--",Table63[[#This Row],[Column84]]+1)</f>
        <v>--</v>
      </c>
      <c r="BY28" s="91" t="str">
        <f>IF(Table63[[#This Row],[Column37]]+Table63[[#This Row],[Column84]]+Table63[[#This Row],[Column43]]=0,"--",(BG28*$BW$3/60+IF(Table63[[#This Row],[Column43]]=0,0,(BM28+1)*$BW$4))/60/24)</f>
        <v>--</v>
      </c>
      <c r="BZ28" s="92">
        <f>IF(Table63[[#This Row],[Column73]]="--",0,Table63[[#This Row],[Column2]]*Table63[[#This Row],[Column73]])</f>
        <v>0</v>
      </c>
      <c r="CA28" s="97" t="str">
        <f t="shared" si="8"/>
        <v>--</v>
      </c>
      <c r="CC28" s="89">
        <f>IF(Table63[[#This Row],[Column49]]="--",0,Table63[[#This Row],[Column2]]*Table63[[#This Row],[Column49]])</f>
        <v>0</v>
      </c>
      <c r="CD28" s="101" t="s">
        <v>70</v>
      </c>
      <c r="CE28" s="91" t="str">
        <f t="shared" si="6"/>
        <v>--</v>
      </c>
      <c r="CF28" s="89">
        <f>IF(Table63[[#This Row],[Column88]]="--",0,Table63[[#This Row],[Column2]]*Table63[[#This Row],[Column88]])</f>
        <v>0</v>
      </c>
      <c r="CG28" s="96"/>
      <c r="CH28" s="96"/>
      <c r="CI28" s="96"/>
      <c r="CJ28" s="96"/>
      <c r="CK28" s="96"/>
      <c r="CL28" s="101" t="str">
        <f>IF(Table63[[#This Row],[Column78]]+Table63[[#This Row],[Column79]]+Table63[[#This Row],[Column81]]+Table63[[#This Row],[Column80]]+Table63[[#This Row],[Column82]]=0,"--",((Table63[[#This Row],[Column78]]*2+Table63[[#This Row],[Column79]]+Table63[[#This Row],[Column81]])*$CK$3+Table63[[#This Row],[Column80]]*$CK$4+Table63[[#This Row],[Column82]]*$CK$5)/60/24)</f>
        <v>--</v>
      </c>
      <c r="CM28" s="89">
        <f>IF(Table63[[#This Row],[Column52]]="--",0,Table63[[#This Row],[Column2]]*Table63[[#This Row],[Column52]])</f>
        <v>0</v>
      </c>
      <c r="CN28" s="96"/>
      <c r="CO28" s="91" t="str">
        <f>IF(Table63[[#This Row],[Column52]]="--","--",Table63[[#This Row],[Column77]]*$CN$3/60/24)</f>
        <v>--</v>
      </c>
      <c r="CP28" s="89">
        <f>IF(Table63[[#This Row],[Column51]]="--",0,Table63[[#This Row],[Column2]]*Table63[[#This Row],[Column51]])</f>
        <v>0</v>
      </c>
      <c r="CQ28" t="str">
        <f>IF(Table63[[#This Row],[Column85]]=0,"--",Table63[[#This Row],[Column85]]*Table63[[#This Row],[Column98]]*Table63[[#This Row],[Column97]]/1000000000)</f>
        <v>--</v>
      </c>
      <c r="CR28" s="53"/>
      <c r="CS28" s="53"/>
      <c r="CT28" s="53"/>
      <c r="CU28" s="91" t="str">
        <f t="shared" si="9"/>
        <v>--</v>
      </c>
      <c r="CV28" s="89">
        <f>IF(Table63[[#This Row],[Column53]]="--",0,Table63[[#This Row],[Column2]]*Table63[[#This Row],[Column53]])</f>
        <v>0</v>
      </c>
    </row>
    <row r="29" spans="2:100" x14ac:dyDescent="0.25">
      <c r="B29" s="79"/>
      <c r="C29" s="80"/>
      <c r="E29" s="52"/>
      <c r="F29" s="81"/>
      <c r="G29" s="81"/>
      <c r="H29" s="82" t="str">
        <f t="shared" si="0"/>
        <v>--</v>
      </c>
      <c r="I29" s="100">
        <f>IF(Table63[[#This Row],[Column75]]="--",0,Table63[[#This Row],[Column2]]*Table63[[#This Row],[Column75]])</f>
        <v>0</v>
      </c>
      <c r="J29" s="84"/>
      <c r="K29" s="85">
        <f>Table63[[#This Row],[Column2]]*Table63[[#This Row],[Column7]]</f>
        <v>0</v>
      </c>
      <c r="L29" s="86" t="str">
        <f t="shared" si="1"/>
        <v>--</v>
      </c>
      <c r="M29" s="85">
        <f>IF(Table63[[#This Row],[Column7]]=0,0,Table63[[#This Row],[Column2]]*Table63[[#This Row],[Column8]])</f>
        <v>0</v>
      </c>
      <c r="N29" s="87" t="str">
        <f t="shared" si="2"/>
        <v>--</v>
      </c>
      <c r="O29" s="88" t="s">
        <v>70</v>
      </c>
      <c r="AW29" s="89">
        <f>IF(Table63[[#This Row],[Column9]]="--",0,Table63[[#This Row],[Column2]]*Table63[[#This Row],[Column9]])</f>
        <v>0</v>
      </c>
      <c r="AX29" s="90"/>
      <c r="AY29" s="91" t="str">
        <f>IF(AX29=0,"--",AX29*$AX$3*IF(Table63[[#This Row],[Column4]]&lt;4.1,1,2)/60/24)</f>
        <v>--</v>
      </c>
      <c r="AZ29" s="92">
        <f>IF(Table63[[#This Row],[Column29]]="--",0,Table63[[#This Row],[Column2]]*Table63[[#This Row],[Column29]])</f>
        <v>0</v>
      </c>
      <c r="BA29" s="93"/>
      <c r="BB29" s="91" t="str">
        <f t="shared" si="3"/>
        <v>--</v>
      </c>
      <c r="BC29" s="92">
        <f>IF(Table63[[#This Row],[Column32]]="--",0,Table63[[#This Row],[Column2]]*Table63[[#This Row],[Column32]])</f>
        <v>0</v>
      </c>
      <c r="BD29" s="93"/>
      <c r="BE29" s="91" t="str">
        <f t="shared" si="4"/>
        <v>--</v>
      </c>
      <c r="BF29" s="89">
        <f>IF(Table63[[#This Row],[Column35]]="--",0,Table63[[#This Row],[Column2]]*Table63[[#This Row],[Column35]])</f>
        <v>0</v>
      </c>
      <c r="BG29" s="93"/>
      <c r="BH29" s="91" t="str">
        <f t="shared" si="5"/>
        <v>--</v>
      </c>
      <c r="BI29" s="89">
        <f>IF(Table63[[#This Row],[Column38]]="--",0,Table63[[#This Row],[Column2]]*Table63[[#This Row],[Column38]])</f>
        <v>0</v>
      </c>
      <c r="BJ29" s="94"/>
      <c r="BK29" s="91" t="str">
        <f t="shared" si="7"/>
        <v>--</v>
      </c>
      <c r="BL29" s="92">
        <f>IF(Table63[[#This Row],[Column41]]="--",0,Table63[[#This Row],[Column2]]*Table63[[#This Row],[Column41]])</f>
        <v>0</v>
      </c>
      <c r="BM29" s="44"/>
      <c r="BN29" s="90"/>
      <c r="BO29" s="91" t="str">
        <f>IF(BN29=0,"--",(Table63[[#This Row],[Column84]]*$BN$4*(IF(J29&lt;0.5001,1,IF(J29&lt;2.0001,2,3)))+BN29/$BN$3)/60/24)</f>
        <v>--</v>
      </c>
      <c r="BP29" s="92">
        <f>IF(Table63[[#This Row],[Column44]]="--",0,Table63[[#This Row],[Column2]]*Table63[[#This Row],[Column44]])</f>
        <v>0</v>
      </c>
      <c r="BQ29" s="95" t="s">
        <v>70</v>
      </c>
      <c r="BR29" s="91" t="str">
        <f>IF(Table63[[#This Row],[Column43]]=0,"--",BO29*$BQ$3)</f>
        <v>--</v>
      </c>
      <c r="BS29" s="89">
        <f>IF(Table63[[#This Row],[Column45]]="--",0,Table63[[#This Row],[Column2]]*Table63[[#This Row],[Column45]])</f>
        <v>0</v>
      </c>
      <c r="BT29" s="95" t="s">
        <v>70</v>
      </c>
      <c r="BU29" s="91" t="str">
        <f>IF(Table63[[#This Row],[Column7]]+Table63[[#This Row],[Column43]]=0,"--",J29*$BT$4*$BT$5/(24*60)+IF(Table63[[#This Row],[Column43]]=0,0,BT24*Table63[[#This Row],[Column44]]))</f>
        <v>--</v>
      </c>
      <c r="BV29" s="92">
        <f>IF(Table63[[#This Row],[Column48]]="--",0,Table63[[#This Row],[Column2]]*Table63[[#This Row],[Column48]])</f>
        <v>0</v>
      </c>
      <c r="BW29" s="93" t="str">
        <f>IF(Table63[[#This Row],[Column37]]="","--",Table63[[#This Row],[Column37]])</f>
        <v>--</v>
      </c>
      <c r="BX29" s="96" t="str">
        <f>IF(Table63[[#This Row],[Column44]]="--","--",Table63[[#This Row],[Column84]]+1)</f>
        <v>--</v>
      </c>
      <c r="BY29" s="91" t="str">
        <f>IF(Table63[[#This Row],[Column37]]+Table63[[#This Row],[Column84]]+Table63[[#This Row],[Column43]]=0,"--",(BG29*$BW$3/60+IF(Table63[[#This Row],[Column43]]=0,0,(BM29+1)*$BW$4))/60/24)</f>
        <v>--</v>
      </c>
      <c r="BZ29" s="92">
        <f>IF(Table63[[#This Row],[Column73]]="--",0,Table63[[#This Row],[Column2]]*Table63[[#This Row],[Column73]])</f>
        <v>0</v>
      </c>
      <c r="CA29" s="97" t="str">
        <f t="shared" si="8"/>
        <v>--</v>
      </c>
      <c r="CC29" s="89">
        <f>IF(Table63[[#This Row],[Column49]]="--",0,Table63[[#This Row],[Column2]]*Table63[[#This Row],[Column49]])</f>
        <v>0</v>
      </c>
      <c r="CD29" s="101" t="s">
        <v>70</v>
      </c>
      <c r="CE29" s="91" t="str">
        <f t="shared" si="6"/>
        <v>--</v>
      </c>
      <c r="CF29" s="89">
        <f>IF(Table63[[#This Row],[Column88]]="--",0,Table63[[#This Row],[Column2]]*Table63[[#This Row],[Column88]])</f>
        <v>0</v>
      </c>
      <c r="CG29" s="96"/>
      <c r="CH29" s="96"/>
      <c r="CI29" s="96"/>
      <c r="CJ29" s="96"/>
      <c r="CK29" s="96"/>
      <c r="CL29" s="101" t="str">
        <f>IF(Table63[[#This Row],[Column78]]+Table63[[#This Row],[Column79]]+Table63[[#This Row],[Column81]]+Table63[[#This Row],[Column80]]+Table63[[#This Row],[Column82]]=0,"--",((Table63[[#This Row],[Column78]]*2+Table63[[#This Row],[Column79]]+Table63[[#This Row],[Column81]])*$CK$3+Table63[[#This Row],[Column80]]*$CK$4+Table63[[#This Row],[Column82]]*$CK$5)/60/24)</f>
        <v>--</v>
      </c>
      <c r="CM29" s="89">
        <f>IF(Table63[[#This Row],[Column52]]="--",0,Table63[[#This Row],[Column2]]*Table63[[#This Row],[Column52]])</f>
        <v>0</v>
      </c>
      <c r="CN29" s="96"/>
      <c r="CO29" s="91" t="str">
        <f>IF(Table63[[#This Row],[Column52]]="--","--",Table63[[#This Row],[Column77]]*$CN$3/60/24)</f>
        <v>--</v>
      </c>
      <c r="CP29" s="89">
        <f>IF(Table63[[#This Row],[Column51]]="--",0,Table63[[#This Row],[Column2]]*Table63[[#This Row],[Column51]])</f>
        <v>0</v>
      </c>
      <c r="CQ29" t="str">
        <f>IF(Table63[[#This Row],[Column85]]=0,"--",Table63[[#This Row],[Column85]]*Table63[[#This Row],[Column98]]*Table63[[#This Row],[Column97]]/1000000000)</f>
        <v>--</v>
      </c>
      <c r="CR29" s="53"/>
      <c r="CS29" s="53"/>
      <c r="CT29" s="53"/>
      <c r="CU29" s="91" t="str">
        <f t="shared" si="9"/>
        <v>--</v>
      </c>
      <c r="CV29" s="89">
        <f>IF(Table63[[#This Row],[Column53]]="--",0,Table63[[#This Row],[Column2]]*Table63[[#This Row],[Column53]])</f>
        <v>0</v>
      </c>
    </row>
    <row r="30" spans="2:100" x14ac:dyDescent="0.25">
      <c r="B30" s="79"/>
      <c r="C30" s="80"/>
      <c r="E30" s="52"/>
      <c r="F30" s="81"/>
      <c r="G30" s="81"/>
      <c r="H30" s="82" t="str">
        <f t="shared" si="0"/>
        <v>--</v>
      </c>
      <c r="I30" s="100">
        <f>IF(Table63[[#This Row],[Column75]]="--",0,Table63[[#This Row],[Column2]]*Table63[[#This Row],[Column75]])</f>
        <v>0</v>
      </c>
      <c r="J30" s="84"/>
      <c r="K30" s="85">
        <f>Table63[[#This Row],[Column2]]*Table63[[#This Row],[Column7]]</f>
        <v>0</v>
      </c>
      <c r="L30" s="86" t="str">
        <f t="shared" si="1"/>
        <v>--</v>
      </c>
      <c r="M30" s="85">
        <f>IF(Table63[[#This Row],[Column7]]=0,0,Table63[[#This Row],[Column2]]*Table63[[#This Row],[Column8]])</f>
        <v>0</v>
      </c>
      <c r="N30" s="87" t="str">
        <f t="shared" si="2"/>
        <v>--</v>
      </c>
      <c r="O30" s="88" t="s">
        <v>70</v>
      </c>
      <c r="AW30" s="89">
        <f>IF(Table63[[#This Row],[Column9]]="--",0,Table63[[#This Row],[Column2]]*Table63[[#This Row],[Column9]])</f>
        <v>0</v>
      </c>
      <c r="AX30" s="90"/>
      <c r="AY30" s="91" t="str">
        <f>IF(AX30=0,"--",AX30*$AX$3*IF(Table63[[#This Row],[Column4]]&lt;4.1,1,2)/60/24)</f>
        <v>--</v>
      </c>
      <c r="AZ30" s="92">
        <f>IF(Table63[[#This Row],[Column29]]="--",0,Table63[[#This Row],[Column2]]*Table63[[#This Row],[Column29]])</f>
        <v>0</v>
      </c>
      <c r="BA30" s="93"/>
      <c r="BB30" s="91" t="str">
        <f t="shared" si="3"/>
        <v>--</v>
      </c>
      <c r="BC30" s="92">
        <f>IF(Table63[[#This Row],[Column32]]="--",0,Table63[[#This Row],[Column2]]*Table63[[#This Row],[Column32]])</f>
        <v>0</v>
      </c>
      <c r="BD30" s="93"/>
      <c r="BE30" s="91" t="str">
        <f t="shared" si="4"/>
        <v>--</v>
      </c>
      <c r="BF30" s="89">
        <f>IF(Table63[[#This Row],[Column35]]="--",0,Table63[[#This Row],[Column2]]*Table63[[#This Row],[Column35]])</f>
        <v>0</v>
      </c>
      <c r="BG30" s="93"/>
      <c r="BH30" s="91" t="str">
        <f t="shared" si="5"/>
        <v>--</v>
      </c>
      <c r="BI30" s="89">
        <f>IF(Table63[[#This Row],[Column38]]="--",0,Table63[[#This Row],[Column2]]*Table63[[#This Row],[Column38]])</f>
        <v>0</v>
      </c>
      <c r="BJ30" s="94"/>
      <c r="BK30" s="91" t="str">
        <f t="shared" si="7"/>
        <v>--</v>
      </c>
      <c r="BL30" s="92">
        <f>IF(Table63[[#This Row],[Column41]]="--",0,Table63[[#This Row],[Column2]]*Table63[[#This Row],[Column41]])</f>
        <v>0</v>
      </c>
      <c r="BM30" s="44"/>
      <c r="BN30" s="90"/>
      <c r="BO30" s="91" t="str">
        <f>IF(BN30=0,"--",(Table63[[#This Row],[Column84]]*$BN$4*(IF(J30&lt;0.5001,1,IF(J30&lt;2.0001,2,3)))+BN30/$BN$3)/60/24)</f>
        <v>--</v>
      </c>
      <c r="BP30" s="92">
        <f>IF(Table63[[#This Row],[Column44]]="--",0,Table63[[#This Row],[Column2]]*Table63[[#This Row],[Column44]])</f>
        <v>0</v>
      </c>
      <c r="BQ30" s="95" t="s">
        <v>70</v>
      </c>
      <c r="BR30" s="91" t="str">
        <f>IF(Table63[[#This Row],[Column43]]=0,"--",BO30*$BQ$3)</f>
        <v>--</v>
      </c>
      <c r="BS30" s="89">
        <f>IF(Table63[[#This Row],[Column45]]="--",0,Table63[[#This Row],[Column2]]*Table63[[#This Row],[Column45]])</f>
        <v>0</v>
      </c>
      <c r="BT30" s="95" t="s">
        <v>70</v>
      </c>
      <c r="BU30" s="91" t="str">
        <f>IF(Table63[[#This Row],[Column7]]+Table63[[#This Row],[Column43]]=0,"--",J30*$BT$4*$BT$5/(24*60)+IF(Table63[[#This Row],[Column43]]=0,0,BT25*Table63[[#This Row],[Column44]]))</f>
        <v>--</v>
      </c>
      <c r="BV30" s="92">
        <f>IF(Table63[[#This Row],[Column48]]="--",0,Table63[[#This Row],[Column2]]*Table63[[#This Row],[Column48]])</f>
        <v>0</v>
      </c>
      <c r="BW30" s="93" t="str">
        <f>IF(Table63[[#This Row],[Column37]]="","--",Table63[[#This Row],[Column37]])</f>
        <v>--</v>
      </c>
      <c r="BX30" s="96" t="str">
        <f>IF(Table63[[#This Row],[Column44]]="--","--",Table63[[#This Row],[Column84]]+1)</f>
        <v>--</v>
      </c>
      <c r="BY30" s="91" t="str">
        <f>IF(Table63[[#This Row],[Column37]]+Table63[[#This Row],[Column84]]+Table63[[#This Row],[Column43]]=0,"--",(BG30*$BW$3/60+IF(Table63[[#This Row],[Column43]]=0,0,(BM30+1)*$BW$4))/60/24)</f>
        <v>--</v>
      </c>
      <c r="BZ30" s="92">
        <f>IF(Table63[[#This Row],[Column73]]="--",0,Table63[[#This Row],[Column2]]*Table63[[#This Row],[Column73]])</f>
        <v>0</v>
      </c>
      <c r="CA30" s="97" t="str">
        <f t="shared" si="8"/>
        <v>--</v>
      </c>
      <c r="CC30" s="89">
        <f>IF(Table63[[#This Row],[Column49]]="--",0,Table63[[#This Row],[Column2]]*Table63[[#This Row],[Column49]])</f>
        <v>0</v>
      </c>
      <c r="CD30" s="101" t="s">
        <v>70</v>
      </c>
      <c r="CE30" s="91" t="str">
        <f t="shared" si="6"/>
        <v>--</v>
      </c>
      <c r="CF30" s="89">
        <f>IF(Table63[[#This Row],[Column88]]="--",0,Table63[[#This Row],[Column2]]*Table63[[#This Row],[Column88]])</f>
        <v>0</v>
      </c>
      <c r="CG30" s="96"/>
      <c r="CH30" s="96"/>
      <c r="CI30" s="96"/>
      <c r="CJ30" s="96"/>
      <c r="CK30" s="96"/>
      <c r="CL30" s="101" t="str">
        <f>IF(Table63[[#This Row],[Column78]]+Table63[[#This Row],[Column79]]+Table63[[#This Row],[Column81]]+Table63[[#This Row],[Column80]]+Table63[[#This Row],[Column82]]=0,"--",((Table63[[#This Row],[Column78]]*2+Table63[[#This Row],[Column79]]+Table63[[#This Row],[Column81]])*$CK$3+Table63[[#This Row],[Column80]]*$CK$4+Table63[[#This Row],[Column82]]*$CK$5)/60/24)</f>
        <v>--</v>
      </c>
      <c r="CM30" s="89">
        <f>IF(Table63[[#This Row],[Column52]]="--",0,Table63[[#This Row],[Column2]]*Table63[[#This Row],[Column52]])</f>
        <v>0</v>
      </c>
      <c r="CN30" s="96"/>
      <c r="CO30" s="91" t="str">
        <f>IF(Table63[[#This Row],[Column52]]="--","--",Table63[[#This Row],[Column77]]*$CN$3/60/24)</f>
        <v>--</v>
      </c>
      <c r="CP30" s="89">
        <f>IF(Table63[[#This Row],[Column51]]="--",0,Table63[[#This Row],[Column2]]*Table63[[#This Row],[Column51]])</f>
        <v>0</v>
      </c>
      <c r="CQ30" t="str">
        <f>IF(Table63[[#This Row],[Column85]]=0,"--",Table63[[#This Row],[Column85]]*Table63[[#This Row],[Column98]]*Table63[[#This Row],[Column97]]/1000000000)</f>
        <v>--</v>
      </c>
      <c r="CR30" s="53"/>
      <c r="CS30" s="53"/>
      <c r="CT30" s="53"/>
      <c r="CU30" s="91" t="str">
        <f t="shared" si="9"/>
        <v>--</v>
      </c>
      <c r="CV30" s="89">
        <f>IF(Table63[[#This Row],[Column53]]="--",0,Table63[[#This Row],[Column2]]*Table63[[#This Row],[Column53]])</f>
        <v>0</v>
      </c>
    </row>
    <row r="31" spans="2:100" x14ac:dyDescent="0.25">
      <c r="B31" s="79"/>
      <c r="C31" s="80"/>
      <c r="E31" s="52"/>
      <c r="F31" s="81"/>
      <c r="G31" s="81"/>
      <c r="H31" s="82" t="str">
        <f t="shared" si="0"/>
        <v>--</v>
      </c>
      <c r="I31" s="100">
        <f>IF(Table63[[#This Row],[Column75]]="--",0,Table63[[#This Row],[Column2]]*Table63[[#This Row],[Column75]])</f>
        <v>0</v>
      </c>
      <c r="J31" s="84"/>
      <c r="K31" s="85">
        <f>Table63[[#This Row],[Column2]]*Table63[[#This Row],[Column7]]</f>
        <v>0</v>
      </c>
      <c r="L31" s="86" t="str">
        <f t="shared" si="1"/>
        <v>--</v>
      </c>
      <c r="M31" s="85">
        <f>IF(Table63[[#This Row],[Column7]]=0,0,Table63[[#This Row],[Column2]]*Table63[[#This Row],[Column8]])</f>
        <v>0</v>
      </c>
      <c r="N31" s="87" t="str">
        <f t="shared" si="2"/>
        <v>--</v>
      </c>
      <c r="O31" s="88" t="s">
        <v>70</v>
      </c>
      <c r="AW31" s="89">
        <f>IF(Table63[[#This Row],[Column9]]="--",0,Table63[[#This Row],[Column2]]*Table63[[#This Row],[Column9]])</f>
        <v>0</v>
      </c>
      <c r="AX31" s="90"/>
      <c r="AY31" s="91" t="str">
        <f>IF(AX31=0,"--",AX31*$AX$3*IF(Table63[[#This Row],[Column4]]&lt;4.1,1,2)/60/24)</f>
        <v>--</v>
      </c>
      <c r="AZ31" s="92">
        <f>IF(Table63[[#This Row],[Column29]]="--",0,Table63[[#This Row],[Column2]]*Table63[[#This Row],[Column29]])</f>
        <v>0</v>
      </c>
      <c r="BA31" s="93"/>
      <c r="BB31" s="91" t="str">
        <f t="shared" si="3"/>
        <v>--</v>
      </c>
      <c r="BC31" s="92">
        <f>IF(Table63[[#This Row],[Column32]]="--",0,Table63[[#This Row],[Column2]]*Table63[[#This Row],[Column32]])</f>
        <v>0</v>
      </c>
      <c r="BD31" s="93"/>
      <c r="BE31" s="91" t="str">
        <f t="shared" si="4"/>
        <v>--</v>
      </c>
      <c r="BF31" s="89">
        <f>IF(Table63[[#This Row],[Column35]]="--",0,Table63[[#This Row],[Column2]]*Table63[[#This Row],[Column35]])</f>
        <v>0</v>
      </c>
      <c r="BG31" s="93"/>
      <c r="BH31" s="91" t="str">
        <f t="shared" si="5"/>
        <v>--</v>
      </c>
      <c r="BI31" s="89">
        <f>IF(Table63[[#This Row],[Column38]]="--",0,Table63[[#This Row],[Column2]]*Table63[[#This Row],[Column38]])</f>
        <v>0</v>
      </c>
      <c r="BJ31" s="94"/>
      <c r="BK31" s="91" t="str">
        <f t="shared" si="7"/>
        <v>--</v>
      </c>
      <c r="BL31" s="92">
        <f>IF(Table63[[#This Row],[Column41]]="--",0,Table63[[#This Row],[Column2]]*Table63[[#This Row],[Column41]])</f>
        <v>0</v>
      </c>
      <c r="BM31" s="44"/>
      <c r="BN31" s="90"/>
      <c r="BO31" s="91" t="str">
        <f>IF(BN31=0,"--",(Table63[[#This Row],[Column84]]*$BN$4*(IF(J31&lt;0.5001,1,IF(J31&lt;2.0001,2,3)))+BN31/$BN$3)/60/24)</f>
        <v>--</v>
      </c>
      <c r="BP31" s="92">
        <f>IF(Table63[[#This Row],[Column44]]="--",0,Table63[[#This Row],[Column2]]*Table63[[#This Row],[Column44]])</f>
        <v>0</v>
      </c>
      <c r="BQ31" s="95" t="s">
        <v>70</v>
      </c>
      <c r="BR31" s="91" t="str">
        <f>IF(Table63[[#This Row],[Column43]]=0,"--",BO31*$BQ$3)</f>
        <v>--</v>
      </c>
      <c r="BS31" s="89">
        <f>IF(Table63[[#This Row],[Column45]]="--",0,Table63[[#This Row],[Column2]]*Table63[[#This Row],[Column45]])</f>
        <v>0</v>
      </c>
      <c r="BT31" s="95" t="s">
        <v>70</v>
      </c>
      <c r="BU31" s="91" t="str">
        <f>IF(Table63[[#This Row],[Column7]]+Table63[[#This Row],[Column43]]=0,"--",J31*$BT$4*$BT$5/(24*60)+IF(Table63[[#This Row],[Column43]]=0,0,BT26*Table63[[#This Row],[Column44]]))</f>
        <v>--</v>
      </c>
      <c r="BV31" s="92">
        <f>IF(Table63[[#This Row],[Column48]]="--",0,Table63[[#This Row],[Column2]]*Table63[[#This Row],[Column48]])</f>
        <v>0</v>
      </c>
      <c r="BW31" s="93" t="str">
        <f>IF(Table63[[#This Row],[Column37]]="","--",Table63[[#This Row],[Column37]])</f>
        <v>--</v>
      </c>
      <c r="BX31" s="96" t="str">
        <f>IF(Table63[[#This Row],[Column44]]="--","--",Table63[[#This Row],[Column84]]+1)</f>
        <v>--</v>
      </c>
      <c r="BY31" s="91" t="str">
        <f>IF(Table63[[#This Row],[Column37]]+Table63[[#This Row],[Column84]]+Table63[[#This Row],[Column43]]=0,"--",(BG31*$BW$3/60+IF(Table63[[#This Row],[Column43]]=0,0,(BM31+1)*$BW$4))/60/24)</f>
        <v>--</v>
      </c>
      <c r="BZ31" s="92">
        <f>IF(Table63[[#This Row],[Column73]]="--",0,Table63[[#This Row],[Column2]]*Table63[[#This Row],[Column73]])</f>
        <v>0</v>
      </c>
      <c r="CA31" s="97" t="str">
        <f t="shared" si="8"/>
        <v>--</v>
      </c>
      <c r="CC31" s="89">
        <f>IF(Table63[[#This Row],[Column49]]="--",0,Table63[[#This Row],[Column2]]*Table63[[#This Row],[Column49]])</f>
        <v>0</v>
      </c>
      <c r="CD31" s="101" t="s">
        <v>70</v>
      </c>
      <c r="CE31" s="91" t="str">
        <f t="shared" si="6"/>
        <v>--</v>
      </c>
      <c r="CF31" s="89">
        <f>IF(Table63[[#This Row],[Column88]]="--",0,Table63[[#This Row],[Column2]]*Table63[[#This Row],[Column88]])</f>
        <v>0</v>
      </c>
      <c r="CG31" s="96"/>
      <c r="CH31" s="96"/>
      <c r="CI31" s="96"/>
      <c r="CJ31" s="96"/>
      <c r="CK31" s="96"/>
      <c r="CL31" s="101" t="str">
        <f>IF(Table63[[#This Row],[Column78]]+Table63[[#This Row],[Column79]]+Table63[[#This Row],[Column81]]+Table63[[#This Row],[Column80]]+Table63[[#This Row],[Column82]]=0,"--",((Table63[[#This Row],[Column78]]*2+Table63[[#This Row],[Column79]]+Table63[[#This Row],[Column81]])*$CK$3+Table63[[#This Row],[Column80]]*$CK$4+Table63[[#This Row],[Column82]]*$CK$5)/60/24)</f>
        <v>--</v>
      </c>
      <c r="CM31" s="89">
        <f>IF(Table63[[#This Row],[Column52]]="--",0,Table63[[#This Row],[Column2]]*Table63[[#This Row],[Column52]])</f>
        <v>0</v>
      </c>
      <c r="CN31" s="96"/>
      <c r="CO31" s="91" t="str">
        <f>IF(Table63[[#This Row],[Column52]]="--","--",Table63[[#This Row],[Column77]]*$CN$3/60/24)</f>
        <v>--</v>
      </c>
      <c r="CP31" s="89">
        <f>IF(Table63[[#This Row],[Column51]]="--",0,Table63[[#This Row],[Column2]]*Table63[[#This Row],[Column51]])</f>
        <v>0</v>
      </c>
      <c r="CQ31" t="str">
        <f>IF(Table63[[#This Row],[Column85]]=0,"--",Table63[[#This Row],[Column85]]*Table63[[#This Row],[Column98]]*Table63[[#This Row],[Column97]]/1000000000)</f>
        <v>--</v>
      </c>
      <c r="CR31" s="53"/>
      <c r="CS31" s="53"/>
      <c r="CT31" s="53"/>
      <c r="CU31" s="91" t="str">
        <f t="shared" si="9"/>
        <v>--</v>
      </c>
      <c r="CV31" s="89">
        <f>IF(Table63[[#This Row],[Column53]]="--",0,Table63[[#This Row],[Column2]]*Table63[[#This Row],[Column53]])</f>
        <v>0</v>
      </c>
    </row>
    <row r="32" spans="2:100" x14ac:dyDescent="0.25">
      <c r="B32" s="79"/>
      <c r="C32" s="80"/>
      <c r="E32" s="52"/>
      <c r="F32" s="81"/>
      <c r="G32" s="81"/>
      <c r="H32" s="82" t="str">
        <f t="shared" si="0"/>
        <v>--</v>
      </c>
      <c r="I32" s="100">
        <f>IF(Table63[[#This Row],[Column75]]="--",0,Table63[[#This Row],[Column2]]*Table63[[#This Row],[Column75]])</f>
        <v>0</v>
      </c>
      <c r="J32" s="84"/>
      <c r="K32" s="85">
        <f>Table63[[#This Row],[Column2]]*Table63[[#This Row],[Column7]]</f>
        <v>0</v>
      </c>
      <c r="L32" s="86" t="str">
        <f t="shared" si="1"/>
        <v>--</v>
      </c>
      <c r="M32" s="85">
        <f>IF(Table63[[#This Row],[Column7]]=0,0,Table63[[#This Row],[Column2]]*Table63[[#This Row],[Column8]])</f>
        <v>0</v>
      </c>
      <c r="N32" s="87" t="str">
        <f t="shared" si="2"/>
        <v>--</v>
      </c>
      <c r="O32" s="88" t="s">
        <v>70</v>
      </c>
      <c r="AW32" s="89">
        <f>IF(Table63[[#This Row],[Column9]]="--",0,Table63[[#This Row],[Column2]]*Table63[[#This Row],[Column9]])</f>
        <v>0</v>
      </c>
      <c r="AX32" s="90"/>
      <c r="AY32" s="91" t="str">
        <f>IF(AX32=0,"--",AX32*$AX$3*IF(Table63[[#This Row],[Column4]]&lt;4.1,1,2)/60/24)</f>
        <v>--</v>
      </c>
      <c r="AZ32" s="92">
        <f>IF(Table63[[#This Row],[Column29]]="--",0,Table63[[#This Row],[Column2]]*Table63[[#This Row],[Column29]])</f>
        <v>0</v>
      </c>
      <c r="BA32" s="93"/>
      <c r="BB32" s="91" t="str">
        <f t="shared" si="3"/>
        <v>--</v>
      </c>
      <c r="BC32" s="92">
        <f>IF(Table63[[#This Row],[Column32]]="--",0,Table63[[#This Row],[Column2]]*Table63[[#This Row],[Column32]])</f>
        <v>0</v>
      </c>
      <c r="BD32" s="93"/>
      <c r="BE32" s="91" t="str">
        <f t="shared" si="4"/>
        <v>--</v>
      </c>
      <c r="BF32" s="89">
        <f>IF(Table63[[#This Row],[Column35]]="--",0,Table63[[#This Row],[Column2]]*Table63[[#This Row],[Column35]])</f>
        <v>0</v>
      </c>
      <c r="BG32" s="93"/>
      <c r="BH32" s="91" t="str">
        <f t="shared" si="5"/>
        <v>--</v>
      </c>
      <c r="BI32" s="89">
        <f>IF(Table63[[#This Row],[Column38]]="--",0,Table63[[#This Row],[Column2]]*Table63[[#This Row],[Column38]])</f>
        <v>0</v>
      </c>
      <c r="BJ32" s="94"/>
      <c r="BK32" s="91" t="str">
        <f t="shared" si="7"/>
        <v>--</v>
      </c>
      <c r="BL32" s="92">
        <f>IF(Table63[[#This Row],[Column41]]="--",0,Table63[[#This Row],[Column2]]*Table63[[#This Row],[Column41]])</f>
        <v>0</v>
      </c>
      <c r="BM32" s="44"/>
      <c r="BN32" s="90"/>
      <c r="BO32" s="91" t="str">
        <f>IF(BN32=0,"--",(Table63[[#This Row],[Column84]]*$BN$4*(IF(J32&lt;0.5001,1,IF(J32&lt;2.0001,2,3)))+BN32/$BN$3)/60/24)</f>
        <v>--</v>
      </c>
      <c r="BP32" s="92">
        <f>IF(Table63[[#This Row],[Column44]]="--",0,Table63[[#This Row],[Column2]]*Table63[[#This Row],[Column44]])</f>
        <v>0</v>
      </c>
      <c r="BQ32" s="95" t="s">
        <v>70</v>
      </c>
      <c r="BR32" s="91" t="str">
        <f>IF(Table63[[#This Row],[Column43]]=0,"--",BO32*$BQ$3)</f>
        <v>--</v>
      </c>
      <c r="BS32" s="89">
        <f>IF(Table63[[#This Row],[Column45]]="--",0,Table63[[#This Row],[Column2]]*Table63[[#This Row],[Column45]])</f>
        <v>0</v>
      </c>
      <c r="BT32" s="95" t="s">
        <v>70</v>
      </c>
      <c r="BU32" s="91" t="str">
        <f>IF(Table63[[#This Row],[Column7]]+Table63[[#This Row],[Column43]]=0,"--",J32*$BT$4*$BT$5/(24*60)+IF(Table63[[#This Row],[Column43]]=0,0,BT27*Table63[[#This Row],[Column44]]))</f>
        <v>--</v>
      </c>
      <c r="BV32" s="92">
        <f>IF(Table63[[#This Row],[Column48]]="--",0,Table63[[#This Row],[Column2]]*Table63[[#This Row],[Column48]])</f>
        <v>0</v>
      </c>
      <c r="BW32" s="93" t="str">
        <f>IF(Table63[[#This Row],[Column37]]="","--",Table63[[#This Row],[Column37]])</f>
        <v>--</v>
      </c>
      <c r="BX32" s="96" t="str">
        <f>IF(Table63[[#This Row],[Column44]]="--","--",Table63[[#This Row],[Column84]]+1)</f>
        <v>--</v>
      </c>
      <c r="BY32" s="91" t="str">
        <f>IF(Table63[[#This Row],[Column37]]+Table63[[#This Row],[Column84]]+Table63[[#This Row],[Column43]]=0,"--",(BG32*$BW$3/60+IF(Table63[[#This Row],[Column43]]=0,0,(BM32+1)*$BW$4))/60/24)</f>
        <v>--</v>
      </c>
      <c r="BZ32" s="92">
        <f>IF(Table63[[#This Row],[Column73]]="--",0,Table63[[#This Row],[Column2]]*Table63[[#This Row],[Column73]])</f>
        <v>0</v>
      </c>
      <c r="CA32" s="97" t="str">
        <f t="shared" si="8"/>
        <v>--</v>
      </c>
      <c r="CC32" s="89">
        <f>IF(Table63[[#This Row],[Column49]]="--",0,Table63[[#This Row],[Column2]]*Table63[[#This Row],[Column49]])</f>
        <v>0</v>
      </c>
      <c r="CD32" s="101" t="s">
        <v>70</v>
      </c>
      <c r="CE32" s="91" t="str">
        <f t="shared" si="6"/>
        <v>--</v>
      </c>
      <c r="CF32" s="89">
        <f>IF(Table63[[#This Row],[Column88]]="--",0,Table63[[#This Row],[Column2]]*Table63[[#This Row],[Column88]])</f>
        <v>0</v>
      </c>
      <c r="CG32" s="96"/>
      <c r="CH32" s="96"/>
      <c r="CI32" s="96"/>
      <c r="CJ32" s="96"/>
      <c r="CK32" s="96"/>
      <c r="CL32" s="101" t="str">
        <f>IF(Table63[[#This Row],[Column78]]+Table63[[#This Row],[Column79]]+Table63[[#This Row],[Column81]]+Table63[[#This Row],[Column80]]+Table63[[#This Row],[Column82]]=0,"--",((Table63[[#This Row],[Column78]]*2+Table63[[#This Row],[Column79]]+Table63[[#This Row],[Column81]])*$CK$3+Table63[[#This Row],[Column80]]*$CK$4+Table63[[#This Row],[Column82]]*$CK$5)/60/24)</f>
        <v>--</v>
      </c>
      <c r="CM32" s="89">
        <f>IF(Table63[[#This Row],[Column52]]="--",0,Table63[[#This Row],[Column2]]*Table63[[#This Row],[Column52]])</f>
        <v>0</v>
      </c>
      <c r="CN32" s="96"/>
      <c r="CO32" s="91" t="str">
        <f>IF(Table63[[#This Row],[Column52]]="--","--",Table63[[#This Row],[Column77]]*$CN$3/60/24)</f>
        <v>--</v>
      </c>
      <c r="CP32" s="89">
        <f>IF(Table63[[#This Row],[Column51]]="--",0,Table63[[#This Row],[Column2]]*Table63[[#This Row],[Column51]])</f>
        <v>0</v>
      </c>
      <c r="CQ32" t="str">
        <f>IF(Table63[[#This Row],[Column85]]=0,"--",Table63[[#This Row],[Column85]]*Table63[[#This Row],[Column98]]*Table63[[#This Row],[Column97]]/1000000000)</f>
        <v>--</v>
      </c>
      <c r="CR32" s="53"/>
      <c r="CS32" s="53"/>
      <c r="CT32" s="53"/>
      <c r="CU32" s="91" t="str">
        <f t="shared" si="9"/>
        <v>--</v>
      </c>
      <c r="CV32" s="89">
        <f>IF(Table63[[#This Row],[Column53]]="--",0,Table63[[#This Row],[Column2]]*Table63[[#This Row],[Column53]])</f>
        <v>0</v>
      </c>
    </row>
    <row r="33" spans="1:100" x14ac:dyDescent="0.25">
      <c r="B33" s="79"/>
      <c r="C33" s="80"/>
      <c r="E33" s="52"/>
      <c r="F33" s="81"/>
      <c r="G33" s="81"/>
      <c r="H33" s="82" t="str">
        <f t="shared" si="0"/>
        <v>--</v>
      </c>
      <c r="I33" s="100">
        <f>IF(Table63[[#This Row],[Column75]]="--",0,Table63[[#This Row],[Column2]]*Table63[[#This Row],[Column75]])</f>
        <v>0</v>
      </c>
      <c r="J33" s="84"/>
      <c r="K33" s="85">
        <f>Table63[[#This Row],[Column2]]*Table63[[#This Row],[Column7]]</f>
        <v>0</v>
      </c>
      <c r="L33" s="86" t="str">
        <f t="shared" si="1"/>
        <v>--</v>
      </c>
      <c r="M33" s="85">
        <f>IF(Table63[[#This Row],[Column7]]=0,0,Table63[[#This Row],[Column2]]*Table63[[#This Row],[Column8]])</f>
        <v>0</v>
      </c>
      <c r="N33" s="87" t="str">
        <f t="shared" si="2"/>
        <v>--</v>
      </c>
      <c r="O33" s="88" t="s">
        <v>70</v>
      </c>
      <c r="AW33" s="89">
        <f>IF(Table63[[#This Row],[Column9]]="--",0,Table63[[#This Row],[Column2]]*Table63[[#This Row],[Column9]])</f>
        <v>0</v>
      </c>
      <c r="AX33" s="90"/>
      <c r="AY33" s="91" t="str">
        <f>IF(AX33=0,"--",AX33*$AX$3*IF(Table63[[#This Row],[Column4]]&lt;4.1,1,2)/60/24)</f>
        <v>--</v>
      </c>
      <c r="AZ33" s="92">
        <f>IF(Table63[[#This Row],[Column29]]="--",0,Table63[[#This Row],[Column2]]*Table63[[#This Row],[Column29]])</f>
        <v>0</v>
      </c>
      <c r="BA33" s="93"/>
      <c r="BB33" s="91" t="str">
        <f t="shared" si="3"/>
        <v>--</v>
      </c>
      <c r="BC33" s="92">
        <f>IF(Table63[[#This Row],[Column32]]="--",0,Table63[[#This Row],[Column2]]*Table63[[#This Row],[Column32]])</f>
        <v>0</v>
      </c>
      <c r="BD33" s="93"/>
      <c r="BE33" s="91" t="str">
        <f t="shared" si="4"/>
        <v>--</v>
      </c>
      <c r="BF33" s="89">
        <f>IF(Table63[[#This Row],[Column35]]="--",0,Table63[[#This Row],[Column2]]*Table63[[#This Row],[Column35]])</f>
        <v>0</v>
      </c>
      <c r="BG33" s="93"/>
      <c r="BH33" s="91" t="str">
        <f t="shared" si="5"/>
        <v>--</v>
      </c>
      <c r="BI33" s="89">
        <f>IF(Table63[[#This Row],[Column38]]="--",0,Table63[[#This Row],[Column2]]*Table63[[#This Row],[Column38]])</f>
        <v>0</v>
      </c>
      <c r="BJ33" s="94"/>
      <c r="BK33" s="91" t="str">
        <f t="shared" si="7"/>
        <v>--</v>
      </c>
      <c r="BL33" s="92">
        <f>IF(Table63[[#This Row],[Column41]]="--",0,Table63[[#This Row],[Column2]]*Table63[[#This Row],[Column41]])</f>
        <v>0</v>
      </c>
      <c r="BM33" s="44"/>
      <c r="BN33" s="90"/>
      <c r="BO33" s="91" t="str">
        <f>IF(BN33=0,"--",(Table63[[#This Row],[Column84]]*$BN$4*(IF(J33&lt;0.5001,1,IF(J33&lt;2.0001,2,3)))+BN33/$BN$3)/60/24)</f>
        <v>--</v>
      </c>
      <c r="BP33" s="92">
        <f>IF(Table63[[#This Row],[Column44]]="--",0,Table63[[#This Row],[Column2]]*Table63[[#This Row],[Column44]])</f>
        <v>0</v>
      </c>
      <c r="BQ33" s="95" t="s">
        <v>70</v>
      </c>
      <c r="BR33" s="91" t="str">
        <f>IF(Table63[[#This Row],[Column43]]=0,"--",BO33*$BQ$3)</f>
        <v>--</v>
      </c>
      <c r="BS33" s="89">
        <f>IF(Table63[[#This Row],[Column45]]="--",0,Table63[[#This Row],[Column2]]*Table63[[#This Row],[Column45]])</f>
        <v>0</v>
      </c>
      <c r="BT33" s="95" t="s">
        <v>70</v>
      </c>
      <c r="BU33" s="91" t="str">
        <f>IF(Table63[[#This Row],[Column7]]+Table63[[#This Row],[Column43]]=0,"--",J33*$BT$4*$BT$5/(24*60)+IF(Table63[[#This Row],[Column43]]=0,0,BT28*Table63[[#This Row],[Column44]]))</f>
        <v>--</v>
      </c>
      <c r="BV33" s="92">
        <f>IF(Table63[[#This Row],[Column48]]="--",0,Table63[[#This Row],[Column2]]*Table63[[#This Row],[Column48]])</f>
        <v>0</v>
      </c>
      <c r="BW33" s="93" t="str">
        <f>IF(Table63[[#This Row],[Column37]]="","--",Table63[[#This Row],[Column37]])</f>
        <v>--</v>
      </c>
      <c r="BX33" s="96" t="str">
        <f>IF(Table63[[#This Row],[Column44]]="--","--",Table63[[#This Row],[Column84]]+1)</f>
        <v>--</v>
      </c>
      <c r="BY33" s="91" t="str">
        <f>IF(Table63[[#This Row],[Column37]]+Table63[[#This Row],[Column84]]+Table63[[#This Row],[Column43]]=0,"--",(BG33*$BW$3/60+IF(Table63[[#This Row],[Column43]]=0,0,(BM33+1)*$BW$4))/60/24)</f>
        <v>--</v>
      </c>
      <c r="BZ33" s="92">
        <f>IF(Table63[[#This Row],[Column73]]="--",0,Table63[[#This Row],[Column2]]*Table63[[#This Row],[Column73]])</f>
        <v>0</v>
      </c>
      <c r="CA33" s="97" t="str">
        <f t="shared" si="8"/>
        <v>--</v>
      </c>
      <c r="CC33" s="89">
        <f>IF(Table63[[#This Row],[Column49]]="--",0,Table63[[#This Row],[Column2]]*Table63[[#This Row],[Column49]])</f>
        <v>0</v>
      </c>
      <c r="CD33" s="101" t="s">
        <v>70</v>
      </c>
      <c r="CE33" s="91" t="str">
        <f t="shared" si="6"/>
        <v>--</v>
      </c>
      <c r="CF33" s="89">
        <f>IF(Table63[[#This Row],[Column88]]="--",0,Table63[[#This Row],[Column2]]*Table63[[#This Row],[Column88]])</f>
        <v>0</v>
      </c>
      <c r="CG33" s="96"/>
      <c r="CH33" s="96"/>
      <c r="CI33" s="96"/>
      <c r="CJ33" s="96"/>
      <c r="CK33" s="96"/>
      <c r="CL33" s="101" t="str">
        <f>IF(Table63[[#This Row],[Column78]]+Table63[[#This Row],[Column79]]+Table63[[#This Row],[Column81]]+Table63[[#This Row],[Column80]]+Table63[[#This Row],[Column82]]=0,"--",((Table63[[#This Row],[Column78]]*2+Table63[[#This Row],[Column79]]+Table63[[#This Row],[Column81]])*$CK$3+Table63[[#This Row],[Column80]]*$CK$4+Table63[[#This Row],[Column82]]*$CK$5)/60/24)</f>
        <v>--</v>
      </c>
      <c r="CM33" s="89">
        <f>IF(Table63[[#This Row],[Column52]]="--",0,Table63[[#This Row],[Column2]]*Table63[[#This Row],[Column52]])</f>
        <v>0</v>
      </c>
      <c r="CN33" s="96"/>
      <c r="CO33" s="91" t="str">
        <f>IF(Table63[[#This Row],[Column52]]="--","--",Table63[[#This Row],[Column77]]*$CN$3/60/24)</f>
        <v>--</v>
      </c>
      <c r="CP33" s="89">
        <f>IF(Table63[[#This Row],[Column51]]="--",0,Table63[[#This Row],[Column2]]*Table63[[#This Row],[Column51]])</f>
        <v>0</v>
      </c>
      <c r="CQ33" t="str">
        <f>IF(Table63[[#This Row],[Column85]]=0,"--",Table63[[#This Row],[Column85]]*Table63[[#This Row],[Column98]]*Table63[[#This Row],[Column97]]/1000000000)</f>
        <v>--</v>
      </c>
      <c r="CR33" s="53"/>
      <c r="CS33" s="53"/>
      <c r="CT33" s="53"/>
      <c r="CU33" s="91" t="str">
        <f t="shared" si="9"/>
        <v>--</v>
      </c>
      <c r="CV33" s="89">
        <f>IF(Table63[[#This Row],[Column53]]="--",0,Table63[[#This Row],[Column2]]*Table63[[#This Row],[Column53]])</f>
        <v>0</v>
      </c>
    </row>
    <row r="34" spans="1:100" x14ac:dyDescent="0.25">
      <c r="B34" s="79"/>
      <c r="C34" s="80"/>
      <c r="E34" s="52"/>
      <c r="F34" s="81"/>
      <c r="G34" s="81"/>
      <c r="H34" s="82" t="str">
        <f t="shared" si="0"/>
        <v>--</v>
      </c>
      <c r="I34" s="100">
        <f>IF(Table63[[#This Row],[Column75]]="--",0,Table63[[#This Row],[Column2]]*Table63[[#This Row],[Column75]])</f>
        <v>0</v>
      </c>
      <c r="J34" s="84"/>
      <c r="K34" s="85">
        <f>Table63[[#This Row],[Column2]]*Table63[[#This Row],[Column7]]</f>
        <v>0</v>
      </c>
      <c r="L34" s="86" t="str">
        <f t="shared" si="1"/>
        <v>--</v>
      </c>
      <c r="M34" s="85">
        <f>IF(Table63[[#This Row],[Column7]]=0,0,Table63[[#This Row],[Column2]]*Table63[[#This Row],[Column8]])</f>
        <v>0</v>
      </c>
      <c r="N34" s="87" t="str">
        <f t="shared" si="2"/>
        <v>--</v>
      </c>
      <c r="O34" s="88" t="s">
        <v>70</v>
      </c>
      <c r="AW34" s="89">
        <f>IF(Table63[[#This Row],[Column9]]="--",0,Table63[[#This Row],[Column2]]*Table63[[#This Row],[Column9]])</f>
        <v>0</v>
      </c>
      <c r="AX34" s="90"/>
      <c r="AY34" s="91" t="str">
        <f>IF(AX34=0,"--",AX34*$AX$3*IF(Table63[[#This Row],[Column4]]&lt;4.1,1,2)/60/24)</f>
        <v>--</v>
      </c>
      <c r="AZ34" s="92">
        <f>IF(Table63[[#This Row],[Column29]]="--",0,Table63[[#This Row],[Column2]]*Table63[[#This Row],[Column29]])</f>
        <v>0</v>
      </c>
      <c r="BA34" s="93"/>
      <c r="BB34" s="91" t="str">
        <f t="shared" si="3"/>
        <v>--</v>
      </c>
      <c r="BC34" s="92">
        <f>IF(Table63[[#This Row],[Column32]]="--",0,Table63[[#This Row],[Column2]]*Table63[[#This Row],[Column32]])</f>
        <v>0</v>
      </c>
      <c r="BD34" s="93"/>
      <c r="BE34" s="91" t="str">
        <f t="shared" si="4"/>
        <v>--</v>
      </c>
      <c r="BF34" s="89">
        <f>IF(Table63[[#This Row],[Column35]]="--",0,Table63[[#This Row],[Column2]]*Table63[[#This Row],[Column35]])</f>
        <v>0</v>
      </c>
      <c r="BG34" s="93"/>
      <c r="BH34" s="91" t="str">
        <f t="shared" si="5"/>
        <v>--</v>
      </c>
      <c r="BI34" s="89">
        <f>IF(Table63[[#This Row],[Column38]]="--",0,Table63[[#This Row],[Column2]]*Table63[[#This Row],[Column38]])</f>
        <v>0</v>
      </c>
      <c r="BJ34" s="94"/>
      <c r="BK34" s="91" t="str">
        <f t="shared" si="7"/>
        <v>--</v>
      </c>
      <c r="BL34" s="92">
        <f>IF(Table63[[#This Row],[Column41]]="--",0,Table63[[#This Row],[Column2]]*Table63[[#This Row],[Column41]])</f>
        <v>0</v>
      </c>
      <c r="BM34" s="44"/>
      <c r="BN34" s="90"/>
      <c r="BO34" s="91" t="str">
        <f>IF(BN34=0,"--",(Table63[[#This Row],[Column84]]*$BN$4*(IF(J34&lt;0.5001,1,IF(J34&lt;2.0001,2,3)))+BN34/$BN$3)/60/24)</f>
        <v>--</v>
      </c>
      <c r="BP34" s="92">
        <f>IF(Table63[[#This Row],[Column44]]="--",0,Table63[[#This Row],[Column2]]*Table63[[#This Row],[Column44]])</f>
        <v>0</v>
      </c>
      <c r="BQ34" s="95" t="s">
        <v>70</v>
      </c>
      <c r="BR34" s="91" t="str">
        <f>IF(Table63[[#This Row],[Column43]]=0,"--",BO34*$BQ$3)</f>
        <v>--</v>
      </c>
      <c r="BS34" s="89">
        <f>IF(Table63[[#This Row],[Column45]]="--",0,Table63[[#This Row],[Column2]]*Table63[[#This Row],[Column45]])</f>
        <v>0</v>
      </c>
      <c r="BT34" s="95" t="s">
        <v>70</v>
      </c>
      <c r="BU34" s="91" t="str">
        <f>IF(Table63[[#This Row],[Column7]]+Table63[[#This Row],[Column43]]=0,"--",J34*$BT$4*$BT$5/(24*60)+IF(Table63[[#This Row],[Column43]]=0,0,BT29*Table63[[#This Row],[Column44]]))</f>
        <v>--</v>
      </c>
      <c r="BV34" s="92">
        <f>IF(Table63[[#This Row],[Column48]]="--",0,Table63[[#This Row],[Column2]]*Table63[[#This Row],[Column48]])</f>
        <v>0</v>
      </c>
      <c r="BW34" s="93" t="str">
        <f>IF(Table63[[#This Row],[Column37]]="","--",Table63[[#This Row],[Column37]])</f>
        <v>--</v>
      </c>
      <c r="BX34" s="96" t="str">
        <f>IF(Table63[[#This Row],[Column44]]="--","--",Table63[[#This Row],[Column84]]+1)</f>
        <v>--</v>
      </c>
      <c r="BY34" s="91" t="str">
        <f>IF(Table63[[#This Row],[Column37]]+Table63[[#This Row],[Column84]]+Table63[[#This Row],[Column43]]=0,"--",(BG34*$BW$3/60+IF(Table63[[#This Row],[Column43]]=0,0,(BM34+1)*$BW$4))/60/24)</f>
        <v>--</v>
      </c>
      <c r="BZ34" s="92">
        <f>IF(Table63[[#This Row],[Column73]]="--",0,Table63[[#This Row],[Column2]]*Table63[[#This Row],[Column73]])</f>
        <v>0</v>
      </c>
      <c r="CA34" s="97" t="str">
        <f t="shared" si="8"/>
        <v>--</v>
      </c>
      <c r="CC34" s="89">
        <f>IF(Table63[[#This Row],[Column49]]="--",0,Table63[[#This Row],[Column2]]*Table63[[#This Row],[Column49]])</f>
        <v>0</v>
      </c>
      <c r="CD34" s="101" t="s">
        <v>70</v>
      </c>
      <c r="CE34" s="91" t="str">
        <f t="shared" si="6"/>
        <v>--</v>
      </c>
      <c r="CF34" s="89">
        <f>IF(Table63[[#This Row],[Column88]]="--",0,Table63[[#This Row],[Column2]]*Table63[[#This Row],[Column88]])</f>
        <v>0</v>
      </c>
      <c r="CG34" s="96"/>
      <c r="CH34" s="96"/>
      <c r="CI34" s="96"/>
      <c r="CJ34" s="96"/>
      <c r="CK34" s="96"/>
      <c r="CL34" s="101" t="str">
        <f>IF(Table63[[#This Row],[Column78]]+Table63[[#This Row],[Column79]]+Table63[[#This Row],[Column81]]+Table63[[#This Row],[Column80]]+Table63[[#This Row],[Column82]]=0,"--",((Table63[[#This Row],[Column78]]*2+Table63[[#This Row],[Column79]]+Table63[[#This Row],[Column81]])*$CK$3+Table63[[#This Row],[Column80]]*$CK$4+Table63[[#This Row],[Column82]]*$CK$5)/60/24)</f>
        <v>--</v>
      </c>
      <c r="CM34" s="89">
        <f>IF(Table63[[#This Row],[Column52]]="--",0,Table63[[#This Row],[Column2]]*Table63[[#This Row],[Column52]])</f>
        <v>0</v>
      </c>
      <c r="CN34" s="96"/>
      <c r="CO34" s="91" t="str">
        <f>IF(Table63[[#This Row],[Column52]]="--","--",Table63[[#This Row],[Column77]]*$CN$3/60/24)</f>
        <v>--</v>
      </c>
      <c r="CP34" s="89">
        <f>IF(Table63[[#This Row],[Column51]]="--",0,Table63[[#This Row],[Column2]]*Table63[[#This Row],[Column51]])</f>
        <v>0</v>
      </c>
      <c r="CQ34" t="str">
        <f>IF(Table63[[#This Row],[Column85]]=0,"--",Table63[[#This Row],[Column85]]*Table63[[#This Row],[Column98]]*Table63[[#This Row],[Column97]]/1000000000)</f>
        <v>--</v>
      </c>
      <c r="CR34" s="53"/>
      <c r="CS34" s="53"/>
      <c r="CT34" s="53"/>
      <c r="CU34" s="91" t="str">
        <f t="shared" si="9"/>
        <v>--</v>
      </c>
      <c r="CV34" s="89">
        <f>IF(Table63[[#This Row],[Column53]]="--",0,Table63[[#This Row],[Column2]]*Table63[[#This Row],[Column53]])</f>
        <v>0</v>
      </c>
    </row>
    <row r="35" spans="1:100" x14ac:dyDescent="0.25">
      <c r="B35" s="79"/>
      <c r="C35" s="80"/>
      <c r="E35" s="52"/>
      <c r="F35" s="81"/>
      <c r="G35" s="81"/>
      <c r="H35" s="82" t="str">
        <f t="shared" si="0"/>
        <v>--</v>
      </c>
      <c r="I35" s="100">
        <f>IF(Table63[[#This Row],[Column75]]="--",0,Table63[[#This Row],[Column2]]*Table63[[#This Row],[Column75]])</f>
        <v>0</v>
      </c>
      <c r="J35" s="84"/>
      <c r="K35" s="85">
        <f>Table63[[#This Row],[Column2]]*Table63[[#This Row],[Column7]]</f>
        <v>0</v>
      </c>
      <c r="L35" s="86" t="str">
        <f t="shared" si="1"/>
        <v>--</v>
      </c>
      <c r="M35" s="85">
        <f>IF(Table63[[#This Row],[Column7]]=0,0,Table63[[#This Row],[Column2]]*Table63[[#This Row],[Column8]])</f>
        <v>0</v>
      </c>
      <c r="N35" s="87" t="str">
        <f t="shared" si="2"/>
        <v>--</v>
      </c>
      <c r="O35" s="88" t="s">
        <v>70</v>
      </c>
      <c r="AW35" s="89">
        <f>IF(Table63[[#This Row],[Column9]]="--",0,Table63[[#This Row],[Column2]]*Table63[[#This Row],[Column9]])</f>
        <v>0</v>
      </c>
      <c r="AX35" s="90"/>
      <c r="AY35" s="91" t="str">
        <f>IF(AX35=0,"--",AX35*$AX$3*IF(Table63[[#This Row],[Column4]]&lt;4.1,1,2)/60/24)</f>
        <v>--</v>
      </c>
      <c r="AZ35" s="92">
        <f>IF(Table63[[#This Row],[Column29]]="--",0,Table63[[#This Row],[Column2]]*Table63[[#This Row],[Column29]])</f>
        <v>0</v>
      </c>
      <c r="BA35" s="93"/>
      <c r="BB35" s="91" t="str">
        <f t="shared" si="3"/>
        <v>--</v>
      </c>
      <c r="BC35" s="92">
        <f>IF(Table63[[#This Row],[Column32]]="--",0,Table63[[#This Row],[Column2]]*Table63[[#This Row],[Column32]])</f>
        <v>0</v>
      </c>
      <c r="BD35" s="93"/>
      <c r="BE35" s="91" t="str">
        <f t="shared" si="4"/>
        <v>--</v>
      </c>
      <c r="BF35" s="89">
        <f>IF(Table63[[#This Row],[Column35]]="--",0,Table63[[#This Row],[Column2]]*Table63[[#This Row],[Column35]])</f>
        <v>0</v>
      </c>
      <c r="BG35" s="93"/>
      <c r="BH35" s="91" t="str">
        <f t="shared" si="5"/>
        <v>--</v>
      </c>
      <c r="BI35" s="89">
        <f>IF(Table63[[#This Row],[Column38]]="--",0,Table63[[#This Row],[Column2]]*Table63[[#This Row],[Column38]])</f>
        <v>0</v>
      </c>
      <c r="BJ35" s="94"/>
      <c r="BK35" s="91" t="str">
        <f t="shared" si="7"/>
        <v>--</v>
      </c>
      <c r="BL35" s="92">
        <f>IF(Table63[[#This Row],[Column41]]="--",0,Table63[[#This Row],[Column2]]*Table63[[#This Row],[Column41]])</f>
        <v>0</v>
      </c>
      <c r="BM35" s="44"/>
      <c r="BN35" s="90"/>
      <c r="BO35" s="91" t="str">
        <f>IF(BN35=0,"--",(Table63[[#This Row],[Column84]]*$BN$4*(IF(J35&lt;0.5001,1,IF(J35&lt;2.0001,2,3)))+BN35/$BN$3)/60/24)</f>
        <v>--</v>
      </c>
      <c r="BP35" s="92">
        <f>IF(Table63[[#This Row],[Column44]]="--",0,Table63[[#This Row],[Column2]]*Table63[[#This Row],[Column44]])</f>
        <v>0</v>
      </c>
      <c r="BQ35" s="95" t="s">
        <v>70</v>
      </c>
      <c r="BR35" s="91" t="str">
        <f>IF(Table63[[#This Row],[Column43]]=0,"--",BO35*$BQ$3)</f>
        <v>--</v>
      </c>
      <c r="BS35" s="89">
        <f>IF(Table63[[#This Row],[Column45]]="--",0,Table63[[#This Row],[Column2]]*Table63[[#This Row],[Column45]])</f>
        <v>0</v>
      </c>
      <c r="BT35" s="95" t="s">
        <v>70</v>
      </c>
      <c r="BU35" s="91" t="str">
        <f>IF(Table63[[#This Row],[Column7]]+Table63[[#This Row],[Column43]]=0,"--",J35*$BT$4*$BT$5/(24*60)+IF(Table63[[#This Row],[Column43]]=0,0,BT30*Table63[[#This Row],[Column44]]))</f>
        <v>--</v>
      </c>
      <c r="BV35" s="92">
        <f>IF(Table63[[#This Row],[Column48]]="--",0,Table63[[#This Row],[Column2]]*Table63[[#This Row],[Column48]])</f>
        <v>0</v>
      </c>
      <c r="BW35" s="93" t="str">
        <f>IF(Table63[[#This Row],[Column37]]="","--",Table63[[#This Row],[Column37]])</f>
        <v>--</v>
      </c>
      <c r="BX35" s="96" t="str">
        <f>IF(Table63[[#This Row],[Column44]]="--","--",Table63[[#This Row],[Column84]]+1)</f>
        <v>--</v>
      </c>
      <c r="BY35" s="91" t="str">
        <f>IF(Table63[[#This Row],[Column37]]+Table63[[#This Row],[Column84]]+Table63[[#This Row],[Column43]]=0,"--",(BG35*$BW$3/60+IF(Table63[[#This Row],[Column43]]=0,0,(BM35+1)*$BW$4))/60/24)</f>
        <v>--</v>
      </c>
      <c r="BZ35" s="92">
        <f>IF(Table63[[#This Row],[Column73]]="--",0,Table63[[#This Row],[Column2]]*Table63[[#This Row],[Column73]])</f>
        <v>0</v>
      </c>
      <c r="CA35" s="97" t="str">
        <f t="shared" si="8"/>
        <v>--</v>
      </c>
      <c r="CC35" s="89">
        <f>IF(Table63[[#This Row],[Column49]]="--",0,Table63[[#This Row],[Column2]]*Table63[[#This Row],[Column49]])</f>
        <v>0</v>
      </c>
      <c r="CD35" s="101" t="s">
        <v>70</v>
      </c>
      <c r="CE35" s="91" t="str">
        <f t="shared" si="6"/>
        <v>--</v>
      </c>
      <c r="CF35" s="89">
        <f>IF(Table63[[#This Row],[Column88]]="--",0,Table63[[#This Row],[Column2]]*Table63[[#This Row],[Column88]])</f>
        <v>0</v>
      </c>
      <c r="CG35" s="96"/>
      <c r="CH35" s="96"/>
      <c r="CI35" s="96"/>
      <c r="CJ35" s="96"/>
      <c r="CK35" s="96"/>
      <c r="CL35" s="101" t="str">
        <f>IF(Table63[[#This Row],[Column78]]+Table63[[#This Row],[Column79]]+Table63[[#This Row],[Column81]]+Table63[[#This Row],[Column80]]+Table63[[#This Row],[Column82]]=0,"--",((Table63[[#This Row],[Column78]]*2+Table63[[#This Row],[Column79]]+Table63[[#This Row],[Column81]])*$CK$3+Table63[[#This Row],[Column80]]*$CK$4+Table63[[#This Row],[Column82]]*$CK$5)/60/24)</f>
        <v>--</v>
      </c>
      <c r="CM35" s="89">
        <f>IF(Table63[[#This Row],[Column52]]="--",0,Table63[[#This Row],[Column2]]*Table63[[#This Row],[Column52]])</f>
        <v>0</v>
      </c>
      <c r="CN35" s="96"/>
      <c r="CO35" s="91" t="str">
        <f>IF(Table63[[#This Row],[Column52]]="--","--",Table63[[#This Row],[Column77]]*$CN$3/60/24)</f>
        <v>--</v>
      </c>
      <c r="CP35" s="89">
        <f>IF(Table63[[#This Row],[Column51]]="--",0,Table63[[#This Row],[Column2]]*Table63[[#This Row],[Column51]])</f>
        <v>0</v>
      </c>
      <c r="CQ35" t="str">
        <f>IF(Table63[[#This Row],[Column85]]=0,"--",Table63[[#This Row],[Column85]]*Table63[[#This Row],[Column98]]*Table63[[#This Row],[Column97]]/1000000000)</f>
        <v>--</v>
      </c>
      <c r="CR35" s="53"/>
      <c r="CS35" s="53"/>
      <c r="CT35" s="53"/>
      <c r="CU35" s="91" t="str">
        <f t="shared" si="9"/>
        <v>--</v>
      </c>
      <c r="CV35" s="89">
        <f>IF(Table63[[#This Row],[Column53]]="--",0,Table63[[#This Row],[Column2]]*Table63[[#This Row],[Column53]])</f>
        <v>0</v>
      </c>
    </row>
    <row r="36" spans="1:100" x14ac:dyDescent="0.25">
      <c r="B36" s="79"/>
      <c r="C36" s="80"/>
      <c r="E36" s="52"/>
      <c r="F36" s="81"/>
      <c r="G36" s="81"/>
      <c r="H36" s="82" t="str">
        <f t="shared" si="0"/>
        <v>--</v>
      </c>
      <c r="I36" s="100">
        <f>IF(Table63[[#This Row],[Column75]]="--",0,Table63[[#This Row],[Column2]]*Table63[[#This Row],[Column75]])</f>
        <v>0</v>
      </c>
      <c r="J36" s="84"/>
      <c r="K36" s="85">
        <f>Table63[[#This Row],[Column2]]*Table63[[#This Row],[Column7]]</f>
        <v>0</v>
      </c>
      <c r="L36" s="86" t="str">
        <f t="shared" si="1"/>
        <v>--</v>
      </c>
      <c r="M36" s="85">
        <f>IF(Table63[[#This Row],[Column7]]=0,0,Table63[[#This Row],[Column2]]*Table63[[#This Row],[Column8]])</f>
        <v>0</v>
      </c>
      <c r="N36" s="87" t="str">
        <f t="shared" si="2"/>
        <v>--</v>
      </c>
      <c r="O36" s="88" t="s">
        <v>70</v>
      </c>
      <c r="AW36" s="89">
        <f>IF(Table63[[#This Row],[Column9]]="--",0,Table63[[#This Row],[Column2]]*Table63[[#This Row],[Column9]])</f>
        <v>0</v>
      </c>
      <c r="AX36" s="90"/>
      <c r="AY36" s="91" t="str">
        <f>IF(AX36=0,"--",AX36*$AX$3*IF(Table63[[#This Row],[Column4]]&lt;4.1,1,2)/60/24)</f>
        <v>--</v>
      </c>
      <c r="AZ36" s="92">
        <f>IF(Table63[[#This Row],[Column29]]="--",0,Table63[[#This Row],[Column2]]*Table63[[#This Row],[Column29]])</f>
        <v>0</v>
      </c>
      <c r="BA36" s="93"/>
      <c r="BB36" s="91" t="str">
        <f t="shared" si="3"/>
        <v>--</v>
      </c>
      <c r="BC36" s="92">
        <f>IF(Table63[[#This Row],[Column32]]="--",0,Table63[[#This Row],[Column2]]*Table63[[#This Row],[Column32]])</f>
        <v>0</v>
      </c>
      <c r="BD36" s="93"/>
      <c r="BE36" s="91" t="str">
        <f t="shared" si="4"/>
        <v>--</v>
      </c>
      <c r="BF36" s="89">
        <f>IF(Table63[[#This Row],[Column35]]="--",0,Table63[[#This Row],[Column2]]*Table63[[#This Row],[Column35]])</f>
        <v>0</v>
      </c>
      <c r="BG36" s="93"/>
      <c r="BH36" s="91" t="str">
        <f t="shared" si="5"/>
        <v>--</v>
      </c>
      <c r="BI36" s="89">
        <f>IF(Table63[[#This Row],[Column38]]="--",0,Table63[[#This Row],[Column2]]*Table63[[#This Row],[Column38]])</f>
        <v>0</v>
      </c>
      <c r="BJ36" s="94"/>
      <c r="BK36" s="91" t="str">
        <f t="shared" si="7"/>
        <v>--</v>
      </c>
      <c r="BL36" s="92">
        <f>IF(Table63[[#This Row],[Column41]]="--",0,Table63[[#This Row],[Column2]]*Table63[[#This Row],[Column41]])</f>
        <v>0</v>
      </c>
      <c r="BM36" s="44"/>
      <c r="BN36" s="90"/>
      <c r="BO36" s="91" t="str">
        <f>IF(BN36=0,"--",(Table63[[#This Row],[Column84]]*$BN$4*(IF(J36&lt;0.5001,1,IF(J36&lt;2.0001,2,3)))+BN36/$BN$3)/60/24)</f>
        <v>--</v>
      </c>
      <c r="BP36" s="92">
        <f>IF(Table63[[#This Row],[Column44]]="--",0,Table63[[#This Row],[Column2]]*Table63[[#This Row],[Column44]])</f>
        <v>0</v>
      </c>
      <c r="BQ36" s="95" t="s">
        <v>70</v>
      </c>
      <c r="BR36" s="91" t="str">
        <f>IF(Table63[[#This Row],[Column43]]=0,"--",BO36*$BQ$3)</f>
        <v>--</v>
      </c>
      <c r="BS36" s="89">
        <f>IF(Table63[[#This Row],[Column45]]="--",0,Table63[[#This Row],[Column2]]*Table63[[#This Row],[Column45]])</f>
        <v>0</v>
      </c>
      <c r="BT36" s="95" t="s">
        <v>70</v>
      </c>
      <c r="BU36" s="91" t="str">
        <f>IF(Table63[[#This Row],[Column7]]+Table63[[#This Row],[Column43]]=0,"--",J36*$BT$4*$BT$5/(24*60)+IF(Table63[[#This Row],[Column43]]=0,0,BT31*Table63[[#This Row],[Column44]]))</f>
        <v>--</v>
      </c>
      <c r="BV36" s="92">
        <f>IF(Table63[[#This Row],[Column48]]="--",0,Table63[[#This Row],[Column2]]*Table63[[#This Row],[Column48]])</f>
        <v>0</v>
      </c>
      <c r="BW36" s="93" t="str">
        <f>IF(Table63[[#This Row],[Column37]]="","--",Table63[[#This Row],[Column37]])</f>
        <v>--</v>
      </c>
      <c r="BX36" s="96" t="str">
        <f>IF(Table63[[#This Row],[Column44]]="--","--",Table63[[#This Row],[Column84]]+1)</f>
        <v>--</v>
      </c>
      <c r="BY36" s="91" t="str">
        <f>IF(Table63[[#This Row],[Column37]]+Table63[[#This Row],[Column84]]+Table63[[#This Row],[Column43]]=0,"--",(BG36*$BW$3/60+IF(Table63[[#This Row],[Column43]]=0,0,(BM36+1)*$BW$4))/60/24)</f>
        <v>--</v>
      </c>
      <c r="BZ36" s="92">
        <f>IF(Table63[[#This Row],[Column73]]="--",0,Table63[[#This Row],[Column2]]*Table63[[#This Row],[Column73]])</f>
        <v>0</v>
      </c>
      <c r="CA36" s="97" t="str">
        <f t="shared" si="8"/>
        <v>--</v>
      </c>
      <c r="CC36" s="89">
        <f>IF(Table63[[#This Row],[Column49]]="--",0,Table63[[#This Row],[Column2]]*Table63[[#This Row],[Column49]])</f>
        <v>0</v>
      </c>
      <c r="CD36" s="101" t="s">
        <v>70</v>
      </c>
      <c r="CE36" s="91" t="str">
        <f t="shared" si="6"/>
        <v>--</v>
      </c>
      <c r="CF36" s="89">
        <f>IF(Table63[[#This Row],[Column88]]="--",0,Table63[[#This Row],[Column2]]*Table63[[#This Row],[Column88]])</f>
        <v>0</v>
      </c>
      <c r="CG36" s="96"/>
      <c r="CH36" s="96"/>
      <c r="CI36" s="96"/>
      <c r="CJ36" s="96"/>
      <c r="CK36" s="96"/>
      <c r="CL36" s="101" t="str">
        <f>IF(Table63[[#This Row],[Column78]]+Table63[[#This Row],[Column79]]+Table63[[#This Row],[Column81]]+Table63[[#This Row],[Column80]]+Table63[[#This Row],[Column82]]=0,"--",((Table63[[#This Row],[Column78]]*2+Table63[[#This Row],[Column79]]+Table63[[#This Row],[Column81]])*$CK$3+Table63[[#This Row],[Column80]]*$CK$4+Table63[[#This Row],[Column82]]*$CK$5)/60/24)</f>
        <v>--</v>
      </c>
      <c r="CM36" s="89">
        <f>IF(Table63[[#This Row],[Column52]]="--",0,Table63[[#This Row],[Column2]]*Table63[[#This Row],[Column52]])</f>
        <v>0</v>
      </c>
      <c r="CN36" s="96"/>
      <c r="CO36" s="91" t="str">
        <f>IF(Table63[[#This Row],[Column52]]="--","--",Table63[[#This Row],[Column77]]*$CN$3/60/24)</f>
        <v>--</v>
      </c>
      <c r="CP36" s="89">
        <f>IF(Table63[[#This Row],[Column51]]="--",0,Table63[[#This Row],[Column2]]*Table63[[#This Row],[Column51]])</f>
        <v>0</v>
      </c>
      <c r="CQ36" t="str">
        <f>IF(Table63[[#This Row],[Column85]]=0,"--",Table63[[#This Row],[Column85]]*Table63[[#This Row],[Column98]]*Table63[[#This Row],[Column97]]/1000000000)</f>
        <v>--</v>
      </c>
      <c r="CR36" s="53"/>
      <c r="CS36" s="53"/>
      <c r="CT36" s="53"/>
      <c r="CU36" s="91" t="str">
        <f t="shared" si="9"/>
        <v>--</v>
      </c>
      <c r="CV36" s="89">
        <f>IF(Table63[[#This Row],[Column53]]="--",0,Table63[[#This Row],[Column2]]*Table63[[#This Row],[Column53]])</f>
        <v>0</v>
      </c>
    </row>
    <row r="37" spans="1:100" x14ac:dyDescent="0.25">
      <c r="B37" s="79"/>
      <c r="C37" s="80"/>
      <c r="E37" s="52"/>
      <c r="F37" s="81"/>
      <c r="G37" s="81"/>
      <c r="H37" s="102" t="str">
        <f>IF(E37&gt;0,E37*F37*G37/1000000*8*(1+$H$4),"--")</f>
        <v>--</v>
      </c>
      <c r="I37" s="100">
        <f>IF(Table63[[#This Row],[Column75]]="--",0,Table63[[#This Row],[Column2]]*Table63[[#This Row],[Column75]])</f>
        <v>0</v>
      </c>
      <c r="J37" s="84"/>
      <c r="K37" s="85">
        <f>Table63[[#This Row],[Column2]]*Table63[[#This Row],[Column7]]</f>
        <v>0</v>
      </c>
      <c r="L37" s="86" t="str">
        <f>IF(J37=0,"--",J37/$J$3)</f>
        <v>--</v>
      </c>
      <c r="M37" s="85">
        <f>IF(Table63[[#This Row],[Column7]]=0,0,Table63[[#This Row],[Column2]]*Table63[[#This Row],[Column8]])</f>
        <v>0</v>
      </c>
      <c r="N37" s="87" t="str">
        <f>IF(SUM(Q37:AU37)=0,"--",(Q37/$Q$4+T37/$T$4+W37/$W$4+Z37/$Z$4+AC37/$AC$4+AF37/$AF$4+AI37/$AI$4+AL37/$AL$4+AO37/$AO$4+AR37/$AR$4+AU37/$AU$4)/60/24)</f>
        <v>--</v>
      </c>
      <c r="O37" s="88"/>
      <c r="AW37" s="89">
        <f>IF(Table63[[#This Row],[Column9]]="--",0,Table63[[#This Row],[Column2]]*Table63[[#This Row],[Column9]])</f>
        <v>0</v>
      </c>
      <c r="AX37" s="90"/>
      <c r="AY37" s="91" t="str">
        <f>IF(AX37=0,"--",AX37*$AX$3*IF(Table63[[#This Row],[Column4]]&lt;4.1,1,2)/60/24)</f>
        <v>--</v>
      </c>
      <c r="AZ37" s="92">
        <f>IF(Table63[[#This Row],[Column29]]="--",0,Table63[[#This Row],[Column2]]*Table63[[#This Row],[Column29]])</f>
        <v>0</v>
      </c>
      <c r="BA37" s="93"/>
      <c r="BB37" s="91" t="str">
        <f>IF(BA37=0,"--",BA37*$BA$3/60/60/24)</f>
        <v>--</v>
      </c>
      <c r="BC37" s="92">
        <f>IF(Table63[[#This Row],[Column32]]="--",0,Table63[[#This Row],[Column2]]*Table63[[#This Row],[Column32]])</f>
        <v>0</v>
      </c>
      <c r="BD37" s="93"/>
      <c r="BE37" s="91" t="str">
        <f>IF(BD37=0,"--",BD37*$BD$3/60/60/24)</f>
        <v>--</v>
      </c>
      <c r="BF37" s="89">
        <f>IF(Table63[[#This Row],[Column35]]="--",0,Table63[[#This Row],[Column2]]*Table63[[#This Row],[Column35]])</f>
        <v>0</v>
      </c>
      <c r="BG37" s="93"/>
      <c r="BH37" s="91" t="str">
        <f>IF(BG37=0,"--",BG37*$BG$3/60/60/24)</f>
        <v>--</v>
      </c>
      <c r="BI37" s="89">
        <f>IF(Table63[[#This Row],[Column38]]="--",0,Table63[[#This Row],[Column2]]*Table63[[#This Row],[Column38]])</f>
        <v>0</v>
      </c>
      <c r="BJ37" s="94"/>
      <c r="BK37" s="91" t="str">
        <f>IF(BJ37=0,"--",BJ37*$BJ$3/60/60/24)</f>
        <v>--</v>
      </c>
      <c r="BL37" s="92">
        <f>IF(Table63[[#This Row],[Column41]]="--",0,Table63[[#This Row],[Column2]]*Table63[[#This Row],[Column41]])</f>
        <v>0</v>
      </c>
      <c r="BM37" s="44"/>
      <c r="BN37" s="90"/>
      <c r="BO37" s="91" t="str">
        <f>IF(BN37=0,"--",(Table63[[#This Row],[Column84]]*$BN$4*(IF(J37&lt;0.5001,1,IF(J37&lt;2.0001,2,3)))+BN37/$BN$3)/60/24)</f>
        <v>--</v>
      </c>
      <c r="BP37" s="92">
        <f>IF(Table63[[#This Row],[Column44]]="--",0,Table63[[#This Row],[Column2]]*Table63[[#This Row],[Column44]])</f>
        <v>0</v>
      </c>
      <c r="BQ37" s="95"/>
      <c r="BR37" s="91" t="str">
        <f>IF(Table63[[#This Row],[Column43]]=0,"--",BO37*$BQ$3)</f>
        <v>--</v>
      </c>
      <c r="BS37" s="89">
        <f>IF(Table63[[#This Row],[Column45]]="--",0,Table63[[#This Row],[Column2]]*Table63[[#This Row],[Column45]])</f>
        <v>0</v>
      </c>
      <c r="BT37" s="95"/>
      <c r="BU37" s="91" t="str">
        <f>IF(Table63[[#This Row],[Column7]]+Table63[[#This Row],[Column43]]=0,"--",J37*$BT$4*$BT$5/(24*60)+IF(Table63[[#This Row],[Column43]]=0,0,BT32*Table63[[#This Row],[Column44]]))</f>
        <v>--</v>
      </c>
      <c r="BV37" s="92">
        <f>IF(Table63[[#This Row],[Column48]]="--",0,Table63[[#This Row],[Column2]]*Table63[[#This Row],[Column48]])</f>
        <v>0</v>
      </c>
      <c r="BW37" s="93" t="str">
        <f>IF(Table63[[#This Row],[Column37]]="","--",Table63[[#This Row],[Column37]])</f>
        <v>--</v>
      </c>
      <c r="BX37" s="96" t="str">
        <f>IF(Table63[[#This Row],[Column44]]="--","--",Table63[[#This Row],[Column84]]+1)</f>
        <v>--</v>
      </c>
      <c r="BY37" s="91" t="str">
        <f>IF(Table63[[#This Row],[Column37]]+Table63[[#This Row],[Column84]]+Table63[[#This Row],[Column43]]=0,"--",(BG37*$BW$3/60+IF(Table63[[#This Row],[Column43]]=0,0,(BM37+1)*$BW$4))/60/24)</f>
        <v>--</v>
      </c>
      <c r="BZ37" s="92">
        <f>IF(Table63[[#This Row],[Column73]]="--",0,Table63[[#This Row],[Column2]]*Table63[[#This Row],[Column73]])</f>
        <v>0</v>
      </c>
      <c r="CA37" s="97" t="str">
        <f>IF(J37=0,"--",J37/$CA$3/(24)*CB37)</f>
        <v>--</v>
      </c>
      <c r="CC37" s="89">
        <f>IF(Table63[[#This Row],[Column49]]="--",0,Table63[[#This Row],[Column2]]*Table63[[#This Row],[Column49]])</f>
        <v>0</v>
      </c>
      <c r="CD37" s="101"/>
      <c r="CE37" s="91" t="str">
        <f>IF(J37=0,"--",(J37*$CD$3)/60/24)</f>
        <v>--</v>
      </c>
      <c r="CF37" s="89">
        <f>IF(Table63[[#This Row],[Column88]]="--",0,Table63[[#This Row],[Column2]]*Table63[[#This Row],[Column88]])</f>
        <v>0</v>
      </c>
      <c r="CG37" s="96"/>
      <c r="CH37" s="96"/>
      <c r="CI37" s="96"/>
      <c r="CJ37" s="96"/>
      <c r="CK37" s="96"/>
      <c r="CL37" s="101" t="str">
        <f>IF(Table63[[#This Row],[Column78]]+Table63[[#This Row],[Column79]]+Table63[[#This Row],[Column81]]+Table63[[#This Row],[Column80]]+Table63[[#This Row],[Column82]]=0,"--",((Table63[[#This Row],[Column78]]*2+Table63[[#This Row],[Column79]]+Table63[[#This Row],[Column81]])*$CK$3+Table63[[#This Row],[Column80]]*$CK$4+Table63[[#This Row],[Column82]]*$CK$5)/60/24)</f>
        <v>--</v>
      </c>
      <c r="CM37" s="89">
        <f>IF(Table63[[#This Row],[Column52]]="--",0,Table63[[#This Row],[Column2]]*Table63[[#This Row],[Column52]])</f>
        <v>0</v>
      </c>
      <c r="CN37" s="96"/>
      <c r="CO37" s="91" t="str">
        <f>IF(Table63[[#This Row],[Column52]]="--","--",Table63[[#This Row],[Column77]]*$CN$3/60/24)</f>
        <v>--</v>
      </c>
      <c r="CP37" s="89">
        <f>IF(Table63[[#This Row],[Column51]]="--",0,Table63[[#This Row],[Column2]]*Table63[[#This Row],[Column51]])</f>
        <v>0</v>
      </c>
      <c r="CQ37" t="str">
        <f>IF(Table63[[#This Row],[Column85]]=0,"--",Table63[[#This Row],[Column85]]*Table63[[#This Row],[Column98]]*Table63[[#This Row],[Column97]]/1000000000)</f>
        <v>--</v>
      </c>
      <c r="CR37" s="53"/>
      <c r="CS37" s="53"/>
      <c r="CT37" s="53"/>
      <c r="CU37" s="91" t="str">
        <f>IF(CQ37="--","--",(1+CQ37*$CQ$3)/60/24)</f>
        <v>--</v>
      </c>
      <c r="CV37" s="89">
        <f>IF(Table63[[#This Row],[Column53]]="--",0,Table63[[#This Row],[Column2]]*Table63[[#This Row],[Column53]])</f>
        <v>0</v>
      </c>
    </row>
    <row r="38" spans="1:100" x14ac:dyDescent="0.25">
      <c r="B38" s="79"/>
      <c r="C38" s="80"/>
      <c r="E38" s="52"/>
      <c r="F38" s="81"/>
      <c r="G38" s="81"/>
      <c r="H38" s="82" t="str">
        <f t="shared" si="0"/>
        <v>--</v>
      </c>
      <c r="I38" s="100">
        <f>IF(Table63[[#This Row],[Column75]]="--",0,Table63[[#This Row],[Column2]]*Table63[[#This Row],[Column75]])</f>
        <v>0</v>
      </c>
      <c r="J38" s="103"/>
      <c r="K38" s="85">
        <f>Table63[[#This Row],[Column2]]*Table63[[#This Row],[Column7]]</f>
        <v>0</v>
      </c>
      <c r="L38" s="86" t="str">
        <f t="shared" si="1"/>
        <v>--</v>
      </c>
      <c r="M38" s="85">
        <f>IF(Table63[[#This Row],[Column7]]=0,0,Table63[[#This Row],[Column2]]*Table63[[#This Row],[Column8]])</f>
        <v>0</v>
      </c>
      <c r="N38" s="87" t="str">
        <f t="shared" si="2"/>
        <v>--</v>
      </c>
      <c r="O38" s="88" t="s">
        <v>70</v>
      </c>
      <c r="Q38" s="67"/>
      <c r="T38" s="67"/>
      <c r="W38" s="67"/>
      <c r="Z38" s="67"/>
      <c r="AC38" s="67"/>
      <c r="AF38" s="67"/>
      <c r="AI38" s="67"/>
      <c r="AL38" s="67"/>
      <c r="AO38" s="67"/>
      <c r="AR38" s="67"/>
      <c r="AU38" s="67"/>
      <c r="AW38" s="89">
        <f>IF(Table63[[#This Row],[Column9]]="--",0,Table63[[#This Row],[Column2]]*Table63[[#This Row],[Column9]])</f>
        <v>0</v>
      </c>
      <c r="AX38" s="104"/>
      <c r="AY38" s="91" t="str">
        <f>IF(AX38=0,"--",AX38*$AX$3*IF(Table63[[#This Row],[Column4]]&lt;4.1,1,2)/60/24)</f>
        <v>--</v>
      </c>
      <c r="AZ38" s="92">
        <f>IF(Table63[[#This Row],[Column29]]="--",0,Table63[[#This Row],[Column2]]*Table63[[#This Row],[Column29]])</f>
        <v>0</v>
      </c>
      <c r="BA38" s="105"/>
      <c r="BB38" s="91" t="str">
        <f t="shared" si="3"/>
        <v>--</v>
      </c>
      <c r="BC38" s="92">
        <f>IF(Table63[[#This Row],[Column32]]="--",0,Table63[[#This Row],[Column2]]*Table63[[#This Row],[Column32]])</f>
        <v>0</v>
      </c>
      <c r="BD38" s="105"/>
      <c r="BE38" s="91" t="str">
        <f t="shared" si="4"/>
        <v>--</v>
      </c>
      <c r="BF38" s="89">
        <f>IF(Table63[[#This Row],[Column35]]="--",0,Table63[[#This Row],[Column2]]*Table63[[#This Row],[Column35]])</f>
        <v>0</v>
      </c>
      <c r="BG38" s="105"/>
      <c r="BH38" s="91" t="str">
        <f t="shared" si="5"/>
        <v>--</v>
      </c>
      <c r="BI38" s="89">
        <f>IF(Table63[[#This Row],[Column38]]="--",0,Table63[[#This Row],[Column2]]*Table63[[#This Row],[Column38]])</f>
        <v>0</v>
      </c>
      <c r="BJ38" s="106"/>
      <c r="BK38" s="91" t="str">
        <f t="shared" si="7"/>
        <v>--</v>
      </c>
      <c r="BL38" s="92">
        <f>IF(Table63[[#This Row],[Column41]]="--",0,Table63[[#This Row],[Column2]]*Table63[[#This Row],[Column41]])</f>
        <v>0</v>
      </c>
      <c r="BM38" s="44"/>
      <c r="BN38" s="104"/>
      <c r="BO38" s="91" t="str">
        <f>IF(BN38=0,"--",(Table63[[#This Row],[Column84]]*$BN$4*(IF(J38&lt;0.5001,1,IF(J38&lt;2.0001,2,3)))+BN38/$BN$3)/60/24)</f>
        <v>--</v>
      </c>
      <c r="BP38" s="92">
        <f>IF(Table63[[#This Row],[Column44]]="--",0,Table63[[#This Row],[Column2]]*Table63[[#This Row],[Column44]])</f>
        <v>0</v>
      </c>
      <c r="BQ38" s="95" t="s">
        <v>70</v>
      </c>
      <c r="BR38" s="91" t="str">
        <f>IF(Table63[[#This Row],[Column43]]=0,"--",BO38*$BQ$3)</f>
        <v>--</v>
      </c>
      <c r="BS38" s="89">
        <f>IF(Table63[[#This Row],[Column45]]="--",0,Table63[[#This Row],[Column2]]*Table63[[#This Row],[Column45]])</f>
        <v>0</v>
      </c>
      <c r="BT38" s="95" t="s">
        <v>70</v>
      </c>
      <c r="BU38" s="91" t="str">
        <f>IF(Table63[[#This Row],[Column7]]+Table63[[#This Row],[Column43]]=0,"--",J38*$BT$4*$BT$5/(24*60)+IF(Table63[[#This Row],[Column43]]=0,0,BT32*Table63[[#This Row],[Column44]]))</f>
        <v>--</v>
      </c>
      <c r="BV38" s="92">
        <f>IF(Table63[[#This Row],[Column48]]="--",0,Table63[[#This Row],[Column2]]*Table63[[#This Row],[Column48]])</f>
        <v>0</v>
      </c>
      <c r="BW38" s="93" t="str">
        <f>IF(Table63[[#This Row],[Column37]]="","--",Table63[[#This Row],[Column37]])</f>
        <v>--</v>
      </c>
      <c r="BX38" s="96" t="str">
        <f>IF(Table63[[#This Row],[Column44]]="--","--",Table63[[#This Row],[Column84]]+1)</f>
        <v>--</v>
      </c>
      <c r="BY38" s="91" t="str">
        <f>IF(Table63[[#This Row],[Column37]]+Table63[[#This Row],[Column84]]+Table63[[#This Row],[Column43]]=0,"--",(BG38*$BW$3/60+IF(Table63[[#This Row],[Column43]]=0,0,(BM38+1)*$BW$4))/60/24)</f>
        <v>--</v>
      </c>
      <c r="BZ38" s="92">
        <f>IF(Table63[[#This Row],[Column73]]="--",0,Table63[[#This Row],[Column2]]*Table63[[#This Row],[Column73]])</f>
        <v>0</v>
      </c>
      <c r="CA38" s="97" t="str">
        <f t="shared" si="8"/>
        <v>--</v>
      </c>
      <c r="CC38" s="89">
        <f>IF(Table63[[#This Row],[Column49]]="--",0,Table63[[#This Row],[Column2]]*Table63[[#This Row],[Column49]])</f>
        <v>0</v>
      </c>
      <c r="CD38" s="101" t="s">
        <v>70</v>
      </c>
      <c r="CE38" s="91" t="str">
        <f t="shared" si="6"/>
        <v>--</v>
      </c>
      <c r="CF38" s="89">
        <f>IF(Table63[[#This Row],[Column88]]="--",0,Table63[[#This Row],[Column2]]*Table63[[#This Row],[Column88]])</f>
        <v>0</v>
      </c>
      <c r="CG38" s="96"/>
      <c r="CH38" s="96"/>
      <c r="CI38" s="96"/>
      <c r="CJ38" s="96"/>
      <c r="CK38" s="96"/>
      <c r="CL38" s="101" t="str">
        <f>IF(Table63[[#This Row],[Column78]]+Table63[[#This Row],[Column79]]+Table63[[#This Row],[Column81]]+Table63[[#This Row],[Column80]]+Table63[[#This Row],[Column82]]=0,"--",((Table63[[#This Row],[Column78]]*2+Table63[[#This Row],[Column79]]+Table63[[#This Row],[Column81]])*$CK$3+Table63[[#This Row],[Column80]]*$CK$4+Table63[[#This Row],[Column82]]*$CK$5)/60/24)</f>
        <v>--</v>
      </c>
      <c r="CM38" s="89">
        <f>IF(Table63[[#This Row],[Column52]]="--",0,Table63[[#This Row],[Column2]]*Table63[[#This Row],[Column52]])</f>
        <v>0</v>
      </c>
      <c r="CN38" s="96"/>
      <c r="CO38" s="91" t="str">
        <f>IF(Table63[[#This Row],[Column52]]="--","--",Table63[[#This Row],[Column77]]*$CN$3/60/24)</f>
        <v>--</v>
      </c>
      <c r="CP38" s="89">
        <f>IF(Table63[[#This Row],[Column51]]="--",0,Table63[[#This Row],[Column2]]*Table63[[#This Row],[Column51]])</f>
        <v>0</v>
      </c>
      <c r="CQ38" t="str">
        <f>IF(Table63[[#This Row],[Column85]]=0,"--",Table63[[#This Row],[Column85]]*Table63[[#This Row],[Column98]]*Table63[[#This Row],[Column97]]/1000000000)</f>
        <v>--</v>
      </c>
      <c r="CR38" s="53"/>
      <c r="CS38" s="53"/>
      <c r="CT38" s="53"/>
      <c r="CU38" s="91" t="str">
        <f t="shared" si="9"/>
        <v>--</v>
      </c>
      <c r="CV38" s="89">
        <f>IF(Table63[[#This Row],[Column53]]="--",0,Table63[[#This Row],[Column2]]*Table63[[#This Row],[Column53]])</f>
        <v>0</v>
      </c>
    </row>
    <row r="39" spans="1:100" x14ac:dyDescent="0.25">
      <c r="A39" s="107"/>
      <c r="B39" s="107"/>
      <c r="C39" s="107"/>
      <c r="D39" s="108"/>
      <c r="E39" s="108"/>
      <c r="F39" s="109"/>
      <c r="G39" s="109"/>
      <c r="J39" s="110"/>
      <c r="K39" s="111"/>
      <c r="N39" s="112"/>
      <c r="AX39" s="90"/>
      <c r="BA39" s="90"/>
      <c r="BD39" s="90"/>
      <c r="BG39" s="90"/>
      <c r="BJ39" s="90"/>
      <c r="BM39" s="107"/>
      <c r="BN39" s="90"/>
      <c r="BO39" s="101"/>
      <c r="BP39" s="87"/>
      <c r="BW39" s="96"/>
      <c r="BX39" s="96"/>
      <c r="CA39" s="101"/>
      <c r="CB39" s="107"/>
      <c r="CG39" s="107"/>
      <c r="CH39" s="107"/>
      <c r="CI39" s="107"/>
      <c r="CJ39" s="107"/>
      <c r="CK39" s="107"/>
      <c r="CN39" s="107"/>
      <c r="CR39" s="107"/>
      <c r="CS39" s="107"/>
      <c r="CT39" s="107"/>
      <c r="CV39" s="113"/>
    </row>
    <row r="40" spans="1:100" x14ac:dyDescent="0.25">
      <c r="A40" s="114">
        <f>COUNTIF(A8:A39,"*PEO*")</f>
        <v>1</v>
      </c>
      <c r="B40" s="114"/>
    </row>
    <row r="44" spans="1:100" x14ac:dyDescent="0.25">
      <c r="N44" s="115"/>
      <c r="O44" s="116"/>
    </row>
    <row r="46" spans="1:100" x14ac:dyDescent="0.25">
      <c r="AX46" s="117"/>
    </row>
    <row r="51" spans="10:11" x14ac:dyDescent="0.25">
      <c r="J51" s="58"/>
      <c r="K51" s="82"/>
    </row>
    <row r="52" spans="10:11" x14ac:dyDescent="0.25">
      <c r="J52" s="58"/>
      <c r="K52" s="82"/>
    </row>
  </sheetData>
  <mergeCells count="46">
    <mergeCell ref="BJ1:BP1"/>
    <mergeCell ref="J1:K1"/>
    <mergeCell ref="AX1:AZ1"/>
    <mergeCell ref="BA1:BC1"/>
    <mergeCell ref="BD1:BF1"/>
    <mergeCell ref="BG1:BI1"/>
    <mergeCell ref="CN1:CP1"/>
    <mergeCell ref="CQ1:CV1"/>
    <mergeCell ref="CW1:CW5"/>
    <mergeCell ref="E2:G2"/>
    <mergeCell ref="J2:K2"/>
    <mergeCell ref="AX2:AZ2"/>
    <mergeCell ref="BA2:BC2"/>
    <mergeCell ref="BD2:BF2"/>
    <mergeCell ref="BG2:BI2"/>
    <mergeCell ref="BJ2:BL2"/>
    <mergeCell ref="BQ1:BS1"/>
    <mergeCell ref="BT1:BV1"/>
    <mergeCell ref="BW1:BZ1"/>
    <mergeCell ref="CA1:CC1"/>
    <mergeCell ref="CD1:CF1"/>
    <mergeCell ref="CG1:CM1"/>
    <mergeCell ref="CG2:CM2"/>
    <mergeCell ref="CQ2:CV2"/>
    <mergeCell ref="BW3:BX3"/>
    <mergeCell ref="BW4:BX4"/>
    <mergeCell ref="N6:O6"/>
    <mergeCell ref="AX6:AY6"/>
    <mergeCell ref="BA6:BB6"/>
    <mergeCell ref="BD6:BE6"/>
    <mergeCell ref="BG6:BH6"/>
    <mergeCell ref="BK6:BN6"/>
    <mergeCell ref="BM2:BP2"/>
    <mergeCell ref="BQ2:BS2"/>
    <mergeCell ref="BT2:BV2"/>
    <mergeCell ref="BW2:BZ2"/>
    <mergeCell ref="CA2:CC2"/>
    <mergeCell ref="CD2:CF2"/>
    <mergeCell ref="CN6:CO6"/>
    <mergeCell ref="CQ6:CU6"/>
    <mergeCell ref="BQ6:BR6"/>
    <mergeCell ref="BT6:BU6"/>
    <mergeCell ref="BW6:BY6"/>
    <mergeCell ref="CA6:CB6"/>
    <mergeCell ref="CD6:CE6"/>
    <mergeCell ref="CI6:CK6"/>
  </mergeCells>
  <conditionalFormatting sqref="H6">
    <cfRule type="cellIs" dxfId="7" priority="2" operator="greaterThan">
      <formula>0</formula>
    </cfRule>
  </conditionalFormatting>
  <conditionalFormatting sqref="J5">
    <cfRule type="cellIs" dxfId="6" priority="1" operator="greaterThan">
      <formula>0</formula>
    </cfRule>
  </conditionalFormatting>
  <conditionalFormatting sqref="J6:K6 N6 AX6 BA6 BD6 BG6 BK6 BQ6 BT6 CA6">
    <cfRule type="cellIs" dxfId="5" priority="8" operator="greaterThan">
      <formula>0</formula>
    </cfRule>
  </conditionalFormatting>
  <conditionalFormatting sqref="BW6">
    <cfRule type="cellIs" dxfId="4" priority="7" operator="greaterThan">
      <formula>0</formula>
    </cfRule>
  </conditionalFormatting>
  <conditionalFormatting sqref="CD6">
    <cfRule type="cellIs" dxfId="3" priority="6" operator="greaterThan">
      <formula>0</formula>
    </cfRule>
  </conditionalFormatting>
  <conditionalFormatting sqref="CI6">
    <cfRule type="cellIs" dxfId="2" priority="5" operator="greaterThan">
      <formula>0</formula>
    </cfRule>
  </conditionalFormatting>
  <conditionalFormatting sqref="CN6">
    <cfRule type="cellIs" dxfId="1" priority="4" operator="greaterThan">
      <formula>0</formula>
    </cfRule>
  </conditionalFormatting>
  <conditionalFormatting sqref="CQ6:CT6">
    <cfRule type="cellIs" dxfId="0" priority="3" operator="greaterThan">
      <formula>0</formula>
    </cfRule>
  </conditionalFormatting>
  <dataValidations count="1">
    <dataValidation type="list" allowBlank="1" showInputMessage="1" showErrorMessage="1" sqref="CB8:CB39" xr:uid="{D49D80DF-43B5-4BB2-B852-E5C32E5ABC59}">
      <mc:AlternateContent xmlns:x12ac="http://schemas.microsoft.com/office/spreadsheetml/2011/1/ac" xmlns:mc="http://schemas.openxmlformats.org/markup-compatibility/2006">
        <mc:Choice Requires="x12ac">
          <x12ac:list>1,"1,33","1,67",2</x12ac:list>
        </mc:Choice>
        <mc:Fallback>
          <formula1>"1,1,33,1,67,2"</formula1>
        </mc:Fallback>
      </mc:AlternateContent>
    </dataValidation>
  </dataValidations>
  <hyperlinks>
    <hyperlink ref="L1" r:id="rId1" xr:uid="{6C9F4B37-6D9B-4DE3-937C-F156D9A5CA52}"/>
    <hyperlink ref="CW1:CW5" r:id="rId2" display="Pripremna vremena se posebno računaju." xr:uid="{D5ADD198-FEA8-4971-A103-59402D2AF264}"/>
  </hyperlinks>
  <pageMargins left="0.43307086614173229" right="0.23622047244094491" top="0.74803149606299213" bottom="0.74803149606299213" header="0.31496062992125984" footer="0.31496062992125984"/>
  <pageSetup paperSize="8" scale="69" orientation="landscape" r:id="rId3"/>
  <headerFooter>
    <oddHeader>&amp;C&amp;"-,Bold"&amp;14&amp;F</oddHeader>
    <oddFooter>&amp;C&amp;D</oddFooter>
  </headerFooter>
  <legacyDrawing r:id="rId4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Tehnologija</vt:lpstr>
      <vt:lpstr>Primjer</vt:lpstr>
      <vt:lpstr>Tehnologija!Print_Titles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Darko Ganilovic</dc:creator>
  <cp:lastModifiedBy>Dino Bratic</cp:lastModifiedBy>
  <cp:lastPrinted>2026-03-11T07:27:32Z</cp:lastPrinted>
  <dcterms:created xsi:type="dcterms:W3CDTF">2023-01-25T13:01:39Z</dcterms:created>
  <dcterms:modified xsi:type="dcterms:W3CDTF">2026-09-11T08:22:42Z</dcterms:modified>
</cp:coreProperties>
</file>